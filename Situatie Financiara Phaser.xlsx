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s 2026" sheetId="1" r:id="rId4"/>
    <sheet state="visible" name="Evenimente 2025" sheetId="2" r:id="rId5"/>
    <sheet state="visible" name="Onorariu Artist 2025" sheetId="3" r:id="rId6"/>
    <sheet state="visible" name="Situatie 2025" sheetId="4" r:id="rId7"/>
    <sheet state="visible" name="Tranzactii 2025" sheetId="5" r:id="rId8"/>
    <sheet state="visible" name="DatoriiRecuperari 2025" sheetId="6" r:id="rId9"/>
    <sheet state="visible" name="Situatie 2024" sheetId="7" r:id="rId10"/>
    <sheet state="visible" name="Evenimente 2024" sheetId="8" r:id="rId11"/>
    <sheet state="visible" name="Onorariu Artist 2024" sheetId="9" r:id="rId12"/>
    <sheet state="visible" name="Tranzactii 2024" sheetId="10" r:id="rId13"/>
    <sheet state="visible" name="DatoriiRecuperari 2024" sheetId="11" r:id="rId14"/>
    <sheet state="visible" name="Situatie 2023" sheetId="12" r:id="rId15"/>
    <sheet state="visible" name="Onorariu Artist 2023" sheetId="13" r:id="rId16"/>
    <sheet state="visible" name="Evenimente 2023" sheetId="14" r:id="rId17"/>
    <sheet state="visible" name="Tranzactii 2023" sheetId="15" r:id="rId18"/>
    <sheet state="visible" name="DatoriiRecuperari 2023" sheetId="16" r:id="rId19"/>
    <sheet state="visible" name="Situatie 2022" sheetId="17" r:id="rId20"/>
    <sheet state="visible" name="Evenimente 2022 Extra (De primi" sheetId="18" r:id="rId21"/>
    <sheet state="visible" name="Fond Extra 2022" sheetId="19" r:id="rId22"/>
    <sheet state="visible" name="Evenimente 2022" sheetId="20" r:id="rId23"/>
    <sheet state="visible" name="Evenimente 2021" sheetId="21" r:id="rId24"/>
    <sheet state="visible" name="Fond Extra 2021" sheetId="22" r:id="rId25"/>
    <sheet state="visible" name="Evenimente 2020" sheetId="23" r:id="rId26"/>
    <sheet state="visible" name="Fond Extra 2020" sheetId="24" r:id="rId27"/>
    <sheet state="visible" name="Evenimente 2019" sheetId="25" r:id="rId28"/>
    <sheet state="visible" name="Fond Extra 2019" sheetId="26" r:id="rId29"/>
    <sheet state="visible" name="Evenimente 2018" sheetId="27" r:id="rId30"/>
    <sheet state="visible" name="Evenimente 2017" sheetId="28" r:id="rId31"/>
    <sheet state="visible" name="Fond Extra 2018" sheetId="29" r:id="rId32"/>
    <sheet state="visible" name="Fond 2017" sheetId="30" r:id="rId33"/>
    <sheet state="visible" name="Recuperari Individuale" sheetId="31" r:id="rId34"/>
    <sheet state="visible" name="Event-uri inainte de 18.09.2017" sheetId="32" r:id="rId3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5">
      <text>
        <t xml:space="preserve">cash</t>
      </text>
    </comment>
    <comment authorId="0" ref="K16">
      <text>
        <t xml:space="preserve">cash</t>
      </text>
    </comment>
    <comment authorId="0" ref="K17">
      <text>
        <t xml:space="preserve">cash</t>
      </text>
    </comment>
    <comment authorId="0" ref="K19">
      <text>
        <t xml:space="preserve">cash</t>
      </text>
    </comment>
    <comment authorId="0" ref="K20">
      <text>
        <t xml:space="preserve">cash</t>
      </text>
    </comment>
    <comment authorId="0" ref="K23">
      <text>
        <t xml:space="preserve">cash</t>
      </text>
    </comment>
    <comment authorId="0" ref="K30">
      <text>
        <t xml:space="preserve">cash</t>
      </text>
    </comment>
    <comment authorId="0" ref="K35">
      <text>
        <t xml:space="preserve">cash</t>
      </text>
    </comment>
    <comment authorId="0" ref="K37">
      <text>
        <t xml:space="preserve">cash</t>
      </text>
    </comment>
    <comment authorId="0" ref="K38">
      <text>
        <t xml:space="preserve">cash</t>
      </text>
    </comment>
    <comment authorId="0" ref="K39">
      <text>
        <t xml:space="preserve">cash</t>
      </text>
    </comment>
    <comment authorId="0" ref="K41">
      <text>
        <t xml:space="preserve">cash</t>
      </text>
    </comment>
    <comment authorId="0" ref="K45">
      <text>
        <t xml:space="preserve">cash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4">
      <text>
        <t xml:space="preserve">doar avans</t>
      </text>
    </comment>
    <comment authorId="0" ref="K23">
      <text>
        <t xml:space="preserve">doar avans</t>
      </text>
    </comment>
    <comment authorId="0" ref="K26">
      <text>
        <t xml:space="preserve">doar avans</t>
      </text>
    </comment>
    <comment authorId="0" ref="K28">
      <text>
        <t xml:space="preserve">doar avans</t>
      </text>
    </comment>
    <comment authorId="0" ref="K30">
      <text>
        <t xml:space="preserve">doar avans</t>
      </text>
    </comment>
    <comment authorId="0" ref="K32">
      <text>
        <t xml:space="preserve">doar avans</t>
      </text>
    </comment>
    <comment authorId="0" ref="K33">
      <text>
        <t xml:space="preserve">doar avans</t>
      </text>
    </comment>
    <comment authorId="0" ref="K41">
      <text>
        <t xml:space="preserve">doar avans</t>
      </text>
    </comment>
    <comment authorId="0" ref="K44">
      <text>
        <t xml:space="preserve">doar avans</t>
      </text>
    </comment>
    <comment authorId="0" ref="K45">
      <text>
        <t xml:space="preserve">doar avans</t>
      </text>
    </comment>
    <comment authorId="0" ref="K46">
      <text>
        <t xml:space="preserve">doar avans</t>
      </text>
    </comment>
    <comment authorId="0" ref="K47">
      <text>
        <t xml:space="preserve">doar avans</t>
      </text>
    </comment>
    <comment authorId="0" ref="K48">
      <text>
        <t xml:space="preserve">doar avans</t>
      </text>
    </comment>
    <comment authorId="0" ref="K50">
      <text>
        <t xml:space="preserve">doar avans</t>
      </text>
    </comment>
    <comment authorId="0" ref="K53">
      <text>
        <t xml:space="preserve">doar avans</t>
      </text>
    </comment>
    <comment authorId="0" ref="AF59">
      <text>
        <t xml:space="preserve">am platit 2000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54">
      <text>
        <t xml:space="preserve">a primit 50 de aici</t>
      </text>
    </comment>
    <comment authorId="0" ref="M55">
      <text>
        <t xml:space="preserve">a primit 500 Ron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1">
      <text>
        <t xml:space="preserve">impozit pe avans</t>
      </text>
    </comment>
    <comment authorId="0" ref="K12">
      <text>
        <t xml:space="preserve">impozit pe avans</t>
      </text>
    </comment>
    <comment authorId="0" ref="K16">
      <text>
        <t xml:space="preserve">impozit pe avans</t>
      </text>
    </comment>
    <comment authorId="0" ref="K19">
      <text>
        <t xml:space="preserve">impozit pe avans</t>
      </text>
    </comment>
    <comment authorId="0" ref="K21">
      <text>
        <t xml:space="preserve">impozit pe avans</t>
      </text>
    </comment>
    <comment authorId="0" ref="K27">
      <text>
        <t xml:space="preserve">impozit pe avans</t>
      </text>
    </comment>
    <comment authorId="0" ref="K28">
      <text>
        <t xml:space="preserve">impozit pe avans</t>
      </text>
    </comment>
    <comment authorId="0" ref="K30">
      <text>
        <t xml:space="preserve">impozit pe avans</t>
      </text>
    </comment>
    <comment authorId="0" ref="K31">
      <text>
        <t xml:space="preserve">impozit pe avans</t>
      </text>
    </comment>
    <comment authorId="0" ref="K32">
      <text>
        <t xml:space="preserve">impozit pe avans</t>
      </text>
    </comment>
    <comment authorId="0" ref="K35">
      <text>
        <t xml:space="preserve">impozit pe avans</t>
      </text>
    </comment>
    <comment authorId="0" ref="K36">
      <text>
        <t xml:space="preserve">impozit pe avans</t>
      </text>
    </comment>
    <comment authorId="0" ref="K37">
      <text>
        <t xml:space="preserve">impozit pe avans</t>
      </text>
    </comment>
    <comment authorId="0" ref="K41">
      <text>
        <t xml:space="preserve">impozit pe avans</t>
      </text>
    </comment>
    <comment authorId="0" ref="K44">
      <text>
        <t xml:space="preserve">impozit pe avans</t>
      </text>
    </comment>
    <comment authorId="0" ref="K45">
      <text>
        <t xml:space="preserve">impozit pe avans</t>
      </text>
    </comment>
    <comment authorId="0" ref="K47">
      <text>
        <t xml:space="preserve">impozit pe avans</t>
      </text>
    </comment>
    <comment authorId="0" ref="K50">
      <text>
        <t xml:space="preserve">impozit pe avans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Impozit
</t>
      </text>
    </comment>
    <comment authorId="0" ref="E5">
      <text>
        <t xml:space="preserve">Contract factu de ei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Impozit
</t>
      </text>
    </comment>
    <comment authorId="0" ref="G9">
      <text>
        <t xml:space="preserve">cash lei
</t>
      </text>
    </comment>
    <comment authorId="0" ref="G10">
      <text>
        <t xml:space="preserve">cash lei</t>
      </text>
    </comment>
    <comment authorId="0" ref="G11">
      <text>
        <t xml:space="preserve">cash eur</t>
      </text>
    </comment>
    <comment authorId="0" ref="E15">
      <text>
        <t xml:space="preserve">Prietenul lui Arni
</t>
      </text>
    </comment>
    <comment authorId="0" ref="G15">
      <text>
        <t xml:space="preserve">cash eur
</t>
      </text>
    </comment>
    <comment authorId="0" ref="I15">
      <text>
        <t xml:space="preserve">Bani Cash/Fara Contract
</t>
      </text>
    </comment>
    <comment authorId="0" ref="E16">
      <text>
        <t xml:space="preserve">contract facut de ei</t>
      </text>
    </comment>
    <comment authorId="0" ref="E21">
      <text>
        <t xml:space="preserve">AA4 + AA13
</t>
      </text>
    </comment>
    <comment authorId="0" ref="E22">
      <text>
        <t xml:space="preserve">AA9</t>
      </text>
    </comment>
    <comment authorId="0" ref="G22">
      <text>
        <t xml:space="preserve">cash eur
</t>
      </text>
    </comment>
    <comment authorId="0" ref="G23">
      <text>
        <t xml:space="preserve">cash eur</t>
      </text>
    </comment>
    <comment authorId="0" ref="G25">
      <text>
        <t xml:space="preserve">cash ron</t>
      </text>
    </comment>
    <comment authorId="0" ref="G27">
      <text>
        <t xml:space="preserve">cash ron
</t>
      </text>
    </comment>
    <comment authorId="0" ref="G28">
      <text>
        <t xml:space="preserve">cash ron</t>
      </text>
    </comment>
    <comment authorId="0" ref="G29">
      <text>
        <t xml:space="preserve">cash
</t>
      </text>
    </comment>
    <comment authorId="0" ref="E31">
      <text>
        <t xml:space="preserve">AA1</t>
      </text>
    </comment>
    <comment authorId="0" ref="G31">
      <text>
        <t xml:space="preserve">cash
</t>
      </text>
    </comment>
    <comment authorId="0" ref="E32">
      <text>
        <t xml:space="preserve">AA12</t>
      </text>
    </comment>
    <comment authorId="0" ref="E42">
      <text>
        <t xml:space="preserve">AA2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Impozit
</t>
      </text>
    </comment>
    <comment authorId="0" ref="I8">
      <text>
        <t xml:space="preserve">Bani Cash/Fara Contract
</t>
      </text>
    </comment>
    <comment authorId="0" ref="S8">
      <text>
        <t xml:space="preserve">Bani Cash
</t>
      </text>
    </comment>
    <comment authorId="0" ref="E13">
      <text>
        <t xml:space="preserve">contract facut de ei</t>
      </text>
    </comment>
    <comment authorId="0" ref="S13">
      <text>
        <t xml:space="preserve">nu am dat nimic</t>
      </text>
    </comment>
    <comment authorId="0" ref="S15">
      <text>
        <t xml:space="preserve">nu am dat nimic</t>
      </text>
    </comment>
    <comment authorId="0" ref="E17">
      <text>
        <t xml:space="preserve">contract facut de ei</t>
      </text>
    </comment>
    <comment authorId="0" ref="E18">
      <text>
        <t xml:space="preserve">C111
</t>
      </text>
    </comment>
    <comment authorId="0" ref="I19">
      <text>
        <t xml:space="preserve">Bani Cash/Fara Contract
</t>
      </text>
    </comment>
    <comment authorId="0" ref="S19">
      <text>
        <t xml:space="preserve">nu am dat nimic</t>
      </text>
    </comment>
    <comment authorId="0" ref="E23">
      <text>
        <t xml:space="preserve">contract facut de ei
</t>
      </text>
    </comment>
    <comment authorId="0" ref="S23">
      <text>
        <t xml:space="preserve">nu am dat nimic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Impozit
</t>
      </text>
    </comment>
    <comment authorId="0" ref="Q2">
      <text>
        <t xml:space="preserve">Comision prestabilit conform contract MediaPro - Phaser</t>
      </text>
    </comment>
    <comment authorId="0" ref="E8">
      <text>
        <t xml:space="preserve">Contract facut de ei
</t>
      </text>
    </comment>
    <comment authorId="0" ref="E12">
      <text>
        <t xml:space="preserve">Refacut contract. Bani Cash</t>
      </text>
    </comment>
    <comment authorId="0" ref="I12">
      <text>
        <t xml:space="preserve">Impozit doar pe avans</t>
      </text>
    </comment>
    <comment authorId="0" ref="Q12">
      <text>
        <t xml:space="preserve">Am primit cash </t>
      </text>
    </comment>
    <comment authorId="0" ref="E14">
      <text>
        <t xml:space="preserve">Fara Contract/Bani pt Tehnic
</t>
      </text>
    </comment>
    <comment authorId="0" ref="E15">
      <text>
        <t xml:space="preserve">Refacut contract. Bani Cash</t>
      </text>
    </comment>
    <comment authorId="0" ref="I15">
      <text>
        <t xml:space="preserve">Impozit doar pe avans</t>
      </text>
    </comment>
    <comment authorId="0" ref="Q15">
      <text>
        <t xml:space="preserve">Am primit cash </t>
      </text>
    </comment>
    <comment authorId="0" ref="E18">
      <text>
        <t xml:space="preserve">Refacut contract. Bani Cash</t>
      </text>
    </comment>
    <comment authorId="0" ref="I18">
      <text>
        <t xml:space="preserve">Impozit doar pe avans</t>
      </text>
    </comment>
    <comment authorId="0" ref="Q18">
      <text>
        <t xml:space="preserve">Am primit cash </t>
      </text>
    </comment>
    <comment authorId="0" ref="E19">
      <text>
        <t xml:space="preserve">Fara Contract
</t>
      </text>
    </comment>
    <comment authorId="0" ref="E22">
      <text>
        <t xml:space="preserve">Refacut contract. Bani Cash</t>
      </text>
    </comment>
    <comment authorId="0" ref="I22">
      <text>
        <t xml:space="preserve">Impozit doar pe avans</t>
      </text>
    </comment>
    <comment authorId="0" ref="Q22">
      <text>
        <t xml:space="preserve">Am primit cash </t>
      </text>
    </comment>
    <comment authorId="0" ref="E24">
      <text>
        <t xml:space="preserve">Fara Contract/Bani pt Tehnic
</t>
      </text>
    </comment>
    <comment authorId="0" ref="E25">
      <text>
        <t xml:space="preserve">Fara Contract/Bani pt Tehnic
</t>
      </text>
    </comment>
    <comment authorId="0" ref="E26">
      <text>
        <t xml:space="preserve">Fara Contract/Bani pt Tehnic
</t>
      </text>
    </comment>
    <comment authorId="0" ref="E27">
      <text>
        <t xml:space="preserve">Refacut contract. Bani Cash</t>
      </text>
    </comment>
    <comment authorId="0" ref="I27">
      <text>
        <t xml:space="preserve">Impozit doar pe avans</t>
      </text>
    </comment>
    <comment authorId="0" ref="Q27">
      <text>
        <t xml:space="preserve">Am primit cash </t>
      </text>
    </comment>
    <comment authorId="0" ref="E32">
      <text>
        <t xml:space="preserve">Fara Contract
</t>
      </text>
    </comment>
    <comment authorId="0" ref="I32">
      <text>
        <t xml:space="preserve">Fara Impozit</t>
      </text>
    </comment>
    <comment authorId="0" ref="Q32">
      <text>
        <t xml:space="preserve">Am primit cash </t>
      </text>
    </comment>
    <comment authorId="0" ref="E34">
      <text>
        <t xml:space="preserve">Contract facut direct pe persoana
</t>
      </text>
    </comment>
    <comment authorId="0" ref="I34">
      <text>
        <t xml:space="preserve">Contract facut direct pe persoana
</t>
      </text>
    </comment>
    <comment authorId="0" ref="E35">
      <text>
        <t xml:space="preserve">Refacut contract. Bani Cash</t>
      </text>
    </comment>
    <comment authorId="0" ref="I35">
      <text>
        <t xml:space="preserve">Impozit doar pe avans</t>
      </text>
    </comment>
    <comment authorId="0" ref="Q35">
      <text>
        <t xml:space="preserve">Am primit cash </t>
      </text>
    </comment>
    <comment authorId="0" ref="E36">
      <text>
        <t xml:space="preserve">doar factura</t>
      </text>
    </comment>
    <comment authorId="0" ref="E37">
      <text>
        <t xml:space="preserve">Refacut contract. Bani Cash</t>
      </text>
    </comment>
    <comment authorId="0" ref="I37">
      <text>
        <t xml:space="preserve">Impozit doar pe avans</t>
      </text>
    </comment>
    <comment authorId="0" ref="Q37">
      <text>
        <t xml:space="preserve">Am primit cash </t>
      </text>
    </comment>
    <comment authorId="0" ref="E38">
      <text>
        <t xml:space="preserve">Refacut contract. Bani Cash</t>
      </text>
    </comment>
    <comment authorId="0" ref="I38">
      <text>
        <t xml:space="preserve">Impozit doar pe avans</t>
      </text>
    </comment>
    <comment authorId="0" ref="Q38">
      <text>
        <t xml:space="preserve">Am primit cash </t>
      </text>
    </comment>
    <comment authorId="0" ref="E42">
      <text>
        <t xml:space="preserve">Fara Contract/Bani pt Tehnic
</t>
      </text>
    </comment>
    <comment authorId="0" ref="I42">
      <text>
        <t xml:space="preserve">Fara Impozit</t>
      </text>
    </comment>
    <comment authorId="0" ref="E44">
      <text>
        <t xml:space="preserve">Rerfacut Contract. Bani Cash</t>
      </text>
    </comment>
    <comment authorId="0" ref="I44">
      <text>
        <t xml:space="preserve">Impozit doar pe avans</t>
      </text>
    </comment>
    <comment authorId="0" ref="Q44">
      <text>
        <t xml:space="preserve">Am primit cash </t>
      </text>
    </comment>
    <comment authorId="0" ref="G45">
      <text>
        <t xml:space="preserve">Contract facut pe PREZENT PRODUCTION. Banii intra la ei in contul altor sonorizari. Vezi Spreadsheet Situatie Evenimente Phaser - Prezent</t>
      </text>
    </comment>
    <comment authorId="0" ref="I45">
      <text>
        <t xml:space="preserve">Contractul facut pe PREZENT PRODUCTION</t>
      </text>
    </comment>
    <comment authorId="0" ref="Q45">
      <text>
        <t xml:space="preserve">Contract facut pe PREZENT PRODUCTION</t>
      </text>
    </comment>
    <comment authorId="0" ref="E47">
      <text>
        <t xml:space="preserve">Refacut contract. Bani Cash
</t>
      </text>
    </comment>
    <comment authorId="0" ref="I47">
      <text>
        <t xml:space="preserve">Impozit doar pe avans</t>
      </text>
    </comment>
    <comment authorId="0" ref="Q47">
      <text>
        <t xml:space="preserve">Am primit cash </t>
      </text>
    </comment>
    <comment authorId="0" ref="E49">
      <text>
        <t xml:space="preserve">Refacut contract. Bani Cash</t>
      </text>
    </comment>
    <comment authorId="0" ref="I49">
      <text>
        <t xml:space="preserve">Impozit doar pe avans</t>
      </text>
    </comment>
    <comment authorId="0" ref="Q49">
      <text>
        <t xml:space="preserve">Am primit cash </t>
      </text>
    </comment>
    <comment authorId="0" ref="E50">
      <text>
        <t xml:space="preserve">Refacut contract. Bani Cash
</t>
      </text>
    </comment>
    <comment authorId="0" ref="I50">
      <text>
        <t xml:space="preserve">Impozit doar pe avans</t>
      </text>
    </comment>
    <comment authorId="0" ref="Q50">
      <text>
        <t xml:space="preserve">Am primit cash </t>
      </text>
    </comment>
    <comment authorId="0" ref="E52">
      <text>
        <t xml:space="preserve">Refacut contract. Bani Cash
</t>
      </text>
    </comment>
    <comment authorId="0" ref="I52">
      <text>
        <t xml:space="preserve">Impozit doar pe avans</t>
      </text>
    </comment>
    <comment authorId="0" ref="Q52">
      <text>
        <t xml:space="preserve">Am primit cash </t>
      </text>
    </comment>
    <comment authorId="0" ref="E53">
      <text>
        <t xml:space="preserve">Refacut contract. Bani Cash</t>
      </text>
    </comment>
    <comment authorId="0" ref="I53">
      <text>
        <t xml:space="preserve">Impozit doar pe avans</t>
      </text>
    </comment>
    <comment authorId="0" ref="Q53">
      <text>
        <t xml:space="preserve">Am primit cash </t>
      </text>
    </comment>
    <comment authorId="0" ref="I55">
      <text>
        <t xml:space="preserve">Contractul facut pe PREZENT PRODUCTION</t>
      </text>
    </comment>
    <comment authorId="0" ref="I60">
      <text>
        <t xml:space="preserve">PFA
</t>
      </text>
    </comment>
    <comment authorId="0" ref="Q60">
      <text>
        <t xml:space="preserve">PFA</t>
      </text>
    </comment>
    <comment authorId="0" ref="Q61">
      <text>
        <t xml:space="preserve">Contract direct Luci</t>
      </text>
    </comment>
    <comment authorId="0" ref="E62">
      <text>
        <t xml:space="preserve">Contract facut de ei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Impozit
</t>
      </text>
    </comment>
    <comment authorId="0" ref="L2">
      <text>
        <t xml:space="preserve">Comision prestabilit conform contract MediaPro - Phaser</t>
      </text>
    </comment>
    <comment authorId="0" ref="M2">
      <text>
        <t xml:space="preserve">Comision pentru evenimente contractate inainte de 18.09.2017</t>
      </text>
    </comment>
    <comment authorId="0" ref="G4">
      <text>
        <t xml:space="preserve">Am impartit si avansul
</t>
      </text>
    </comment>
    <comment authorId="0" ref="L4">
      <text>
        <t xml:space="preserve">Am impartit si cei 20 %
</t>
      </text>
    </comment>
    <comment authorId="0" ref="P4">
      <text>
        <t xml:space="preserve">Am impartit toata suma primita
</t>
      </text>
    </comment>
    <comment authorId="0" ref="L7">
      <text>
        <t xml:space="preserve">Am impartit si cei 20%
</t>
      </text>
    </comment>
    <comment authorId="0" ref="P7">
      <text>
        <t xml:space="preserve">Am impartit toata suma primita
</t>
      </text>
    </comment>
    <comment authorId="0" ref="D14">
      <text>
        <t xml:space="preserve">Contract facut de ei</t>
      </text>
    </comment>
    <comment authorId="0" ref="F14">
      <text>
        <t xml:space="preserve">Banii intra dupa 60 de zile
</t>
      </text>
    </comment>
    <comment authorId="0" ref="N14">
      <text>
        <t xml:space="preserve">Banii intra dupa 60 de zile, eu (Radu) zic ca pot sa ramana in firma</t>
      </text>
    </comment>
    <comment authorId="0" ref="O14">
      <text>
        <t xml:space="preserve">Banii intra dupa 60 de zile, eu (Radu) zic ca pot sa ramana in firma</t>
      </text>
    </comment>
    <comment authorId="0" ref="P14">
      <text>
        <t xml:space="preserve">Banii intra dupa 60 de zile, eu (Radu) zic ca pot sa ramana in firma</t>
      </text>
    </comment>
    <comment authorId="0" ref="D16">
      <text>
        <t xml:space="preserve">+ Act Aditional nr.1</t>
      </text>
    </comment>
    <comment authorId="0" ref="H22">
      <text>
        <t xml:space="preserve">Am primit cash, am lasat toti banii, nu am pastrat pentru impozit
</t>
      </text>
    </comment>
    <comment authorId="0" ref="L22">
      <text>
        <t xml:space="preserve">Am primit chash si atunci nu am pastrat pentru 20%, au intrat la chelutieli videoclip PVD</t>
      </text>
    </comment>
    <comment authorId="0" ref="N22">
      <text>
        <t xml:space="preserve">Fiind putin bani, eu (Radu) zic ca pot sa ramana in firma</t>
      </text>
    </comment>
    <comment authorId="0" ref="P22">
      <text>
        <t xml:space="preserve">Fiind putin bani, eu (Radu) zic ca pot sa ramana in firma</t>
      </text>
    </comment>
    <comment authorId="0" ref="D24">
      <text>
        <t xml:space="preserve">Contract facut de ei
</t>
      </text>
    </comment>
    <comment authorId="0" ref="F24">
      <text>
        <t xml:space="preserve">Banii intra dupa 30 de zile
</t>
      </text>
    </comment>
    <comment authorId="0" ref="N24">
      <text>
        <t xml:space="preserve">Banii intra dupa 30 de zile, eu (Radu) zic ca pot sa ramana in firma</t>
      </text>
    </comment>
    <comment authorId="0" ref="P24">
      <text>
        <t xml:space="preserve">Banii intra dupa 60 de zile, eu (Radu) zic ca pot sa ramana in firma</t>
      </text>
    </comment>
    <comment authorId="0" ref="N28">
      <text>
        <t xml:space="preserve">Fiind putin bani fata de restu evenimentelor din luna Iulie, eu (Radu) zic ca pot sa ramana in firma</t>
      </text>
    </comment>
    <comment authorId="0" ref="P28">
      <text>
        <t xml:space="preserve">Fiind putin bani fata de restu evenimentelor din luna Iulie, eu (Radu) zic ca pot sa ramana in firma</t>
      </text>
    </comment>
    <comment authorId="0" ref="D31">
      <text>
        <t xml:space="preserve">Doar avansul a fost incasat pe Phaser, restul pe PFA
</t>
      </text>
    </comment>
    <comment authorId="0" ref="H31">
      <text>
        <t xml:space="preserve">Doar avansul a fost incasat pe Phaser, restul pe PFA</t>
      </text>
    </comment>
    <comment authorId="0" ref="D33">
      <text>
        <t xml:space="preserve">Doar avansul a fost incasat pe Phaser, restul pe PFA</t>
      </text>
    </comment>
    <comment authorId="0" ref="H33">
      <text>
        <t xml:space="preserve">Doar avansul a fost incasat pe Phaser, restul pe PFA</t>
      </text>
    </comment>
    <comment authorId="0" ref="D34">
      <text>
        <t xml:space="preserve">Am incasat de fapt 1450 Euro, fara Contract
</t>
      </text>
    </comment>
    <comment authorId="0" ref="H34">
      <text>
        <t xml:space="preserve">Nu e contract
</t>
      </text>
    </comment>
    <comment authorId="0" ref="D36">
      <text>
        <t xml:space="preserve">Doar avansul a fost incasat pe Phaser, restul pe PFA</t>
      </text>
    </comment>
    <comment authorId="0" ref="H36">
      <text>
        <t xml:space="preserve">Doar avansul a fost incasat pe Phaser, restul pe PFA</t>
      </text>
    </comment>
    <comment authorId="0" ref="H37">
      <text>
        <t xml:space="preserve">Nu e contract
</t>
      </text>
    </comment>
    <comment authorId="0" ref="D39">
      <text>
        <t xml:space="preserve">Doar avansul a fost incasat pe Phaser, restul pe PFA</t>
      </text>
    </comment>
    <comment authorId="0" ref="H39">
      <text>
        <t xml:space="preserve">Doar avansul a fost incasat pe Phaser, restul pe PFA</t>
      </text>
    </comment>
    <comment authorId="0" ref="D41">
      <text>
        <t xml:space="preserve">Doar avansul a fost incasat pe Phaser, restul pe PFA</t>
      </text>
    </comment>
    <comment authorId="0" ref="H41">
      <text>
        <t xml:space="preserve">Doar avansul a fost incasat pe Phaser, restul pe PFA</t>
      </text>
    </comment>
    <comment authorId="0" ref="D42">
      <text>
        <t xml:space="preserve">Doar avansul a fost incasat pe Phaser, restul pe PFA</t>
      </text>
    </comment>
    <comment authorId="0" ref="H42">
      <text>
        <t xml:space="preserve">Doar avansul a fost incasat pe Phaser, restul pe PFA</t>
      </text>
    </comment>
    <comment authorId="0" ref="D43">
      <text>
        <t xml:space="preserve">Doar avansul a fost incasat pe Phaser, restul pe PFA</t>
      </text>
    </comment>
    <comment authorId="0" ref="H43">
      <text>
        <t xml:space="preserve">Doar avansul a fost incasat pe Phaser, restul pe PFA</t>
      </text>
    </comment>
    <comment authorId="0" ref="D44">
      <text>
        <t xml:space="preserve">Doar avansul a fost incasat pe Phaser, restul pe PFA</t>
      </text>
    </comment>
    <comment authorId="0" ref="H44">
      <text>
        <t xml:space="preserve">Doar avansul a fost incasat pe Phaser, restul pe PFA</t>
      </text>
    </comment>
    <comment authorId="0" ref="D46">
      <text>
        <t xml:space="preserve">Contract facut de ei
</t>
      </text>
    </comment>
    <comment authorId="0" ref="D47">
      <text>
        <t xml:space="preserve">Contract facut de ei
</t>
      </text>
    </comment>
    <comment authorId="0" ref="D48">
      <text>
        <t xml:space="preserve">Doar avansul a fost incasat pe Phaser, restul pe PFA</t>
      </text>
    </comment>
    <comment authorId="0" ref="H48">
      <text>
        <t xml:space="preserve">Doar avansul a fost incasat pe Phaser, restul pe PFA</t>
      </text>
    </comment>
    <comment authorId="0" ref="D50">
      <text>
        <t xml:space="preserve">Contract  persoana lui Luci
</t>
      </text>
    </comment>
    <comment authorId="0" ref="H50">
      <text>
        <t xml:space="preserve">Am incasat pe persoana fizica
</t>
      </text>
    </comment>
    <comment authorId="0" ref="D52">
      <text>
        <t xml:space="preserve">Contract facut de ei</t>
      </text>
    </comment>
    <comment authorId="0" ref="D53">
      <text>
        <t xml:space="preserve">Doar avansul a fost incasat pe Phaser, restul pe PFA</t>
      </text>
    </comment>
    <comment authorId="0" ref="H53">
      <text>
        <t xml:space="preserve">Doar avansul a fost incasat pe Phaser, restul pe PFA</t>
      </text>
    </comment>
    <comment authorId="0" ref="P53">
      <text>
        <t xml:space="preserve">Sebi - 950
</t>
      </text>
    </comment>
    <comment authorId="0" ref="D61">
      <text>
        <t xml:space="preserve">Factura pe PFA
</t>
      </text>
    </comment>
    <comment authorId="0" ref="D62">
      <text>
        <t xml:space="preserve">Contract facut de ei
</t>
      </text>
    </comment>
  </commentList>
</comments>
</file>

<file path=xl/sharedStrings.xml><?xml version="1.0" encoding="utf-8"?>
<sst xmlns="http://schemas.openxmlformats.org/spreadsheetml/2006/main" count="9801" uniqueCount="1810">
  <si>
    <t>Cheltuieli</t>
  </si>
  <si>
    <t>Data</t>
  </si>
  <si>
    <t>Tip Event</t>
  </si>
  <si>
    <t>Specific</t>
  </si>
  <si>
    <t>Locatie</t>
  </si>
  <si>
    <t>Descriere</t>
  </si>
  <si>
    <t>Nr. Ctr.</t>
  </si>
  <si>
    <t>Total</t>
  </si>
  <si>
    <t>Valuta</t>
  </si>
  <si>
    <t>Avans</t>
  </si>
  <si>
    <t>TCH</t>
  </si>
  <si>
    <t>Profit</t>
  </si>
  <si>
    <t>Fond</t>
  </si>
  <si>
    <t>%fond</t>
  </si>
  <si>
    <t>DivPH</t>
  </si>
  <si>
    <t>AlteDiv</t>
  </si>
  <si>
    <t>%DIV</t>
  </si>
  <si>
    <t>Phaser</t>
  </si>
  <si>
    <t>Calcul Artist</t>
  </si>
  <si>
    <t>Artist Real</t>
  </si>
  <si>
    <t>Restul</t>
  </si>
  <si>
    <t>Detalii</t>
  </si>
  <si>
    <t>Prezent</t>
  </si>
  <si>
    <t>Pret</t>
  </si>
  <si>
    <t>Tehnici</t>
  </si>
  <si>
    <t>Drum</t>
  </si>
  <si>
    <t>Lumini</t>
  </si>
  <si>
    <t>DJ</t>
  </si>
  <si>
    <t>Extra</t>
  </si>
  <si>
    <t>Ianuarie</t>
  </si>
  <si>
    <t>Februarie</t>
  </si>
  <si>
    <t>Martie</t>
  </si>
  <si>
    <t>Aprilie</t>
  </si>
  <si>
    <t>Mai</t>
  </si>
  <si>
    <t>Privat</t>
  </si>
  <si>
    <t>Nunta</t>
  </si>
  <si>
    <t>Plaja Noua</t>
  </si>
  <si>
    <t>EUR</t>
  </si>
  <si>
    <t>Backline</t>
  </si>
  <si>
    <t>Iunie</t>
  </si>
  <si>
    <t>Pallazo</t>
  </si>
  <si>
    <t>Flavius</t>
  </si>
  <si>
    <t>Iulie</t>
  </si>
  <si>
    <t>Luxury Events Ballroom @ Cunta</t>
  </si>
  <si>
    <t>August</t>
  </si>
  <si>
    <t>Province</t>
  </si>
  <si>
    <t>Sistem Full</t>
  </si>
  <si>
    <t>Septembrie</t>
  </si>
  <si>
    <t xml:space="preserve">Domeniul Lupas </t>
  </si>
  <si>
    <t>Chrystal Ballroom Venue</t>
  </si>
  <si>
    <t>Octombrie</t>
  </si>
  <si>
    <t>Sala noua @ Flonta</t>
  </si>
  <si>
    <t>Decembrie</t>
  </si>
  <si>
    <t>TEST</t>
  </si>
  <si>
    <t>Public</t>
  </si>
  <si>
    <t>Concert Phaser</t>
  </si>
  <si>
    <t>Livigno @ Italia</t>
  </si>
  <si>
    <t>Snow Fest Italia</t>
  </si>
  <si>
    <t>RON</t>
  </si>
  <si>
    <t>Kai @ Timisoara</t>
  </si>
  <si>
    <t>Les Deux Alps @ Franta</t>
  </si>
  <si>
    <t>Snow Fest Franta</t>
  </si>
  <si>
    <t>Val Thorens @ Franta</t>
  </si>
  <si>
    <t>Targ de nunti</t>
  </si>
  <si>
    <t>Scena Mare</t>
  </si>
  <si>
    <t>Timisoara</t>
  </si>
  <si>
    <t>Targul de Pasti</t>
  </si>
  <si>
    <t>Domeniile Streiului</t>
  </si>
  <si>
    <t>Sistem de sunet</t>
  </si>
  <si>
    <t xml:space="preserve">Province </t>
  </si>
  <si>
    <t>Botez</t>
  </si>
  <si>
    <t>Villa Trevi</t>
  </si>
  <si>
    <t>Ivy Events</t>
  </si>
  <si>
    <t xml:space="preserve">Flonta </t>
  </si>
  <si>
    <t>Timeea @ Resita</t>
  </si>
  <si>
    <t>Bastion @ Timisoara</t>
  </si>
  <si>
    <t>Cvartet</t>
  </si>
  <si>
    <t>Riviere Ballroom</t>
  </si>
  <si>
    <t>Corporate</t>
  </si>
  <si>
    <t>Sky Restaurant</t>
  </si>
  <si>
    <t>Muzeul Satului</t>
  </si>
  <si>
    <t>Flight Festival</t>
  </si>
  <si>
    <t>Corpul diplomatic @ Bucuresti</t>
  </si>
  <si>
    <t>Hotel Timisoara</t>
  </si>
  <si>
    <t>LifeCare</t>
  </si>
  <si>
    <t>Podium</t>
  </si>
  <si>
    <t>Convention Center @ Timisoara</t>
  </si>
  <si>
    <t>Hotel Tresor @ Timisoara</t>
  </si>
  <si>
    <t>Heaven Outdoor</t>
  </si>
  <si>
    <t>Giarmata</t>
  </si>
  <si>
    <t>Zilele Orasului</t>
  </si>
  <si>
    <t>in-ear + tobe</t>
  </si>
  <si>
    <t>Continental</t>
  </si>
  <si>
    <t>Palazzo Events</t>
  </si>
  <si>
    <t>Queen Mary @ Oradea</t>
  </si>
  <si>
    <t>Shopping City</t>
  </si>
  <si>
    <t>Kuky</t>
  </si>
  <si>
    <t>Noiembrie</t>
  </si>
  <si>
    <t>Ivy</t>
  </si>
  <si>
    <t>Congress Hall</t>
  </si>
  <si>
    <t>Porsche</t>
  </si>
  <si>
    <t>Stage Pub</t>
  </si>
  <si>
    <t>Vestmed</t>
  </si>
  <si>
    <t>Targ de Craciun</t>
  </si>
  <si>
    <t>Piata Victoriei</t>
  </si>
  <si>
    <t>Revelion</t>
  </si>
  <si>
    <t>Onorariu Artist</t>
  </si>
  <si>
    <t>POSIBIL</t>
  </si>
  <si>
    <t>REAL</t>
  </si>
  <si>
    <t>Carina</t>
  </si>
  <si>
    <t>Arni</t>
  </si>
  <si>
    <t>Radu</t>
  </si>
  <si>
    <t>Sebi</t>
  </si>
  <si>
    <t>Luci</t>
  </si>
  <si>
    <t>Flonta LakeSide</t>
  </si>
  <si>
    <t>Bastion</t>
  </si>
  <si>
    <t>Zilele Giarmata</t>
  </si>
  <si>
    <t>Venituri RON</t>
  </si>
  <si>
    <t>Total Events</t>
  </si>
  <si>
    <t>Eur</t>
  </si>
  <si>
    <t>Venituri EUR</t>
  </si>
  <si>
    <t>Cheltuieli RON</t>
  </si>
  <si>
    <t>Cheltuieli EUR</t>
  </si>
  <si>
    <t>Retrageri</t>
  </si>
  <si>
    <t>ron</t>
  </si>
  <si>
    <t>Scena mare</t>
  </si>
  <si>
    <t>Depuneri</t>
  </si>
  <si>
    <t>Recuperari</t>
  </si>
  <si>
    <t>Datorii</t>
  </si>
  <si>
    <t>Balanta RON</t>
  </si>
  <si>
    <t>Aniversare</t>
  </si>
  <si>
    <t>Balanta EUR</t>
  </si>
  <si>
    <t>Balanta</t>
  </si>
  <si>
    <t>Total w.datorii&amp;recuperari</t>
  </si>
  <si>
    <t>Onorariu Real 2025 RON</t>
  </si>
  <si>
    <t>Onorariu Real 2025 EUR</t>
  </si>
  <si>
    <t>Total Onorariu Real 2024</t>
  </si>
  <si>
    <t>euro</t>
  </si>
  <si>
    <t>Comision Retrageri</t>
  </si>
  <si>
    <t>Comision Operatiune</t>
  </si>
  <si>
    <t>Total Onorariu Posibil 2025 RON</t>
  </si>
  <si>
    <t>Salariu</t>
  </si>
  <si>
    <t>Total Onorariu Posibil 2025 EUR</t>
  </si>
  <si>
    <t>TVA</t>
  </si>
  <si>
    <t>Total Onorariu Posibil 2025</t>
  </si>
  <si>
    <t>ING Card</t>
  </si>
  <si>
    <t>Drive</t>
  </si>
  <si>
    <t>Momentan</t>
  </si>
  <si>
    <t>In banca</t>
  </si>
  <si>
    <t>Cash</t>
  </si>
  <si>
    <t>Venituri</t>
  </si>
  <si>
    <t>Suma</t>
  </si>
  <si>
    <t>Categorie</t>
  </si>
  <si>
    <t>Mod</t>
  </si>
  <si>
    <t>Ron</t>
  </si>
  <si>
    <t>Banca</t>
  </si>
  <si>
    <t>suceava</t>
  </si>
  <si>
    <t>Altele</t>
  </si>
  <si>
    <t>Sold initial 2025</t>
  </si>
  <si>
    <t>recuperare cantare concert fitt</t>
  </si>
  <si>
    <t>Event</t>
  </si>
  <si>
    <t>ranking coach</t>
  </si>
  <si>
    <t>Cantari dec 2024</t>
  </si>
  <si>
    <t xml:space="preserve">rotary </t>
  </si>
  <si>
    <t>Protocol</t>
  </si>
  <si>
    <t>livigno</t>
  </si>
  <si>
    <t>fitt 2024</t>
  </si>
  <si>
    <t>kai</t>
  </si>
  <si>
    <t>soho</t>
  </si>
  <si>
    <t>province</t>
  </si>
  <si>
    <t>rotary</t>
  </si>
  <si>
    <t>tg jiu</t>
  </si>
  <si>
    <t>revelion</t>
  </si>
  <si>
    <t>parte din tg jiu</t>
  </si>
  <si>
    <t>Contabila</t>
  </si>
  <si>
    <t>kai ian 2025</t>
  </si>
  <si>
    <t>kai + soho 2024</t>
  </si>
  <si>
    <t>revelion resita 2024</t>
  </si>
  <si>
    <t>benzina 2024</t>
  </si>
  <si>
    <t>internet 2024</t>
  </si>
  <si>
    <t>suceava 2024</t>
  </si>
  <si>
    <t>revelion 2024</t>
  </si>
  <si>
    <t>tg jiu 2024</t>
  </si>
  <si>
    <t>parte din kai 2024 noiembrie</t>
  </si>
  <si>
    <t>parte din rotary 2024</t>
  </si>
  <si>
    <t>soho resita 2024</t>
  </si>
  <si>
    <t>kai 2024 noi</t>
  </si>
  <si>
    <t>casa tineretului 2024</t>
  </si>
  <si>
    <t>rotary resita 2024</t>
  </si>
  <si>
    <t>kai noiembrie 2024</t>
  </si>
  <si>
    <t>kai ianuarie 2025</t>
  </si>
  <si>
    <t>Promo Meta</t>
  </si>
  <si>
    <t>Parte din kai noiembrie 2024</t>
  </si>
  <si>
    <t>rotoray</t>
  </si>
  <si>
    <t xml:space="preserve">tg jiu </t>
  </si>
  <si>
    <t>resita revelion</t>
  </si>
  <si>
    <t>avans nunta 30.08.2025</t>
  </si>
  <si>
    <t>roata carut</t>
  </si>
  <si>
    <t>avans nunta 11.05.2025</t>
  </si>
  <si>
    <t>kai ianuarie</t>
  </si>
  <si>
    <t>tehnic arni</t>
  </si>
  <si>
    <t>avans nunta 30.05.2025</t>
  </si>
  <si>
    <t>arni internet</t>
  </si>
  <si>
    <t>recuperare cinele</t>
  </si>
  <si>
    <t>Euro</t>
  </si>
  <si>
    <t>VT + Les2Alpes</t>
  </si>
  <si>
    <t>concerte snow</t>
  </si>
  <si>
    <t>parte kai noiembrie</t>
  </si>
  <si>
    <t>targu de pasti 2025</t>
  </si>
  <si>
    <t>avans aquatim</t>
  </si>
  <si>
    <t>levy, plaja noua + centru</t>
  </si>
  <si>
    <t>nunta 02.05.2025</t>
  </si>
  <si>
    <t>Impozit</t>
  </si>
  <si>
    <t>nunta 22.06.2026</t>
  </si>
  <si>
    <t>nunta 11.05.2025</t>
  </si>
  <si>
    <t>nunta 23.05.2025</t>
  </si>
  <si>
    <t>corporate dragger</t>
  </si>
  <si>
    <t>nunta 24.05.2025</t>
  </si>
  <si>
    <t>nunta 19.09.2026</t>
  </si>
  <si>
    <t>Schimb Valutar</t>
  </si>
  <si>
    <t>nunta 31.05.2025</t>
  </si>
  <si>
    <t>nunta 30.05.2025</t>
  </si>
  <si>
    <t>Audio</t>
  </si>
  <si>
    <t>beni nunta</t>
  </si>
  <si>
    <t>nunta 11.10.2025</t>
  </si>
  <si>
    <t xml:space="preserve">Casti </t>
  </si>
  <si>
    <t>stativ etc</t>
  </si>
  <si>
    <t>cvartet</t>
  </si>
  <si>
    <t>14.06.2025</t>
  </si>
  <si>
    <t>nunta 14.06.2025</t>
  </si>
  <si>
    <t>17.06.2025</t>
  </si>
  <si>
    <t>nunta 26.09.2026</t>
  </si>
  <si>
    <t>nunta 25.07.2026</t>
  </si>
  <si>
    <t>strazi pt comunitate</t>
  </si>
  <si>
    <t>event sky</t>
  </si>
  <si>
    <t>bucuresti</t>
  </si>
  <si>
    <t>sorin, monitoare</t>
  </si>
  <si>
    <t>lifecare</t>
  </si>
  <si>
    <t>flight 2025</t>
  </si>
  <si>
    <t>nunta province</t>
  </si>
  <si>
    <t>sky dragger</t>
  </si>
  <si>
    <t>party aquatim</t>
  </si>
  <si>
    <t>nunta 6 iulie</t>
  </si>
  <si>
    <t>Bucuresti</t>
  </si>
  <si>
    <t>Sala CS</t>
  </si>
  <si>
    <t>parte sky dragger</t>
  </si>
  <si>
    <t>Apele romane</t>
  </si>
  <si>
    <t>Lifecare</t>
  </si>
  <si>
    <t>Nunta 16 august</t>
  </si>
  <si>
    <t>Soundcreation</t>
  </si>
  <si>
    <t>Nunta 30 august</t>
  </si>
  <si>
    <t>Nunta 16.08</t>
  </si>
  <si>
    <t>Nunta 30.08</t>
  </si>
  <si>
    <t>Nunta 06.09 + Giarmata</t>
  </si>
  <si>
    <t>Nunta 06.09</t>
  </si>
  <si>
    <t>Tehnic Ian-Iulie 2025</t>
  </si>
  <si>
    <t>Rack nou 2025</t>
  </si>
  <si>
    <t>Giarmata 06.09.2025</t>
  </si>
  <si>
    <t>Nunta 06.09.2025</t>
  </si>
  <si>
    <t>In-ear + tobe</t>
  </si>
  <si>
    <t>Nunta 13.09.2025</t>
  </si>
  <si>
    <t>Nunta 20.09.2025</t>
  </si>
  <si>
    <t>Nunta Heaven</t>
  </si>
  <si>
    <t>Nunta 27.09.2025</t>
  </si>
  <si>
    <t>Mediagalaxy</t>
  </si>
  <si>
    <t>Nunta 04.10.2025</t>
  </si>
  <si>
    <t>Nunta 11.10.2025</t>
  </si>
  <si>
    <t>Concert Kuky</t>
  </si>
  <si>
    <t>Nunta 01.11.2025</t>
  </si>
  <si>
    <t>TOTAL DATORII</t>
  </si>
  <si>
    <t>Datorie Prezent</t>
  </si>
  <si>
    <t>Datorii persoane</t>
  </si>
  <si>
    <t>Carina Social 2025</t>
  </si>
  <si>
    <t>Alte datorii</t>
  </si>
  <si>
    <t>Arni Tehnic</t>
  </si>
  <si>
    <t>Total Prezent</t>
  </si>
  <si>
    <t>Total Pesoane</t>
  </si>
  <si>
    <t>Total alte datorii</t>
  </si>
  <si>
    <t>TOTAL RECUPERARI</t>
  </si>
  <si>
    <t>Onorariu Real 2024 RON</t>
  </si>
  <si>
    <t>Onorariu Real 2024 EUR</t>
  </si>
  <si>
    <t>Total Onorariu Posibil 2024 RON</t>
  </si>
  <si>
    <t>Total Onorariu Posibil 2024 EUR</t>
  </si>
  <si>
    <t>Total Onorariu Posibil 2024</t>
  </si>
  <si>
    <t>Flonta (Lakeside)</t>
  </si>
  <si>
    <t>Sunet Full</t>
  </si>
  <si>
    <t xml:space="preserve">Radio Resita </t>
  </si>
  <si>
    <t>Concert in Studio Radio Resita</t>
  </si>
  <si>
    <t>Misu Aurel</t>
  </si>
  <si>
    <t>marcel + levi</t>
  </si>
  <si>
    <t>Dean</t>
  </si>
  <si>
    <t>Flying Circus @ Cluj</t>
  </si>
  <si>
    <t>levi</t>
  </si>
  <si>
    <t>Radio Tg Mures</t>
  </si>
  <si>
    <t>Republic Hub @ Tg Mures</t>
  </si>
  <si>
    <t>NooVo @ Oradea</t>
  </si>
  <si>
    <t>Soho @ Resita</t>
  </si>
  <si>
    <t>protocol</t>
  </si>
  <si>
    <t>comision manger</t>
  </si>
  <si>
    <t>Pixel @ Timisoara</t>
  </si>
  <si>
    <t>Parcul Padurice</t>
  </si>
  <si>
    <t>Parcul Bucovina</t>
  </si>
  <si>
    <t>Centru Civic @ Resita</t>
  </si>
  <si>
    <t>Aniversare UBB Resita</t>
  </si>
  <si>
    <t>Buz + Masini</t>
  </si>
  <si>
    <t>Serenity @ Codlea</t>
  </si>
  <si>
    <t>Palatul Brukenthal @ Avrig</t>
  </si>
  <si>
    <t>Galla</t>
  </si>
  <si>
    <t>Beni</t>
  </si>
  <si>
    <t>Galla Events</t>
  </si>
  <si>
    <t>Deta</t>
  </si>
  <si>
    <t>Zilele Deta</t>
  </si>
  <si>
    <t>In spatele Casei</t>
  </si>
  <si>
    <t>Public/Privat VSU Liceu</t>
  </si>
  <si>
    <t>Gotlob</t>
  </si>
  <si>
    <t>Zilele orasului</t>
  </si>
  <si>
    <t>Comision manger</t>
  </si>
  <si>
    <t>Dudestii Vechi</t>
  </si>
  <si>
    <t>Venue</t>
  </si>
  <si>
    <t>Aniversare Banatul Montan</t>
  </si>
  <si>
    <t>Palazzo Luxury</t>
  </si>
  <si>
    <t xml:space="preserve">L'iziera </t>
  </si>
  <si>
    <t>dm aniversare</t>
  </si>
  <si>
    <t>Flonta</t>
  </si>
  <si>
    <t>Phoenix by the Lake @ Bucuresti</t>
  </si>
  <si>
    <t>2 buzuri</t>
  </si>
  <si>
    <t>podium</t>
  </si>
  <si>
    <t>Casa Tineretului</t>
  </si>
  <si>
    <t>Gala Tinerilor</t>
  </si>
  <si>
    <t>Hotel Rogge @ Resita</t>
  </si>
  <si>
    <t>Rotary</t>
  </si>
  <si>
    <t>Pensiunea "La FIluta" @ Suceava</t>
  </si>
  <si>
    <t>Euskdai</t>
  </si>
  <si>
    <t>Ranking Coach</t>
  </si>
  <si>
    <t>proiector</t>
  </si>
  <si>
    <t>DolceVita Ballroom @ Tg. Jiu</t>
  </si>
  <si>
    <t>Farbum</t>
  </si>
  <si>
    <t>Resita</t>
  </si>
  <si>
    <t>Palatul Brukental @ Avrig</t>
  </si>
  <si>
    <t>DM</t>
  </si>
  <si>
    <t>Kai</t>
  </si>
  <si>
    <t>Suceava</t>
  </si>
  <si>
    <t>Tg. Jiu</t>
  </si>
  <si>
    <t>Sold initial 2024</t>
  </si>
  <si>
    <t>party aprilie 2024</t>
  </si>
  <si>
    <t>Factureaza</t>
  </si>
  <si>
    <t>recuperari province 2023</t>
  </si>
  <si>
    <t>din 2023 restanta + 2024 full</t>
  </si>
  <si>
    <t>ccs resita dec 2023</t>
  </si>
  <si>
    <t>event 27.01.2024</t>
  </si>
  <si>
    <t>restul de cantari pe 2023</t>
  </si>
  <si>
    <t>arni drum recuperari 2023</t>
  </si>
  <si>
    <t>carina drum recuperari 2023 + radio resita 2024</t>
  </si>
  <si>
    <t>radu drum radio resita 2024</t>
  </si>
  <si>
    <t>restul de cantari 2022</t>
  </si>
  <si>
    <t>luci drum 2023 + radio resita</t>
  </si>
  <si>
    <t>cartela telefon pentru nunti</t>
  </si>
  <si>
    <t>kai event marci</t>
  </si>
  <si>
    <t>kai event levi + sunet</t>
  </si>
  <si>
    <t xml:space="preserve">dean kai event </t>
  </si>
  <si>
    <t xml:space="preserve">parcare kai event </t>
  </si>
  <si>
    <t>splice</t>
  </si>
  <si>
    <t>buz</t>
  </si>
  <si>
    <t>avans nunta 21.06.2024</t>
  </si>
  <si>
    <t>avans nunta 29.09.2024</t>
  </si>
  <si>
    <t>avans nunta 19.10.2024</t>
  </si>
  <si>
    <t>zillele giarmata + anti bully</t>
  </si>
  <si>
    <t>avocati adr</t>
  </si>
  <si>
    <t>huse thomann</t>
  </si>
  <si>
    <t>motorina buz turneu</t>
  </si>
  <si>
    <t>revelion 2023 + sala lira concert 2023</t>
  </si>
  <si>
    <t>covrigi apa</t>
  </si>
  <si>
    <t>cafea etc</t>
  </si>
  <si>
    <t>pranz cluj</t>
  </si>
  <si>
    <t>doner cluj</t>
  </si>
  <si>
    <t>mega image</t>
  </si>
  <si>
    <t>parcare cluj</t>
  </si>
  <si>
    <t>mega cluj</t>
  </si>
  <si>
    <t>mol benzinarie</t>
  </si>
  <si>
    <t>biliard mures</t>
  </si>
  <si>
    <t>sucuri mures</t>
  </si>
  <si>
    <t>pranz oradea</t>
  </si>
  <si>
    <t>mancare si supermarket</t>
  </si>
  <si>
    <t>motorina buz</t>
  </si>
  <si>
    <t>promo miniturneu</t>
  </si>
  <si>
    <t>concert resita soho</t>
  </si>
  <si>
    <t>receiver</t>
  </si>
  <si>
    <t>masina arni</t>
  </si>
  <si>
    <t>masina carina</t>
  </si>
  <si>
    <t>masina buz</t>
  </si>
  <si>
    <t>levi si marcel</t>
  </si>
  <si>
    <t>nunta 5 iulie</t>
  </si>
  <si>
    <t>concert Kai februarie</t>
  </si>
  <si>
    <t>Ian-Mar</t>
  </si>
  <si>
    <t>nunta 9 iunie</t>
  </si>
  <si>
    <t>soho comision</t>
  </si>
  <si>
    <t>anti bully</t>
  </si>
  <si>
    <t>zilele giarmata</t>
  </si>
  <si>
    <t>concert pixel</t>
  </si>
  <si>
    <t>nunta 28.09.2024</t>
  </si>
  <si>
    <t>concerte in parcuri</t>
  </si>
  <si>
    <t>nunta 15.06.2024</t>
  </si>
  <si>
    <t>concert kai 26.04.2024</t>
  </si>
  <si>
    <t>botez 9 iunie 2024</t>
  </si>
  <si>
    <t>recuperari luci cantari</t>
  </si>
  <si>
    <t>event 8 iunie 2024</t>
  </si>
  <si>
    <t>recuperari sebi cantari</t>
  </si>
  <si>
    <t>event 15 iunie 2024</t>
  </si>
  <si>
    <t>recuperari radu cantari</t>
  </si>
  <si>
    <t>recuperari arni cantari</t>
  </si>
  <si>
    <t>recuperari carinai cantari</t>
  </si>
  <si>
    <t>nunta province 8 iunie 2024</t>
  </si>
  <si>
    <t>nunta province 15 iunie 2024</t>
  </si>
  <si>
    <t>soft</t>
  </si>
  <si>
    <t>Dividende</t>
  </si>
  <si>
    <t>tehnici aprilie 15 iunie</t>
  </si>
  <si>
    <t>sunet din aprilie pana in iunie</t>
  </si>
  <si>
    <t>party aquatim 11 iunie</t>
  </si>
  <si>
    <t>flight 2024</t>
  </si>
  <si>
    <t>concert ubb resita</t>
  </si>
  <si>
    <t>nunta province 21 iunie 2024</t>
  </si>
  <si>
    <t>nunta 21 iunie 2024</t>
  </si>
  <si>
    <t>nunta province + flitgh 2024</t>
  </si>
  <si>
    <t>stardust party</t>
  </si>
  <si>
    <t>nunta province 29 iunie 2024</t>
  </si>
  <si>
    <t>nunta 29 iunie 2024</t>
  </si>
  <si>
    <t>party stardust</t>
  </si>
  <si>
    <t>nunta province 5 iulie 2024</t>
  </si>
  <si>
    <t>nunta 5 iulie 2024</t>
  </si>
  <si>
    <t>Seap</t>
  </si>
  <si>
    <t>nunta galla 12 iulie 2024</t>
  </si>
  <si>
    <t>corectie google ads</t>
  </si>
  <si>
    <t>zilele detei</t>
  </si>
  <si>
    <t>nunta 16 august 2025</t>
  </si>
  <si>
    <t>in spatele casei</t>
  </si>
  <si>
    <t>concert flight</t>
  </si>
  <si>
    <t>concert deta</t>
  </si>
  <si>
    <t>concert deta 2b</t>
  </si>
  <si>
    <t>cartuse print</t>
  </si>
  <si>
    <t>avans maul cristina</t>
  </si>
  <si>
    <t>gotlob si dudesti</t>
  </si>
  <si>
    <t>concert dudestii 2b</t>
  </si>
  <si>
    <t>avion buc carina</t>
  </si>
  <si>
    <t>event 25, 30,31,1 sep</t>
  </si>
  <si>
    <t>gotlob</t>
  </si>
  <si>
    <t>dudesti</t>
  </si>
  <si>
    <t>banatu montan</t>
  </si>
  <si>
    <t>dm</t>
  </si>
  <si>
    <t>nunta caprioru</t>
  </si>
  <si>
    <t>deta, dudestii, liziera, gotlob, resita</t>
  </si>
  <si>
    <t>party dm</t>
  </si>
  <si>
    <t>nunta 30 august 2024</t>
  </si>
  <si>
    <t>nunta 31.08</t>
  </si>
  <si>
    <t>5 iulie province</t>
  </si>
  <si>
    <t>deta</t>
  </si>
  <si>
    <t>27 iunie corporate galla</t>
  </si>
  <si>
    <t>sunet</t>
  </si>
  <si>
    <t>concert fitt 2024</t>
  </si>
  <si>
    <t>nunta 20.09.2025</t>
  </si>
  <si>
    <t>impozit gresit</t>
  </si>
  <si>
    <t>nunta 15 septembrie</t>
  </si>
  <si>
    <t>dudestii</t>
  </si>
  <si>
    <t>nunta 14.09.2024</t>
  </si>
  <si>
    <t>nunta 14 sept</t>
  </si>
  <si>
    <t>nunta 14, 15 sept</t>
  </si>
  <si>
    <t>nunta 14 septembrie</t>
  </si>
  <si>
    <t>morsound fond phaser tobe repetitii</t>
  </si>
  <si>
    <t>nunta 22.09.2024</t>
  </si>
  <si>
    <t>morsound arni tehnic phaser</t>
  </si>
  <si>
    <t>nunta 22 sept</t>
  </si>
  <si>
    <t>nunta bucuresti 29.09.2024</t>
  </si>
  <si>
    <t>nunta 28 sept</t>
  </si>
  <si>
    <t>nunta 29 sept</t>
  </si>
  <si>
    <t>sept buz</t>
  </si>
  <si>
    <t>party euskadi</t>
  </si>
  <si>
    <t xml:space="preserve">nunta 5 oct </t>
  </si>
  <si>
    <t>nunta 5 oct</t>
  </si>
  <si>
    <t>inchiriere photoshoot</t>
  </si>
  <si>
    <t>sept + plaja nou 5 buz</t>
  </si>
  <si>
    <t>Splice</t>
  </si>
  <si>
    <t>Ableset</t>
  </si>
  <si>
    <t>Photoshop Vidz</t>
  </si>
  <si>
    <t>Cablu patch si case din fond</t>
  </si>
  <si>
    <t>nunta 12 oct</t>
  </si>
  <si>
    <t>Nunta 12.10.2025</t>
  </si>
  <si>
    <t>Nunta 25.06.2025</t>
  </si>
  <si>
    <t>Ape</t>
  </si>
  <si>
    <t>Recuperare</t>
  </si>
  <si>
    <t>Nunta 14.06.2025</t>
  </si>
  <si>
    <t>imprumut carina</t>
  </si>
  <si>
    <t>casti din fond</t>
  </si>
  <si>
    <t>Nunta 06.06.2026</t>
  </si>
  <si>
    <t>recuperare levy</t>
  </si>
  <si>
    <t>Botez 08.11.2024</t>
  </si>
  <si>
    <t>08.11.2024</t>
  </si>
  <si>
    <t>casti + software fond</t>
  </si>
  <si>
    <t>recuperari</t>
  </si>
  <si>
    <t>parte din tehnic 2024</t>
  </si>
  <si>
    <t>florin tompa</t>
  </si>
  <si>
    <t>marcel</t>
  </si>
  <si>
    <t>poze mihes</t>
  </si>
  <si>
    <t>rotary 2024</t>
  </si>
  <si>
    <t>tehnic rotary</t>
  </si>
  <si>
    <t>levy</t>
  </si>
  <si>
    <t>Party Farbum</t>
  </si>
  <si>
    <t>pedala si cablu fond</t>
  </si>
  <si>
    <t>mancare soh</t>
  </si>
  <si>
    <t>Cazare Resita</t>
  </si>
  <si>
    <t>soho concert</t>
  </si>
  <si>
    <t>concert soho</t>
  </si>
  <si>
    <t>comision soho</t>
  </si>
  <si>
    <t>rovinieta</t>
  </si>
  <si>
    <t>buz + benzina + cheltuieli suceava</t>
  </si>
  <si>
    <t>aplicatie mixer</t>
  </si>
  <si>
    <t>fitt</t>
  </si>
  <si>
    <t>kronos din fond</t>
  </si>
  <si>
    <t>party ranking coach</t>
  </si>
  <si>
    <t>parte din fitt</t>
  </si>
  <si>
    <t>Radu datorii</t>
  </si>
  <si>
    <t>Protocol Tg. Jiu</t>
  </si>
  <si>
    <t>protocol levy tg jiu</t>
  </si>
  <si>
    <t>Drum + Protocol Tg jiu</t>
  </si>
  <si>
    <t>Ranking coach</t>
  </si>
  <si>
    <t>party tg jiu</t>
  </si>
  <si>
    <t>recuperare motorina</t>
  </si>
  <si>
    <t>Restul RON</t>
  </si>
  <si>
    <t>Restul EUR</t>
  </si>
  <si>
    <t>Total Restul</t>
  </si>
  <si>
    <t>Fond RON</t>
  </si>
  <si>
    <t>Fond EUR</t>
  </si>
  <si>
    <t>Sold Initial</t>
  </si>
  <si>
    <t>Total Fond</t>
  </si>
  <si>
    <t>TCH RON</t>
  </si>
  <si>
    <t>TCH EUR</t>
  </si>
  <si>
    <t>Total TCH</t>
  </si>
  <si>
    <t>Prezent RON</t>
  </si>
  <si>
    <t>Prezent EUR</t>
  </si>
  <si>
    <t>Total w.datorii</t>
  </si>
  <si>
    <t>Tehnici RON</t>
  </si>
  <si>
    <t>Tehnici EUR</t>
  </si>
  <si>
    <t>Onorariu Real 2023 RON</t>
  </si>
  <si>
    <t>Total Tehnici</t>
  </si>
  <si>
    <t>Onorariu Real 2023 EUR</t>
  </si>
  <si>
    <t>Total Onorariu Real 2023</t>
  </si>
  <si>
    <t>Lumini RON</t>
  </si>
  <si>
    <t>Lumini EUR</t>
  </si>
  <si>
    <t>Total Onorariu Posibil 2023 RON</t>
  </si>
  <si>
    <t>Total Lumini</t>
  </si>
  <si>
    <t>Total Onorariu Posibil 2023 EUR</t>
  </si>
  <si>
    <t>Total Onorariu Posibil 2023</t>
  </si>
  <si>
    <t>Drum RON</t>
  </si>
  <si>
    <t>Drum EUR</t>
  </si>
  <si>
    <t>Total Venit Event 2023 RON</t>
  </si>
  <si>
    <t>Total Drum</t>
  </si>
  <si>
    <t>Total Venit Event 2023 EUR</t>
  </si>
  <si>
    <t>Total Venit Event 2023</t>
  </si>
  <si>
    <t>Extra RON</t>
  </si>
  <si>
    <t>Extra EUR</t>
  </si>
  <si>
    <t>Total Extra</t>
  </si>
  <si>
    <t>DJ RON</t>
  </si>
  <si>
    <t>DJ EUR</t>
  </si>
  <si>
    <t>Total DJ</t>
  </si>
  <si>
    <t>Avans RON</t>
  </si>
  <si>
    <t>Avans EUR</t>
  </si>
  <si>
    <t>Total Avans</t>
  </si>
  <si>
    <t>Phaser RON</t>
  </si>
  <si>
    <t>Phaser EUR</t>
  </si>
  <si>
    <t>Profit RON</t>
  </si>
  <si>
    <t>Profit EUR</t>
  </si>
  <si>
    <t>Concert</t>
  </si>
  <si>
    <t>au ramas banii in firma</t>
  </si>
  <si>
    <t>Filarmonica @ Arad</t>
  </si>
  <si>
    <t>Tour Vunk</t>
  </si>
  <si>
    <t>gratis</t>
  </si>
  <si>
    <t>Filarmonica @ TM</t>
  </si>
  <si>
    <t xml:space="preserve">Tour Vunk </t>
  </si>
  <si>
    <t>Dr.Tr. Severin</t>
  </si>
  <si>
    <t>Zilele Severinului</t>
  </si>
  <si>
    <t>Province (Hambar)</t>
  </si>
  <si>
    <t>In Spatele Casei</t>
  </si>
  <si>
    <t>am primit banii in 2022</t>
  </si>
  <si>
    <t>Province (Verde)</t>
  </si>
  <si>
    <t>Herneacova</t>
  </si>
  <si>
    <t>Party Conti</t>
  </si>
  <si>
    <t>Tresor</t>
  </si>
  <si>
    <t>Ikea @ Timisoara</t>
  </si>
  <si>
    <t>Aerdrom Cioca @ TM</t>
  </si>
  <si>
    <t>Vest Fest District</t>
  </si>
  <si>
    <t>Parcul Rozelor</t>
  </si>
  <si>
    <t>Agronomie</t>
  </si>
  <si>
    <t>@ Margina</t>
  </si>
  <si>
    <t>brunch in lavanda</t>
  </si>
  <si>
    <t>Lugoj</t>
  </si>
  <si>
    <t>Aniversare Boch</t>
  </si>
  <si>
    <t>Villa Trevi @ Bazos</t>
  </si>
  <si>
    <t xml:space="preserve">Nunta </t>
  </si>
  <si>
    <t xml:space="preserve">Galla </t>
  </si>
  <si>
    <t>Scena de acasa</t>
  </si>
  <si>
    <t>OFF</t>
  </si>
  <si>
    <t>Zilele Timisoara</t>
  </si>
  <si>
    <t>Jebel</t>
  </si>
  <si>
    <t>Youth Day</t>
  </si>
  <si>
    <t>Valery</t>
  </si>
  <si>
    <t xml:space="preserve">Diamonds </t>
  </si>
  <si>
    <t>Anna Summer @ Tg.Jiu</t>
  </si>
  <si>
    <t>Sala Lira @ CCMT</t>
  </si>
  <si>
    <t>Anti Bullying</t>
  </si>
  <si>
    <t>Hotel Rogge</t>
  </si>
  <si>
    <t>CS Resita</t>
  </si>
  <si>
    <t>J'Adore Lugoj</t>
  </si>
  <si>
    <t>Rotary Lugoj</t>
  </si>
  <si>
    <t>Christmas Party</t>
  </si>
  <si>
    <t>D'arc Timisoara</t>
  </si>
  <si>
    <t>Smartfit</t>
  </si>
  <si>
    <t>Centru @ Resita</t>
  </si>
  <si>
    <t>Radio Resita</t>
  </si>
  <si>
    <t>Dacus @ Resita</t>
  </si>
  <si>
    <t>Piata Operei Timisoara</t>
  </si>
  <si>
    <t>Fact.</t>
  </si>
  <si>
    <t>marcel+levi</t>
  </si>
  <si>
    <t>marcel+luci</t>
  </si>
  <si>
    <t>toate</t>
  </si>
  <si>
    <t>luci+levi</t>
  </si>
  <si>
    <t>flavius</t>
  </si>
  <si>
    <t>am primit banii anul trecut, am notat doar banii pt tehnici si backlinesa fie, dar nu scadem din profit</t>
  </si>
  <si>
    <t>marcel+marius</t>
  </si>
  <si>
    <t>Deschiderea Ikea</t>
  </si>
  <si>
    <t>Hambar</t>
  </si>
  <si>
    <t>lumini</t>
  </si>
  <si>
    <t>kuky</t>
  </si>
  <si>
    <t>bebi+adi</t>
  </si>
  <si>
    <t>bebi + marcel</t>
  </si>
  <si>
    <t>levi+marcel</t>
  </si>
  <si>
    <t>tobe arni</t>
  </si>
  <si>
    <t>masini</t>
  </si>
  <si>
    <t>@ Dumbravita</t>
  </si>
  <si>
    <t>bebimarius</t>
  </si>
  <si>
    <t>Codru Urban Garden</t>
  </si>
  <si>
    <t>Off Fashion</t>
  </si>
  <si>
    <t>Zilele Timisoarei</t>
  </si>
  <si>
    <t>Diamonds @ Scalaz</t>
  </si>
  <si>
    <t>Centru Resita</t>
  </si>
  <si>
    <t>Parcare Dacus Resita</t>
  </si>
  <si>
    <t>cantari extra 2022</t>
  </si>
  <si>
    <t>Sold initial 2022</t>
  </si>
  <si>
    <t>marius revelion</t>
  </si>
  <si>
    <t>motorina radu revelion</t>
  </si>
  <si>
    <t>protocol revelion luci</t>
  </si>
  <si>
    <t>google drive storage</t>
  </si>
  <si>
    <t>Gsuite</t>
  </si>
  <si>
    <t>masina sebi revelion</t>
  </si>
  <si>
    <t>Imprumut</t>
  </si>
  <si>
    <t>party privat 20.12.2022</t>
  </si>
  <si>
    <t>concert kai 30 dec</t>
  </si>
  <si>
    <t>nunta 03.06.2023</t>
  </si>
  <si>
    <t>nunta 29.07.2023</t>
  </si>
  <si>
    <t>radu imprumut 6 ian</t>
  </si>
  <si>
    <t>nunta 28.04.2023</t>
  </si>
  <si>
    <t>marcel + marius</t>
  </si>
  <si>
    <t>Video</t>
  </si>
  <si>
    <t>video iubire mashup</t>
  </si>
  <si>
    <t>nunta 28.07.2023</t>
  </si>
  <si>
    <t>marcel+levi concert vunk</t>
  </si>
  <si>
    <t>buz concert vunk</t>
  </si>
  <si>
    <t>beri+mancare vunk</t>
  </si>
  <si>
    <t>concert kai</t>
  </si>
  <si>
    <t>nunta 17.09.2023</t>
  </si>
  <si>
    <t>Promo TikTok</t>
  </si>
  <si>
    <t>radu card</t>
  </si>
  <si>
    <t>Promo Google</t>
  </si>
  <si>
    <t>luci + marcel concert severin</t>
  </si>
  <si>
    <t>buz radu severin</t>
  </si>
  <si>
    <t>arni severin</t>
  </si>
  <si>
    <t>sebi severin</t>
  </si>
  <si>
    <t>luci severin</t>
  </si>
  <si>
    <t>radu marcel severin</t>
  </si>
  <si>
    <t>nunta 31.08.2024</t>
  </si>
  <si>
    <t>marcel+levi nunta 28.04.2023</t>
  </si>
  <si>
    <t>reparatie laptop</t>
  </si>
  <si>
    <t>nunta 30.04.2023</t>
  </si>
  <si>
    <t>luci + levi</t>
  </si>
  <si>
    <t>buz radu</t>
  </si>
  <si>
    <t>concert 21.04.2023</t>
  </si>
  <si>
    <t>levi+marcel fitt</t>
  </si>
  <si>
    <t>marcel+marius kai</t>
  </si>
  <si>
    <t>levi+marcel nunta 20.05.2023</t>
  </si>
  <si>
    <t>nunta 20.05.2023</t>
  </si>
  <si>
    <t>concert kai 12 mai</t>
  </si>
  <si>
    <t>27.05.2023</t>
  </si>
  <si>
    <t>party 27.05.2023</t>
  </si>
  <si>
    <t>radu tehnic marcel</t>
  </si>
  <si>
    <t>Internet</t>
  </si>
  <si>
    <t>2020-2022</t>
  </si>
  <si>
    <t>nunta 12.102024</t>
  </si>
  <si>
    <t>marius ikea</t>
  </si>
  <si>
    <t>Marcel 4, 8 si 10 iunie</t>
  </si>
  <si>
    <t>marcel nunta 10.06.2023</t>
  </si>
  <si>
    <t>10.06.2023</t>
  </si>
  <si>
    <t>nunta 10.06.2023</t>
  </si>
  <si>
    <t>bebi vestfest</t>
  </si>
  <si>
    <t>adi vesatfest</t>
  </si>
  <si>
    <t>party continental 27.05.2023</t>
  </si>
  <si>
    <t>vestfest</t>
  </si>
  <si>
    <t>parte din party continental 27.05.2023</t>
  </si>
  <si>
    <t>bebi rozelor</t>
  </si>
  <si>
    <t>25.06.2023</t>
  </si>
  <si>
    <t>tobe arni lavanda</t>
  </si>
  <si>
    <t>buz lavanda</t>
  </si>
  <si>
    <t>levi lavanda</t>
  </si>
  <si>
    <t>marcel lavanda</t>
  </si>
  <si>
    <t>ceremonie absolvire</t>
  </si>
  <si>
    <t>aniversare boch</t>
  </si>
  <si>
    <t>nunta 2 iulie</t>
  </si>
  <si>
    <t>nunta 8 iulie</t>
  </si>
  <si>
    <t>boxe orasul paralel</t>
  </si>
  <si>
    <t>scena de acasa</t>
  </si>
  <si>
    <t xml:space="preserve">opera fashion </t>
  </si>
  <si>
    <t>prezent</t>
  </si>
  <si>
    <t>nunta 28 iulie</t>
  </si>
  <si>
    <t>nunta 29 iulie</t>
  </si>
  <si>
    <t>zilele timisoarei</t>
  </si>
  <si>
    <t>radu orasul paralel</t>
  </si>
  <si>
    <t>orasul paralel</t>
  </si>
  <si>
    <t>nunta 5 august</t>
  </si>
  <si>
    <t>nunta 20 august</t>
  </si>
  <si>
    <t>concert yvonne</t>
  </si>
  <si>
    <t>nunta 26 august</t>
  </si>
  <si>
    <t>corporate muzeul satului</t>
  </si>
  <si>
    <t>diferenta mario jebel</t>
  </si>
  <si>
    <t>concert jebel</t>
  </si>
  <si>
    <t>nunta 9 sept</t>
  </si>
  <si>
    <t>concert giarmata</t>
  </si>
  <si>
    <t>corporate sacalaz</t>
  </si>
  <si>
    <t>nunta 17 sept</t>
  </si>
  <si>
    <t>Tain Ludmila</t>
  </si>
  <si>
    <t>kulzer</t>
  </si>
  <si>
    <t>nunta 23 sept</t>
  </si>
  <si>
    <t>fonduri comision</t>
  </si>
  <si>
    <t>codru 2022</t>
  </si>
  <si>
    <t>muzeul satului</t>
  </si>
  <si>
    <t>ONRC</t>
  </si>
  <si>
    <t>DigiSign</t>
  </si>
  <si>
    <t>nunta tg jiu</t>
  </si>
  <si>
    <t>radu tpt studio</t>
  </si>
  <si>
    <t>DIGIGOV</t>
  </si>
  <si>
    <t>nunta 29.06.2024</t>
  </si>
  <si>
    <t>party ikea</t>
  </si>
  <si>
    <t>concert in pantofii mei</t>
  </si>
  <si>
    <t>event 28.10.2023</t>
  </si>
  <si>
    <t>nunta 28.10.2023</t>
  </si>
  <si>
    <t>carti de vizita</t>
  </si>
  <si>
    <t>nunta 15.09.2024</t>
  </si>
  <si>
    <t>ANPM Timis</t>
  </si>
  <si>
    <t>comision contabila fonduri</t>
  </si>
  <si>
    <t>concert zilele timisoarei</t>
  </si>
  <si>
    <t>op radu studio</t>
  </si>
  <si>
    <t>concert jebel fitt</t>
  </si>
  <si>
    <t>event 09.12.2023</t>
  </si>
  <si>
    <t>concert rotary lugoj</t>
  </si>
  <si>
    <t>eventuri 16,17 dec + tobe</t>
  </si>
  <si>
    <t>buz resita</t>
  </si>
  <si>
    <t>concerte 16,17 buz</t>
  </si>
  <si>
    <t>euroccoper</t>
  </si>
  <si>
    <t>nunta 27.01.2024</t>
  </si>
  <si>
    <t>party darc</t>
  </si>
  <si>
    <t>event muzeul satului, sacalaz si revelion</t>
  </si>
  <si>
    <t>restul pe dec</t>
  </si>
  <si>
    <t>smartfit</t>
  </si>
  <si>
    <t>din restanta din 2022 de 3900</t>
  </si>
  <si>
    <t>cantari decembrie</t>
  </si>
  <si>
    <t>parte cantari decembrie</t>
  </si>
  <si>
    <t>TOTAL</t>
  </si>
  <si>
    <t>cantari 2022</t>
  </si>
  <si>
    <t>Nr Event</t>
  </si>
  <si>
    <t>Total Incasari</t>
  </si>
  <si>
    <t>Concerte</t>
  </si>
  <si>
    <t>Party</t>
  </si>
  <si>
    <t>Nunti</t>
  </si>
  <si>
    <t>Cheltuieli Sunet</t>
  </si>
  <si>
    <t>9 ian</t>
  </si>
  <si>
    <t>4 noiembrie</t>
  </si>
  <si>
    <t>7 mai</t>
  </si>
  <si>
    <t>Cheltuieli Tehnici</t>
  </si>
  <si>
    <t>12 mt</t>
  </si>
  <si>
    <t>26 noiembrie</t>
  </si>
  <si>
    <t>14 mai</t>
  </si>
  <si>
    <t>1 aprilie</t>
  </si>
  <si>
    <t>9 dc</t>
  </si>
  <si>
    <t>21 mai</t>
  </si>
  <si>
    <t>16 aprilie</t>
  </si>
  <si>
    <t>10 dc</t>
  </si>
  <si>
    <t>28 mai</t>
  </si>
  <si>
    <t>10 iunie</t>
  </si>
  <si>
    <t>16 dc</t>
  </si>
  <si>
    <t>3 iunie</t>
  </si>
  <si>
    <t>17 iunie</t>
  </si>
  <si>
    <t>22 dc</t>
  </si>
  <si>
    <t>4 iunie</t>
  </si>
  <si>
    <t>ING</t>
  </si>
  <si>
    <t>23 iulie</t>
  </si>
  <si>
    <t>11 iunie</t>
  </si>
  <si>
    <t>1 ag</t>
  </si>
  <si>
    <t>12 iunie</t>
  </si>
  <si>
    <t>14 ag</t>
  </si>
  <si>
    <t>18 iunie</t>
  </si>
  <si>
    <t>Alte Tehnica</t>
  </si>
  <si>
    <t>26 ag</t>
  </si>
  <si>
    <t>9 iulie</t>
  </si>
  <si>
    <t>28 ag</t>
  </si>
  <si>
    <t>16 iulie</t>
  </si>
  <si>
    <t>2 sept</t>
  </si>
  <si>
    <t>6 ag</t>
  </si>
  <si>
    <t>Video-uri</t>
  </si>
  <si>
    <t>17 sept</t>
  </si>
  <si>
    <t>24 sept</t>
  </si>
  <si>
    <t>27 ag</t>
  </si>
  <si>
    <t>Album</t>
  </si>
  <si>
    <t>11 noi</t>
  </si>
  <si>
    <t>3 sept</t>
  </si>
  <si>
    <t>2 dc</t>
  </si>
  <si>
    <t>4 sept</t>
  </si>
  <si>
    <t>6 dc</t>
  </si>
  <si>
    <t>16 sept</t>
  </si>
  <si>
    <t>Total Phaser</t>
  </si>
  <si>
    <t>18 sept</t>
  </si>
  <si>
    <t>Total persoana</t>
  </si>
  <si>
    <t>18 dc</t>
  </si>
  <si>
    <t>22 ot</t>
  </si>
  <si>
    <t>30 dc</t>
  </si>
  <si>
    <t>23 ot</t>
  </si>
  <si>
    <t>31 dc</t>
  </si>
  <si>
    <t>Alte Ch</t>
  </si>
  <si>
    <t>Cari</t>
  </si>
  <si>
    <t>Persoana</t>
  </si>
  <si>
    <t>Total de primit</t>
  </si>
  <si>
    <t>Primit</t>
  </si>
  <si>
    <t>Rest de primit</t>
  </si>
  <si>
    <t>Targ de Craciun Mall</t>
  </si>
  <si>
    <t>Trecuta</t>
  </si>
  <si>
    <t>Codru Pre Party</t>
  </si>
  <si>
    <t>Supriza Darc</t>
  </si>
  <si>
    <t>Lansare Album</t>
  </si>
  <si>
    <t>Eftimie Murgu Resita</t>
  </si>
  <si>
    <t xml:space="preserve">Take Off </t>
  </si>
  <si>
    <t>Zilele Hunedoarei</t>
  </si>
  <si>
    <t>Ing + Fond</t>
  </si>
  <si>
    <t>In spatele casei</t>
  </si>
  <si>
    <t>Mai e de primit</t>
  </si>
  <si>
    <t>Zilele Lugojului</t>
  </si>
  <si>
    <t>Deschidere Flight</t>
  </si>
  <si>
    <t>Codru</t>
  </si>
  <si>
    <t>Flight</t>
  </si>
  <si>
    <t>Sarbatorile Cetatii</t>
  </si>
  <si>
    <t>Zilele Cenei</t>
  </si>
  <si>
    <t>Party Privat</t>
  </si>
  <si>
    <t>Topul Firmelor</t>
  </si>
  <si>
    <t>Lords</t>
  </si>
  <si>
    <t>Targ de Craciun CJT</t>
  </si>
  <si>
    <t>Dalli</t>
  </si>
  <si>
    <t>Euroccoper</t>
  </si>
  <si>
    <t>Retromaniacs</t>
  </si>
  <si>
    <t>Gauss</t>
  </si>
  <si>
    <t>ADR</t>
  </si>
  <si>
    <t>Incasari</t>
  </si>
  <si>
    <t>01.01.2022</t>
  </si>
  <si>
    <t>Bani ramasi de pe 2021</t>
  </si>
  <si>
    <t>PR Daiana Decembrie</t>
  </si>
  <si>
    <t>T C Ron</t>
  </si>
  <si>
    <t>26.01.2022</t>
  </si>
  <si>
    <t>Bani scosi degeaba</t>
  </si>
  <si>
    <t>PR Daiana Ianuarie, Februarie, Martie</t>
  </si>
  <si>
    <t>T V Ron</t>
  </si>
  <si>
    <t>18.02.2022</t>
  </si>
  <si>
    <t>Retragere Bancomat</t>
  </si>
  <si>
    <t>Depunere Cont ING</t>
  </si>
  <si>
    <t>03.03.2022</t>
  </si>
  <si>
    <t>Cheltuieli Lansare Album</t>
  </si>
  <si>
    <t>Balanta Ron</t>
  </si>
  <si>
    <t>07.03.2022</t>
  </si>
  <si>
    <t>Cheltuieli Album Fizic</t>
  </si>
  <si>
    <t>08.03.2022</t>
  </si>
  <si>
    <t>PR Daiana Aprilie</t>
  </si>
  <si>
    <t>07.05.2022</t>
  </si>
  <si>
    <t xml:space="preserve">Avans Arni 7 mai 2022 + 20% 7 mai </t>
  </si>
  <si>
    <t>T C Eur</t>
  </si>
  <si>
    <t>Imprumut Radu</t>
  </si>
  <si>
    <t>Poze George Mihes</t>
  </si>
  <si>
    <t>T V Eur</t>
  </si>
  <si>
    <t>Imprumut Sebi</t>
  </si>
  <si>
    <t>Sala de repetitii</t>
  </si>
  <si>
    <t>recuperare sebi</t>
  </si>
  <si>
    <t>Balanta Eur</t>
  </si>
  <si>
    <t>Imprumut Sebi diferenta de la prima plata de 8000</t>
  </si>
  <si>
    <t>foto lansare album</t>
  </si>
  <si>
    <t>vanzare cd matusa sebi</t>
  </si>
  <si>
    <t>obiectiv anamorfic (flavius) armele jos</t>
  </si>
  <si>
    <t>foto lansare album sebi</t>
  </si>
  <si>
    <t>oglinzi luci</t>
  </si>
  <si>
    <t>kit racire terasa</t>
  </si>
  <si>
    <t>materiale clip armele jos</t>
  </si>
  <si>
    <t>imprumut luci</t>
  </si>
  <si>
    <t>sacouri clip armele jos</t>
  </si>
  <si>
    <t>moving heads parte schela vali potra</t>
  </si>
  <si>
    <t>imprumut radu</t>
  </si>
  <si>
    <t>cuie capsator + macare arni</t>
  </si>
  <si>
    <t>drum baia mare radu</t>
  </si>
  <si>
    <t>nunta baia mare 14.05.2022</t>
  </si>
  <si>
    <t>recuperare radu</t>
  </si>
  <si>
    <t>imprumut arni</t>
  </si>
  <si>
    <t>recuperare arni</t>
  </si>
  <si>
    <t>parte radu 14.05.2022</t>
  </si>
  <si>
    <t>parte carina 14.05.2022</t>
  </si>
  <si>
    <t>parte arni 14.05.2022</t>
  </si>
  <si>
    <t>vanzare album mihes</t>
  </si>
  <si>
    <t>parte sebi 14.05.2022</t>
  </si>
  <si>
    <t>nunta 21.05.2022</t>
  </si>
  <si>
    <t>avans recuperat luci 14.05.2022</t>
  </si>
  <si>
    <t>schimb valutar 200</t>
  </si>
  <si>
    <t>recuperare carina</t>
  </si>
  <si>
    <t>nunta 28.05.2022</t>
  </si>
  <si>
    <t>recuperare luci</t>
  </si>
  <si>
    <t>nunta 03.06.2022</t>
  </si>
  <si>
    <t>tehnic bula lumini videoclip</t>
  </si>
  <si>
    <t>nunta 04.06.2022</t>
  </si>
  <si>
    <t>nunta 11.06.2022</t>
  </si>
  <si>
    <t>trupa 21.05.2022</t>
  </si>
  <si>
    <t>nunta 12.06.2022</t>
  </si>
  <si>
    <t>schimb valutar</t>
  </si>
  <si>
    <t>vanzare album racz</t>
  </si>
  <si>
    <t>recuperare radu anamorfic</t>
  </si>
  <si>
    <t>nunta 18.06.2022</t>
  </si>
  <si>
    <t>recuperare luci flori, sucuri, apa dulciuri, pizza</t>
  </si>
  <si>
    <t>adi tehnic armele jos</t>
  </si>
  <si>
    <t>09.07.2022</t>
  </si>
  <si>
    <t>nunta 09.07.2022</t>
  </si>
  <si>
    <t>drum oradea radu</t>
  </si>
  <si>
    <t>16.07.2022</t>
  </si>
  <si>
    <t>nunta 16.07.2022</t>
  </si>
  <si>
    <t>recuperare sebi diferenta + poze mihes</t>
  </si>
  <si>
    <t>06.08.2022</t>
  </si>
  <si>
    <t>nunta 06.08.2022</t>
  </si>
  <si>
    <t>trupa 28.05.2022</t>
  </si>
  <si>
    <t>08.08.2022</t>
  </si>
  <si>
    <t>retrasi bancomat</t>
  </si>
  <si>
    <t>drum radu resita</t>
  </si>
  <si>
    <t>20.08.2022</t>
  </si>
  <si>
    <t>drum luci si arni resita</t>
  </si>
  <si>
    <t>26.08.2022</t>
  </si>
  <si>
    <t>nunta 26.08.2022</t>
  </si>
  <si>
    <t>luci recuperare clip</t>
  </si>
  <si>
    <t>30.08.2022</t>
  </si>
  <si>
    <t>schimb valutar 30.08.2022</t>
  </si>
  <si>
    <t>trupa 03.06.2022</t>
  </si>
  <si>
    <t>nunta 10.09.2022</t>
  </si>
  <si>
    <t>nunta 18.09.2022</t>
  </si>
  <si>
    <t>trupa 04.06.2022</t>
  </si>
  <si>
    <t>nunta 03.09.2022</t>
  </si>
  <si>
    <t>nunta 22.10.2022</t>
  </si>
  <si>
    <t>trupa 11.06.2022</t>
  </si>
  <si>
    <t>nunta 23.10.2022</t>
  </si>
  <si>
    <t>trupa 12.06.2022</t>
  </si>
  <si>
    <t>05.09.2022</t>
  </si>
  <si>
    <t>recuperare radu imprumut</t>
  </si>
  <si>
    <t>07.09.2022</t>
  </si>
  <si>
    <t>trupa 18.06.2022</t>
  </si>
  <si>
    <t>12.09.2022</t>
  </si>
  <si>
    <t>14.09.2022</t>
  </si>
  <si>
    <t>recuperare imprumut radu</t>
  </si>
  <si>
    <t>recuperare microgrant radu</t>
  </si>
  <si>
    <t>24.09.2022</t>
  </si>
  <si>
    <t>am depus in ing</t>
  </si>
  <si>
    <t>02.10.2022</t>
  </si>
  <si>
    <t>trupa 09.07.2022</t>
  </si>
  <si>
    <t>18.10.2022</t>
  </si>
  <si>
    <t>sonorizari prezent ianuarie - iunie</t>
  </si>
  <si>
    <t>13.11.2022</t>
  </si>
  <si>
    <t>parte recuperare radu</t>
  </si>
  <si>
    <t>18.11.2022</t>
  </si>
  <si>
    <t>trupa 16.07.2022</t>
  </si>
  <si>
    <t>23.11.2022</t>
  </si>
  <si>
    <t>tehnic 16.07.2022</t>
  </si>
  <si>
    <t>podium 16.07.2022</t>
  </si>
  <si>
    <t>25.11.2022</t>
  </si>
  <si>
    <t>drum 16.07.2022</t>
  </si>
  <si>
    <t>01.12.2022</t>
  </si>
  <si>
    <t>trupa 06.08.2022</t>
  </si>
  <si>
    <t>05.12.2022</t>
  </si>
  <si>
    <t>sunet 06.08.2022</t>
  </si>
  <si>
    <t>09.12.2022</t>
  </si>
  <si>
    <t>flavius 06.08.2022</t>
  </si>
  <si>
    <t>15.12.2022</t>
  </si>
  <si>
    <t>tehnic marius 06.08.2022</t>
  </si>
  <si>
    <t>17.12.2022</t>
  </si>
  <si>
    <t>tehnic sorin 06.08.2022</t>
  </si>
  <si>
    <t>rotary sunet</t>
  </si>
  <si>
    <t>tehnic 23.07.2022</t>
  </si>
  <si>
    <t>lords concert</t>
  </si>
  <si>
    <t>Depunere ING</t>
  </si>
  <si>
    <t>21.12.2022</t>
  </si>
  <si>
    <t>tehnici 26.08-28.08</t>
  </si>
  <si>
    <t>24.12.2022</t>
  </si>
  <si>
    <t>sunet 26.06.2022</t>
  </si>
  <si>
    <t>28.12.2022</t>
  </si>
  <si>
    <t>flavius 26.08.2022</t>
  </si>
  <si>
    <t>31.12.2022</t>
  </si>
  <si>
    <t>concert lords</t>
  </si>
  <si>
    <t>trupa 26.08.2022</t>
  </si>
  <si>
    <t>recuperare radu cazari + drum buc 2022</t>
  </si>
  <si>
    <t>recuperare carina clip</t>
  </si>
  <si>
    <t>trupa 10.09.2022</t>
  </si>
  <si>
    <t>sunet 10.09.2022</t>
  </si>
  <si>
    <t>tehnic adi 02.09</t>
  </si>
  <si>
    <t>marcel 16-17.09</t>
  </si>
  <si>
    <t>levi 16.09</t>
  </si>
  <si>
    <t>trupa 03.09.2022</t>
  </si>
  <si>
    <t>trupa 18.09.2022</t>
  </si>
  <si>
    <t xml:space="preserve">ghita dj </t>
  </si>
  <si>
    <t>sunet inchiriat 18.09.2022</t>
  </si>
  <si>
    <t>sunet 03.09.2022</t>
  </si>
  <si>
    <t>10% carjan</t>
  </si>
  <si>
    <t>trupa 22-23.10.2022</t>
  </si>
  <si>
    <t>tehnic 22-23.10.2022</t>
  </si>
  <si>
    <t>sunet 22-23.10.2022</t>
  </si>
  <si>
    <t xml:space="preserve">luci cantari </t>
  </si>
  <si>
    <t>arni cantari</t>
  </si>
  <si>
    <t>teatru pentru tine</t>
  </si>
  <si>
    <t>luci drum oradea</t>
  </si>
  <si>
    <t>trupa 04.09.2022</t>
  </si>
  <si>
    <t>concert bega tehnici</t>
  </si>
  <si>
    <t>concert codru tehnici</t>
  </si>
  <si>
    <t>04.09.2022 tehnici</t>
  </si>
  <si>
    <t>cenei tehnici</t>
  </si>
  <si>
    <t>topu firmelor tehinici</t>
  </si>
  <si>
    <t>kai tehnici</t>
  </si>
  <si>
    <t>rogge tehnici</t>
  </si>
  <si>
    <t>oradea tehnici</t>
  </si>
  <si>
    <t>muzeul satului tehnici</t>
  </si>
  <si>
    <t xml:space="preserve">dalli tehnici </t>
  </si>
  <si>
    <t>10.12.2022 kuky+hotel timisoara tehnici</t>
  </si>
  <si>
    <t>tehnici hotel timisoara 16.12.2022</t>
  </si>
  <si>
    <t>tehnici datorie radu</t>
  </si>
  <si>
    <t>benzina arni</t>
  </si>
  <si>
    <t>motorina radu datorie</t>
  </si>
  <si>
    <t>press kit new radu</t>
  </si>
  <si>
    <t>photoshop</t>
  </si>
  <si>
    <t>trupa 27.08.2022</t>
  </si>
  <si>
    <t>trupa 16.09.2022</t>
  </si>
  <si>
    <t>datorie</t>
  </si>
  <si>
    <t>radu cantari</t>
  </si>
  <si>
    <t>carina cantari</t>
  </si>
  <si>
    <t xml:space="preserve">tehnici </t>
  </si>
  <si>
    <t>tehnici adr</t>
  </si>
  <si>
    <t>delcorso spot</t>
  </si>
  <si>
    <t>marcel tehnic</t>
  </si>
  <si>
    <t>tik tok ads 2022</t>
  </si>
  <si>
    <t>Descriere Event</t>
  </si>
  <si>
    <t>MP/Fond</t>
  </si>
  <si>
    <t xml:space="preserve">Sunet </t>
  </si>
  <si>
    <t>Exra</t>
  </si>
  <si>
    <t>De primit</t>
  </si>
  <si>
    <t>In firma</t>
  </si>
  <si>
    <t>Iulius Town @ Timisoara</t>
  </si>
  <si>
    <t>Padurea Bistra</t>
  </si>
  <si>
    <t>Codru Festival</t>
  </si>
  <si>
    <t>Centrul Civic @ Resita</t>
  </si>
  <si>
    <t>Aeroport @ Caransebes</t>
  </si>
  <si>
    <t>Festival</t>
  </si>
  <si>
    <t>Buz + Mica</t>
  </si>
  <si>
    <t>Hunedoara</t>
  </si>
  <si>
    <t>Tehnic</t>
  </si>
  <si>
    <t>In spatele casei @ Timisoara</t>
  </si>
  <si>
    <t>C141</t>
  </si>
  <si>
    <t>Youth Fest</t>
  </si>
  <si>
    <t>Bega @ Timisora</t>
  </si>
  <si>
    <t>Flight Opening</t>
  </si>
  <si>
    <t>Taverna Sarbului @ D.T.Severin</t>
  </si>
  <si>
    <t>C114</t>
  </si>
  <si>
    <t>Aerodrom Cioca @ Timisoara</t>
  </si>
  <si>
    <t>Venue @ Timisoara</t>
  </si>
  <si>
    <t>C122</t>
  </si>
  <si>
    <t>Province @ Pischia</t>
  </si>
  <si>
    <t>C135</t>
  </si>
  <si>
    <t>DJ + Lumini</t>
  </si>
  <si>
    <t>Caransebes</t>
  </si>
  <si>
    <t>Zilele Cetatii</t>
  </si>
  <si>
    <t>Cenei</t>
  </si>
  <si>
    <t>Restaurant Venue @ Timisoara</t>
  </si>
  <si>
    <t>C109</t>
  </si>
  <si>
    <t>Flonta Lake Side @ Giroc</t>
  </si>
  <si>
    <t>Centrul de afaceri @ Timisoara</t>
  </si>
  <si>
    <t>Onorariu</t>
  </si>
  <si>
    <t>Congress Hall @ Timisoara</t>
  </si>
  <si>
    <t>C88</t>
  </si>
  <si>
    <t>Marius/Marcel</t>
  </si>
  <si>
    <t>Complex Restaurant Flonta @ Giroc</t>
  </si>
  <si>
    <t>C87</t>
  </si>
  <si>
    <t>Terasa Casina @ Deva</t>
  </si>
  <si>
    <t>C105</t>
  </si>
  <si>
    <t>Buz+Mica</t>
  </si>
  <si>
    <t>Villa Trevi @ Bazosul Nou</t>
  </si>
  <si>
    <t>C107</t>
  </si>
  <si>
    <t>Club Forest @ Bucuresti</t>
  </si>
  <si>
    <t>C116</t>
  </si>
  <si>
    <t xml:space="preserve">Marcel </t>
  </si>
  <si>
    <t xml:space="preserve">Nasii lui Arni </t>
  </si>
  <si>
    <t>Every Thursday Live</t>
  </si>
  <si>
    <t>Reset</t>
  </si>
  <si>
    <t>Piata Unirii @ Timisoara</t>
  </si>
  <si>
    <t>Zilele CJT</t>
  </si>
  <si>
    <t>Marius/Seba</t>
  </si>
  <si>
    <t>Hotel Tresor (Symphonie)</t>
  </si>
  <si>
    <t>C100</t>
  </si>
  <si>
    <t>Prietenul lui Sebi</t>
  </si>
  <si>
    <t>Ponton Casa Baraj @ Valiug</t>
  </si>
  <si>
    <t>Marius/Adi</t>
  </si>
  <si>
    <t>C97</t>
  </si>
  <si>
    <t>Annes Events Ballroom @ Mosnita Noua</t>
  </si>
  <si>
    <t>C84</t>
  </si>
  <si>
    <t>Buz</t>
  </si>
  <si>
    <t>Venue Events @ Timisoara</t>
  </si>
  <si>
    <t>C123</t>
  </si>
  <si>
    <t>C120</t>
  </si>
  <si>
    <t>DJ/Lumini</t>
  </si>
  <si>
    <t>C121</t>
  </si>
  <si>
    <t>No Name @ Timisoara</t>
  </si>
  <si>
    <t>C126</t>
  </si>
  <si>
    <t>C95</t>
  </si>
  <si>
    <t>Wonderland Cluj Resort @ Cluj</t>
  </si>
  <si>
    <t>C115</t>
  </si>
  <si>
    <t>C91</t>
  </si>
  <si>
    <t>Restaurant D.O.R. @ Tahonu de sus</t>
  </si>
  <si>
    <t>C112</t>
  </si>
  <si>
    <t>Hora</t>
  </si>
  <si>
    <t xml:space="preserve">Concert </t>
  </si>
  <si>
    <t>Piata Libertatii @ Timisoara</t>
  </si>
  <si>
    <t>Evenimente Anulate</t>
  </si>
  <si>
    <t>30 MAI ANULAT</t>
  </si>
  <si>
    <t>Biavati Events @ Arad</t>
  </si>
  <si>
    <t>C75</t>
  </si>
  <si>
    <t>Evenimente Amanate</t>
  </si>
  <si>
    <t>21 AUG AMANAT</t>
  </si>
  <si>
    <t>Heaven Cort @ Timisoara</t>
  </si>
  <si>
    <t>C101</t>
  </si>
  <si>
    <t>4 SEP AMANAT</t>
  </si>
  <si>
    <t>Hotel Arta @ Timisoara</t>
  </si>
  <si>
    <t>C99</t>
  </si>
  <si>
    <t>2 OCT AMANAT</t>
  </si>
  <si>
    <t>Statistici</t>
  </si>
  <si>
    <t>Legenda</t>
  </si>
  <si>
    <t>Nr.</t>
  </si>
  <si>
    <t>Numar Evenimente Publice Total</t>
  </si>
  <si>
    <t xml:space="preserve">Total Venituri </t>
  </si>
  <si>
    <t>Achitat</t>
  </si>
  <si>
    <t>Numar Evenimente Private Total</t>
  </si>
  <si>
    <t>Bani Phaser</t>
  </si>
  <si>
    <t>Neachitat</t>
  </si>
  <si>
    <t>Numar Evenimente Private (Corporate)</t>
  </si>
  <si>
    <t>Bani de persoana</t>
  </si>
  <si>
    <t>Numar Evenimente Private (Nunta, Botez, Aniversare)</t>
  </si>
  <si>
    <t>Bani ramasi in Firma/Fond</t>
  </si>
  <si>
    <t>Numar Evenimente Private (Absolvire)</t>
  </si>
  <si>
    <t>Bani MP/Fond</t>
  </si>
  <si>
    <t>Numar Evenimente Total</t>
  </si>
  <si>
    <t>Bani pe Impozit 3%</t>
  </si>
  <si>
    <t>Bani Cheltuiti Total</t>
  </si>
  <si>
    <t>Bani Cheltuiti Sunet</t>
  </si>
  <si>
    <t>Bani Cheltuiti Tehnic</t>
  </si>
  <si>
    <t>Bani Cheltuiti Drum</t>
  </si>
  <si>
    <t>Bani Cheltuiti Extra</t>
  </si>
  <si>
    <t>Extra Statistici</t>
  </si>
  <si>
    <t>Bani Phaser pe Evenimente</t>
  </si>
  <si>
    <t>Bani din Event. Publice Total</t>
  </si>
  <si>
    <t>Bani din Event. Private Total</t>
  </si>
  <si>
    <t>Bani din Corporate</t>
  </si>
  <si>
    <t>Bani din (Nunta/Botez/Aniversare)</t>
  </si>
  <si>
    <t>Bani de Pers. pe Evenimente</t>
  </si>
  <si>
    <t>01.01.2021</t>
  </si>
  <si>
    <t>Bani ramasi de pe 2020</t>
  </si>
  <si>
    <t>Licenta Ableton</t>
  </si>
  <si>
    <t>Deschis "Fond plic"</t>
  </si>
  <si>
    <t>Lumanari "Copilul lunii" Video</t>
  </si>
  <si>
    <t>Parte din PFA de la Concert Timisoara</t>
  </si>
  <si>
    <t>Brichete + Sfoara "Copilul lunii" Video</t>
  </si>
  <si>
    <t>Banda+ Baterii+ Sanie + Lampa + Lumanari "Copilul lunii" Video</t>
  </si>
  <si>
    <t>Pus avans inapoi 30.05.2021 (Radu)</t>
  </si>
  <si>
    <t>Felinare  "Copilul lunii" Video</t>
  </si>
  <si>
    <t>Rame Goale "Copilul lunii" Video</t>
  </si>
  <si>
    <t>Rest Nunta 13.06.2021</t>
  </si>
  <si>
    <t>Renovare sala Depunere cont ING</t>
  </si>
  <si>
    <t>Rest Nunta 19.06.2021</t>
  </si>
  <si>
    <t>Depunere cont ING</t>
  </si>
  <si>
    <t>Rest Nunta 26.06.2021</t>
  </si>
  <si>
    <t>Catering "Arni" - Copilul luniii</t>
  </si>
  <si>
    <t>Nunta 17.07.2021</t>
  </si>
  <si>
    <t>Benzina "Luci" - Copilul lunii</t>
  </si>
  <si>
    <t>a ramas in fond din retragere 25.06.2021</t>
  </si>
  <si>
    <t>Catering "Luci" - Copilul lunii</t>
  </si>
  <si>
    <t>a ramas in fond din retragere 05.07.2021</t>
  </si>
  <si>
    <t>Benzina "Sebi" - Copilul lunii</t>
  </si>
  <si>
    <t>Nunta 31.07.2021</t>
  </si>
  <si>
    <t>Benda dublu adeziva "Renovare sala"</t>
  </si>
  <si>
    <t>a ramas in fond din retragere 18.08.2021</t>
  </si>
  <si>
    <t>Aspirator sala</t>
  </si>
  <si>
    <t>Nunta 21.08.2021</t>
  </si>
  <si>
    <t>Dibluri/Piulite</t>
  </si>
  <si>
    <t>Nunta 28.08.2021</t>
  </si>
  <si>
    <t>Canapea, Covor, Lampadar, Cuier, Cos de gunoi</t>
  </si>
  <si>
    <t>Nunta 10.09.2021</t>
  </si>
  <si>
    <t>a ramas in fond din retragere 19.09.2021</t>
  </si>
  <si>
    <t>Depunere Cont Curent BCR</t>
  </si>
  <si>
    <t>Nunta 17.09.2021</t>
  </si>
  <si>
    <t>Nunta 18.09.2021</t>
  </si>
  <si>
    <t>Nunta 25.09.2021</t>
  </si>
  <si>
    <t>Cartuse Imprimanta</t>
  </si>
  <si>
    <t>Nunta 09.10.2021</t>
  </si>
  <si>
    <t>Combustibil "Flavius" - Copilul lunii</t>
  </si>
  <si>
    <t>Cheltuieli "Carina" - Copilul lunii</t>
  </si>
  <si>
    <t>Photo Session Ervin</t>
  </si>
  <si>
    <t>***Radu Licence</t>
  </si>
  <si>
    <t>Dubluri Cheie</t>
  </si>
  <si>
    <t>Sunet Nunta 13.06.2021</t>
  </si>
  <si>
    <t>Tehnici Nunta 13.06.2021</t>
  </si>
  <si>
    <t>Radu - 2100, Sebi - 2100, Luci - 2100, Arni - 2100, Carina - 2100 = Nunta 13.06.2021</t>
  </si>
  <si>
    <t>Sunet Nunta 19.06.2021</t>
  </si>
  <si>
    <t>Tehnici Nunta 19.06.2021</t>
  </si>
  <si>
    <t>Radu - 1800, Sebi - 1800, Luci - 1800, Arni - 1800, Carina - 1800 = Nunta 19.06.2021</t>
  </si>
  <si>
    <t>Sunet Nunta 26.06.2021</t>
  </si>
  <si>
    <t>Drum Nunta 26.06.2021</t>
  </si>
  <si>
    <t>Radu - 2000, Sebi - 2000, Luci - 2000, Arni - 2000, Carina - 2000 = Nunta 26.06.2021</t>
  </si>
  <si>
    <t>Tehnici Nunta 17.07.2021</t>
  </si>
  <si>
    <t>Sunet Nunta 17.07.2021</t>
  </si>
  <si>
    <t>Radu - 2200, Sebi - 2200, Luci - 2200, Arni - 2200, Carina - 2200 = Nunta 17.07.2021</t>
  </si>
  <si>
    <t>Radu - 2000, Sebi - 2000, Luci - 2000, Arni - 2000, Carina - 2000 = Nunta 31.07.2021</t>
  </si>
  <si>
    <t>Sunet Nunta 31.07.2021</t>
  </si>
  <si>
    <t>Radu - 2000, Sebi - 2000, Luci - 500, Arni - 2000, Carina - 2000 = Nunta 21.08.2021</t>
  </si>
  <si>
    <t>sunet ponton</t>
  </si>
  <si>
    <t>tehnici + drum ponton</t>
  </si>
  <si>
    <t>Recuperat Avans Luci</t>
  </si>
  <si>
    <t>Sunet Nunta 21.08.2021</t>
  </si>
  <si>
    <t>Tehnici Nunta 21.08.2021</t>
  </si>
  <si>
    <t>sunet Nunta 28.08.2021</t>
  </si>
  <si>
    <t>Radu - 1476, Sebi - 1476, Luci - 1476, Arni - 1476, Carina - 1476 = Nunta 28.08.2021</t>
  </si>
  <si>
    <t>Radu - 2000, Sebi - 2000, Luci - 2000, Arni - 2000, Carina - 2000 = Nunta 10.09.2021</t>
  </si>
  <si>
    <t>Tehnici Nunta 10- si 11.09.2021</t>
  </si>
  <si>
    <t>Radu - 2100, Sebi - 2100, Luci - 2100, Arni - 2100, Carina - 2100 = Nunta 17.09.2021</t>
  </si>
  <si>
    <t>Tehnici nunta 17 si 18.09.2021</t>
  </si>
  <si>
    <t>Radu - 2000, Sebi - 2000, Luci - 2000, Arni - 2000, Carina - 2000 = Nunta 18.09.2021</t>
  </si>
  <si>
    <t>Microbuz drumuri nunta</t>
  </si>
  <si>
    <t>Radu - 2000, Sebi - 2000, Luci - 2000, Arni - 2000, Carina - 2000 = Nunta 25.09.2021</t>
  </si>
  <si>
    <t>Drum nunta 25.09.2021</t>
  </si>
  <si>
    <t>Radu - 2100, Sebi - 2100, Luci - 2100, Arni - 2100, Carina - 2100 = Nunta 09.10.2021</t>
  </si>
  <si>
    <t>Radu - recuperare nunti 10,11,17,18,25 septembrie</t>
  </si>
  <si>
    <t>PR Daiana</t>
  </si>
  <si>
    <t>Drum Tohanu nou</t>
  </si>
  <si>
    <t>PR Daiana Octombrie + Noiembrie</t>
  </si>
  <si>
    <t>Tik Tok Ads</t>
  </si>
  <si>
    <t>Sunet Prezent Restanta</t>
  </si>
  <si>
    <t>Partia Bradul @ Poiana Brasov</t>
  </si>
  <si>
    <t>"Live pe Partie" - Europa FM</t>
  </si>
  <si>
    <t>Live in Tramvai @ Timisoara</t>
  </si>
  <si>
    <t>Phaser Live in Tramvai</t>
  </si>
  <si>
    <t>Club Soho @ Resita</t>
  </si>
  <si>
    <t>UVT Admitere</t>
  </si>
  <si>
    <t>Club Sportiv Torontalului</t>
  </si>
  <si>
    <t>Embargo Hub</t>
  </si>
  <si>
    <t>Aerodrom @ Timisoara</t>
  </si>
  <si>
    <t>Bebi</t>
  </si>
  <si>
    <t>Galla Events @ Timisoara</t>
  </si>
  <si>
    <t>C102</t>
  </si>
  <si>
    <t>Nutna</t>
  </si>
  <si>
    <t>Restaurant Flonta @ Timisoara</t>
  </si>
  <si>
    <t>DJ+Lumini</t>
  </si>
  <si>
    <t>C98</t>
  </si>
  <si>
    <t>Marcel</t>
  </si>
  <si>
    <t>Casa Tineretului @ Timisoara</t>
  </si>
  <si>
    <t>Aniversare FITT 30 de ani</t>
  </si>
  <si>
    <t xml:space="preserve">Lumini </t>
  </si>
  <si>
    <t>01.01.2020</t>
  </si>
  <si>
    <t>Bani ramasi de pe 2019</t>
  </si>
  <si>
    <t>07.03.2020</t>
  </si>
  <si>
    <t>Combustibil Soho Resita</t>
  </si>
  <si>
    <t>09.01.2020</t>
  </si>
  <si>
    <t>"Scosi degeaba"</t>
  </si>
  <si>
    <t xml:space="preserve">1500 - Radu = Nunti in avans: 14.08.2021; </t>
  </si>
  <si>
    <t>Avans 300 euro Bianca Azap si Dan purice</t>
  </si>
  <si>
    <t xml:space="preserve">5100 - Luci = Nunti in avans: 31.10.2020; 21.05.2022; 18.09.2021; </t>
  </si>
  <si>
    <t xml:space="preserve">Copie Chei </t>
  </si>
  <si>
    <t>Flavius Video "Fast Forward"</t>
  </si>
  <si>
    <t>Cheltuieli Productie "Fast Forward" in afara de apartament</t>
  </si>
  <si>
    <t xml:space="preserve"> </t>
  </si>
  <si>
    <t>Nr. Contract</t>
  </si>
  <si>
    <t xml:space="preserve">Cheltuieli </t>
  </si>
  <si>
    <t>MP/F</t>
  </si>
  <si>
    <t>De Pers.</t>
  </si>
  <si>
    <t>Ivy Events @ Timisoara</t>
  </si>
  <si>
    <t>70/01.11.2018</t>
  </si>
  <si>
    <t xml:space="preserve">PA + Backline </t>
  </si>
  <si>
    <t>Heaven @ Timisoara</t>
  </si>
  <si>
    <t>Bilete</t>
  </si>
  <si>
    <t>Valentine's Day</t>
  </si>
  <si>
    <t>Galla @ Timisoara</t>
  </si>
  <si>
    <t>02/16.02.2019</t>
  </si>
  <si>
    <t>PA + Backline</t>
  </si>
  <si>
    <t>Lights + DJ</t>
  </si>
  <si>
    <t>Fratelli @ Timisoara</t>
  </si>
  <si>
    <t>83/01.04.2019</t>
  </si>
  <si>
    <t>Wiz Mobile Party</t>
  </si>
  <si>
    <t xml:space="preserve">Backline </t>
  </si>
  <si>
    <t>Valery 3 @ Mosnita Noua</t>
  </si>
  <si>
    <t>65/09.09.2018</t>
  </si>
  <si>
    <t>Dudestii Noi</t>
  </si>
  <si>
    <t>83/07.05.2019</t>
  </si>
  <si>
    <t>Embargo Festival</t>
  </si>
  <si>
    <t>Like Pub @ Timisoara</t>
  </si>
  <si>
    <t>Bebi/Marius</t>
  </si>
  <si>
    <t>49/04.04.2018</t>
  </si>
  <si>
    <t>Marius</t>
  </si>
  <si>
    <t>35/22.01.2018</t>
  </si>
  <si>
    <t>Prestige @ Timisoara</t>
  </si>
  <si>
    <t>48/01.04.2018</t>
  </si>
  <si>
    <t>81/22.02.2018</t>
  </si>
  <si>
    <t>Flonta @ Timisoara</t>
  </si>
  <si>
    <t>67/09.10.2018</t>
  </si>
  <si>
    <t>58/19.06.2018</t>
  </si>
  <si>
    <t>Papa la Soni @ Vama Veche</t>
  </si>
  <si>
    <t>White Horse @ Costinesti</t>
  </si>
  <si>
    <t>Radio Vacanta @ Mamaia</t>
  </si>
  <si>
    <t>Inceputul Verii - Radio Vacanta</t>
  </si>
  <si>
    <t>Tresor @ Timisoara</t>
  </si>
  <si>
    <t>60/18.07.2018</t>
  </si>
  <si>
    <t>Andrei/Marius</t>
  </si>
  <si>
    <t>79/11.01.2019</t>
  </si>
  <si>
    <t>80/05.02.2019</t>
  </si>
  <si>
    <t>Royal Oak Events @ Deva</t>
  </si>
  <si>
    <t>82/15.03.2019</t>
  </si>
  <si>
    <t>Conacul Archia @ Deva</t>
  </si>
  <si>
    <t>73/19.11.2018</t>
  </si>
  <si>
    <t>Piata Victoriei @ Timisoara</t>
  </si>
  <si>
    <t>Concert Zilele Timisoarei</t>
  </si>
  <si>
    <t>52/19.04.2018</t>
  </si>
  <si>
    <t>Micalaca @ Arad</t>
  </si>
  <si>
    <t>Concert Zilele Aradului</t>
  </si>
  <si>
    <t>47/23.03.2018</t>
  </si>
  <si>
    <t>62/23.07.2018</t>
  </si>
  <si>
    <t>Festivalul VSLO</t>
  </si>
  <si>
    <t>Vivlois Events @ Bucuresti</t>
  </si>
  <si>
    <t>64/20.08.2018</t>
  </si>
  <si>
    <t>D'arc pe mal @ Timisoara</t>
  </si>
  <si>
    <t>Light/Foto/Vid</t>
  </si>
  <si>
    <t>68/22.10.2018</t>
  </si>
  <si>
    <t>53/19.04.2018</t>
  </si>
  <si>
    <t>In saptele Casei @ Timisoara</t>
  </si>
  <si>
    <t>Organizat de FITT</t>
  </si>
  <si>
    <t>94/06.09.2019</t>
  </si>
  <si>
    <t>Festivalul Bastion Glow</t>
  </si>
  <si>
    <t>61/22.07.2018</t>
  </si>
  <si>
    <t>86/27.06.2019</t>
  </si>
  <si>
    <t>66/25.09.2018</t>
  </si>
  <si>
    <t>77/05.12.2018</t>
  </si>
  <si>
    <t>Congress Hall Iulius Town @ Timisoara</t>
  </si>
  <si>
    <t>93/28.08.2019</t>
  </si>
  <si>
    <t>Trio Events @ Timisoara</t>
  </si>
  <si>
    <t>69/29.10.2018</t>
  </si>
  <si>
    <t>C'Pub @ Severin</t>
  </si>
  <si>
    <t>Mall Vitan @ Bucuresti</t>
  </si>
  <si>
    <t>City Vibes by BFM</t>
  </si>
  <si>
    <t>Firma Smartfit</t>
  </si>
  <si>
    <t>Anturaj @ Timisoara</t>
  </si>
  <si>
    <t>C103</t>
  </si>
  <si>
    <t>Firma Lindegaz</t>
  </si>
  <si>
    <t>PFA</t>
  </si>
  <si>
    <t>Firma Toluna</t>
  </si>
  <si>
    <t>Parcul Tricolorului @ Resita</t>
  </si>
  <si>
    <t>96930/17.12.2019</t>
  </si>
  <si>
    <t>01.01.2019</t>
  </si>
  <si>
    <t>bani ramasi de pe 2018</t>
  </si>
  <si>
    <t>Zbor Avion Flavius Japonia (Recup Radu)</t>
  </si>
  <si>
    <t>11.05.2019</t>
  </si>
  <si>
    <t>Bani Cash Event 11.05.2019</t>
  </si>
  <si>
    <t>Peta (Indestructibil) (Recup Radu)</t>
  </si>
  <si>
    <t>08.03.2019</t>
  </si>
  <si>
    <t>Scosi Degeaba din Firma</t>
  </si>
  <si>
    <t>Globuri (Recup Radu)</t>
  </si>
  <si>
    <t>20.03.2019</t>
  </si>
  <si>
    <t>Ecran (Recup Radu)</t>
  </si>
  <si>
    <t>Faina (Recup Radu)</t>
  </si>
  <si>
    <t>30.03.2019</t>
  </si>
  <si>
    <t>Tehnic ziua cu Buziasul (Recup Radu)</t>
  </si>
  <si>
    <t>31.03.2019</t>
  </si>
  <si>
    <t>Drum Buzias (Recup Radu)</t>
  </si>
  <si>
    <t>12.04.2019</t>
  </si>
  <si>
    <t>Cazare + Cheltuiala Flavius Japonia (Recup Sebi)</t>
  </si>
  <si>
    <t>01.05.2019</t>
  </si>
  <si>
    <t>GSuite (Recup Sebi)</t>
  </si>
  <si>
    <t>23.05.2019</t>
  </si>
  <si>
    <t>Rest dupa ce am platit CH de la concertul 23.05.2019</t>
  </si>
  <si>
    <t>Carina (25.05.2019)</t>
  </si>
  <si>
    <t>26.05.2019</t>
  </si>
  <si>
    <t>Bani Cash Event 25.05.2019</t>
  </si>
  <si>
    <t>Luci (25.05.2019)</t>
  </si>
  <si>
    <t>20.06.2019</t>
  </si>
  <si>
    <t>Bani Cash Event 15.06.2019 (Prestige)</t>
  </si>
  <si>
    <t>Sebi (25.05.2019)</t>
  </si>
  <si>
    <t>15.06.2019</t>
  </si>
  <si>
    <t>Radu Restul (25.05.2019)</t>
  </si>
  <si>
    <t>22.06.2019</t>
  </si>
  <si>
    <t>Factura catre Heavy Designers/Bani scosi prin el</t>
  </si>
  <si>
    <t>Arni Restul (25.05.2019)</t>
  </si>
  <si>
    <t>29.06.2019</t>
  </si>
  <si>
    <t>Bani Cash Event 29.06.2019</t>
  </si>
  <si>
    <t>George Hora (Mix-Master)</t>
  </si>
  <si>
    <t>07.07.2019</t>
  </si>
  <si>
    <t>Bani Cash Event 06.07.2019</t>
  </si>
  <si>
    <t>Motorina Bucuresti "Spune-mi unde esti" Part 1</t>
  </si>
  <si>
    <t>01.08.2019</t>
  </si>
  <si>
    <t>Bani Cash Event 28.07.2019</t>
  </si>
  <si>
    <t>Parcari + Uber Bucuresti "Spune-mi unde esti" Part 1</t>
  </si>
  <si>
    <t>05.08.2019</t>
  </si>
  <si>
    <t>Bani Cash Event 03.08.2019</t>
  </si>
  <si>
    <t xml:space="preserve">Promovare Instagram Influencer </t>
  </si>
  <si>
    <t>18.08.2019</t>
  </si>
  <si>
    <t>Bani Cash Event 17.08.2019</t>
  </si>
  <si>
    <t>Sebi (Nunti 15.06.2019-16.06.2019)</t>
  </si>
  <si>
    <t>24.08.2019</t>
  </si>
  <si>
    <t>Bani Cash Event 24.08.2019</t>
  </si>
  <si>
    <t>Luci (Nunti 15.06.2019-16.06.2019)</t>
  </si>
  <si>
    <t>13.09.2019</t>
  </si>
  <si>
    <t>Bani Cash Event 07.09.2019</t>
  </si>
  <si>
    <t>Arni (15.06.2019 - Prestige)</t>
  </si>
  <si>
    <t>Bani Cash Event 21.09.2019</t>
  </si>
  <si>
    <t>Luci/Carina/Sebi/Arni (Nunta 29.06..2019)</t>
  </si>
  <si>
    <t>Bani Cash Event 28.09.2019</t>
  </si>
  <si>
    <t>Luci/Radu/Carina/Sebi/Arni (Nunta 06.07.2019)</t>
  </si>
  <si>
    <t>Bani Cash Event 29.09.2019</t>
  </si>
  <si>
    <t>Luci/Radu/Carina/Sebi/Arni (Nunta 28.07.2019)</t>
  </si>
  <si>
    <t>Luci/Radu/Carina/Sebi/Arni (Nunta 03.08.2019)</t>
  </si>
  <si>
    <t>Bani Imprumutati in 2018 de Prezent de la Phaser</t>
  </si>
  <si>
    <t>Luci/Radu/Carina/Sebi/Arni (Nunta 17.08.2019)</t>
  </si>
  <si>
    <t>Bani Cash Event 12.10.2019</t>
  </si>
  <si>
    <t>Luci/Radu/Carina/Sebi/Arni (Nunta 24.08.2019)</t>
  </si>
  <si>
    <t>15.10.2019</t>
  </si>
  <si>
    <t>Carina - Parte din Nunta 31.08.2019</t>
  </si>
  <si>
    <t>Bani Cash Event 19.10.2019</t>
  </si>
  <si>
    <t>Radu - 1500; Sebi - 1500; Luci - 1500 === (Nunta 31.08.2019)</t>
  </si>
  <si>
    <t>19.10.2019</t>
  </si>
  <si>
    <t>Radu - 120 = Carte procedura lega prevenirii</t>
  </si>
  <si>
    <t>Luci/Radu/Carina/Sebi/Arni (Nunta 07.09.2019)</t>
  </si>
  <si>
    <t>Luci/Radu/Carina/Sebi/Arni (Nunta 21.09.2019)</t>
  </si>
  <si>
    <t>Luci/Radu/Carina/Sebi/Arni (Nunta 28.09.2019)</t>
  </si>
  <si>
    <t>Luci/Radu/Carina/Sebi/Arni (Nunta 29.09.2019)</t>
  </si>
  <si>
    <t>Ervin Boer Foto Bastion Glow</t>
  </si>
  <si>
    <t>Luci/Radu/Carina/Sebi/Arni (Event-uri 13/21.09.2019)</t>
  </si>
  <si>
    <t>Luci/Radu/Carina/Sebi/Arni (Event 12.10.2019)</t>
  </si>
  <si>
    <t>Luci/Radu/Carina/Sebi/Arni (Event 19.10.2019)</t>
  </si>
  <si>
    <t>Uber Carina</t>
  </si>
  <si>
    <t>Lobby Bucuresti</t>
  </si>
  <si>
    <t>Gore Uber + Taxi</t>
  </si>
  <si>
    <t>Motorina Microbuz Bucuresti "Suntem doar noi"</t>
  </si>
  <si>
    <t>Sala de repetitii PHASER Iunie - Decembrie</t>
  </si>
  <si>
    <t>Arni - 500 = Parte din Corporate 13-14.12.2019</t>
  </si>
  <si>
    <t>Radu - Parte din Revelion Timisoara Resita (31.12.2019)</t>
  </si>
  <si>
    <t xml:space="preserve">MP </t>
  </si>
  <si>
    <t>26/20.11.2017</t>
  </si>
  <si>
    <t>-</t>
  </si>
  <si>
    <t>44/26.02.2018</t>
  </si>
  <si>
    <t xml:space="preserve">Petrecere Firma </t>
  </si>
  <si>
    <t>Piata Operei @ Timisoara</t>
  </si>
  <si>
    <t>50/11.04.2018</t>
  </si>
  <si>
    <t>Concert - "Verde pentru biciclete"</t>
  </si>
  <si>
    <t>Piata Tricolorului @ Resita</t>
  </si>
  <si>
    <t xml:space="preserve">Caritabil </t>
  </si>
  <si>
    <t>Concert - "Muzica pentru viata"</t>
  </si>
  <si>
    <t>Gratis</t>
  </si>
  <si>
    <t>46/19.03.2018</t>
  </si>
  <si>
    <t>Petrecere Firma Nutricia</t>
  </si>
  <si>
    <t>Sunet + Backline - 1400, DJ - 1400</t>
  </si>
  <si>
    <t>08/05.04.2017</t>
  </si>
  <si>
    <t>140 E</t>
  </si>
  <si>
    <t>11370/13.04.2018</t>
  </si>
  <si>
    <t xml:space="preserve">Petrecere de Firma TRW </t>
  </si>
  <si>
    <t>Honeywell @ Lugoj</t>
  </si>
  <si>
    <t>54/03.05.2018</t>
  </si>
  <si>
    <t>Petrecere de Firma Honeywell</t>
  </si>
  <si>
    <t>Backline - 930, Drum - 150</t>
  </si>
  <si>
    <t>40/01.02.2018</t>
  </si>
  <si>
    <t>Sistem de sunet + Backline</t>
  </si>
  <si>
    <t>Valery 3 @ Mosnita</t>
  </si>
  <si>
    <t>20/31.08.2017</t>
  </si>
  <si>
    <t>125 E</t>
  </si>
  <si>
    <t>21/29.09.2017</t>
  </si>
  <si>
    <t>36/22.01.2018</t>
  </si>
  <si>
    <t>Casa Altringen</t>
  </si>
  <si>
    <t>33/11.01.2018</t>
  </si>
  <si>
    <t>Backline - 930, Drum - 100</t>
  </si>
  <si>
    <t>Aer Liber @ Severin</t>
  </si>
  <si>
    <t>57/07.06.2018</t>
  </si>
  <si>
    <t>In fata Teatrului (Festival Cultura)</t>
  </si>
  <si>
    <t>Solay Events @ Oradea</t>
  </si>
  <si>
    <t>56/07.06.2018</t>
  </si>
  <si>
    <t>20180601/14.06.2018</t>
  </si>
  <si>
    <t>Petrecere Firma NESS</t>
  </si>
  <si>
    <t>Hadar Chatel @ Buzau</t>
  </si>
  <si>
    <t>34/11.01.2018</t>
  </si>
  <si>
    <t>Hotel Parc @ Slatina Olt</t>
  </si>
  <si>
    <t>05/23.03.2017</t>
  </si>
  <si>
    <t>Sunet + Backline - 1600, DJ - 1400</t>
  </si>
  <si>
    <t>150 E</t>
  </si>
  <si>
    <t>42/04.02.2018</t>
  </si>
  <si>
    <t>Backline - 930, Tehnic - 450 RON</t>
  </si>
  <si>
    <t>Hill Events @ Severin</t>
  </si>
  <si>
    <t>02/22.03.2017</t>
  </si>
  <si>
    <t>16/09.08.2017</t>
  </si>
  <si>
    <t>Hotel Continental @ Arad</t>
  </si>
  <si>
    <t>15/09.08.2017</t>
  </si>
  <si>
    <t>Sunet-1600,Drum-100</t>
  </si>
  <si>
    <t>29/02.12.2017</t>
  </si>
  <si>
    <t>Italianu @ Resita</t>
  </si>
  <si>
    <t xml:space="preserve">43/09.02.2018 </t>
  </si>
  <si>
    <t>Majorat (Verisoara Carinei)</t>
  </si>
  <si>
    <t>Sunet-1165,Drum-200</t>
  </si>
  <si>
    <t>Aer Liber @ Arad</t>
  </si>
  <si>
    <t>63/17.08.2018</t>
  </si>
  <si>
    <t xml:space="preserve">Backline - 500, Drum - 150 </t>
  </si>
  <si>
    <t>31/11.12.2017</t>
  </si>
  <si>
    <t>Fara Contract</t>
  </si>
  <si>
    <t>Sunet-500, Lumini-500, Tehnic-350</t>
  </si>
  <si>
    <t>18/23.08.2017</t>
  </si>
  <si>
    <t>Epic Vara @ Timisoara</t>
  </si>
  <si>
    <t>51/16.04.2017</t>
  </si>
  <si>
    <t>38/25.01.2018</t>
  </si>
  <si>
    <t>39/25.01.2018</t>
  </si>
  <si>
    <t>45/12.02.2018</t>
  </si>
  <si>
    <t>Arcade @ Caransebes</t>
  </si>
  <si>
    <t>30/06.12.2018</t>
  </si>
  <si>
    <t>Backline-930, drum-200</t>
  </si>
  <si>
    <t>12/20.09.2018</t>
  </si>
  <si>
    <t>Concert Caritabil "Dovleacul Roz"</t>
  </si>
  <si>
    <t>Centru @ Buzias</t>
  </si>
  <si>
    <t>04/27.09.2018</t>
  </si>
  <si>
    <t>Sunet-550, tehnic-200, drum-200</t>
  </si>
  <si>
    <t>24/14.11.2017</t>
  </si>
  <si>
    <t>Sunet-1650, tehnic-250</t>
  </si>
  <si>
    <t>55/07.06.2018</t>
  </si>
  <si>
    <t xml:space="preserve">Backline - 930, Drum - 200 </t>
  </si>
  <si>
    <t>Concert "Festivalul vinului"</t>
  </si>
  <si>
    <t>Arsenal Park @ Orastie</t>
  </si>
  <si>
    <t>13013/03.09.2018</t>
  </si>
  <si>
    <t>Petrecere firma TRW</t>
  </si>
  <si>
    <t>Backline - 930, Drum - 800</t>
  </si>
  <si>
    <t>41/01.02.2018</t>
  </si>
  <si>
    <t>Backline - 940, Tehnic - 200</t>
  </si>
  <si>
    <t>71/05.11.2018</t>
  </si>
  <si>
    <t>Bal Chimie</t>
  </si>
  <si>
    <t>Backline - 500, Tehnic - 200</t>
  </si>
  <si>
    <t>Bega @ Timisoara</t>
  </si>
  <si>
    <t>74/26.11.2018</t>
  </si>
  <si>
    <t>Petrecere firma Valeo IT</t>
  </si>
  <si>
    <t>Sistem de sunet + Backline - 1630, Tehnic - 250</t>
  </si>
  <si>
    <t>Fratelli Club @ Timisoara</t>
  </si>
  <si>
    <t>78/06.12.2018</t>
  </si>
  <si>
    <t>Petrecere firma Orange</t>
  </si>
  <si>
    <t>Heaven Club @ Timisoara</t>
  </si>
  <si>
    <t>76/04.12.2018</t>
  </si>
  <si>
    <t>Petrecere firma Nokia</t>
  </si>
  <si>
    <t>Backline - 930, Tehnic - 250</t>
  </si>
  <si>
    <t>Park Place @ Timisoara</t>
  </si>
  <si>
    <t>72/01.11.2018</t>
  </si>
  <si>
    <t>Petrecere firma Bosch</t>
  </si>
  <si>
    <t>Noveau @ Timisoara</t>
  </si>
  <si>
    <t>Doar Factura PFA</t>
  </si>
  <si>
    <t>Petrecere firma 3Pillar</t>
  </si>
  <si>
    <t>Sistem de sunet + Backline - 1630 + Tehnic - 100</t>
  </si>
  <si>
    <t>96110/29.11.2018</t>
  </si>
  <si>
    <t>Backline - 930</t>
  </si>
  <si>
    <t>Imp. 3%</t>
  </si>
  <si>
    <t>"In casa"</t>
  </si>
  <si>
    <t>Contract pe I.I.</t>
  </si>
  <si>
    <t>Sunet + Backline</t>
  </si>
  <si>
    <t>Valery 4 @ Timisoara</t>
  </si>
  <si>
    <t>Sala Palatul Parlamentului</t>
  </si>
  <si>
    <t>Valery 1 @ Timisoara</t>
  </si>
  <si>
    <t>Scottish Pub @ Timisoara</t>
  </si>
  <si>
    <t>Sunet + Backline - 500, Lumini - 200</t>
  </si>
  <si>
    <t>Contract pe PFA</t>
  </si>
  <si>
    <t>Vineri 15 @ Timisoara</t>
  </si>
  <si>
    <t>1/21.03.2017</t>
  </si>
  <si>
    <t>Backline - 500, Lumini 300</t>
  </si>
  <si>
    <t>Gratis, Lansare Revista</t>
  </si>
  <si>
    <t>Backline Gratis</t>
  </si>
  <si>
    <t>Contract pe I.I., Majorat</t>
  </si>
  <si>
    <t>J'Adore Ballroom @ Lugoj</t>
  </si>
  <si>
    <t>Ambery Hall Lights @ Buc</t>
  </si>
  <si>
    <t>Sunet + Backline - 1589, Drum - 1820</t>
  </si>
  <si>
    <t>@ Caransebes</t>
  </si>
  <si>
    <t>Contract pe I.I., Banchet</t>
  </si>
  <si>
    <t>Popasul Caprioarei @ Sag</t>
  </si>
  <si>
    <t>Hotel Moticica @ Ghiroda</t>
  </si>
  <si>
    <t>6/04.04.2017</t>
  </si>
  <si>
    <t>Restaurant Rocco @ Izvin</t>
  </si>
  <si>
    <t>Jardin @ Timisoara</t>
  </si>
  <si>
    <t>Fact. PM 12</t>
  </si>
  <si>
    <t>Contract facut de ei, Firma ACI</t>
  </si>
  <si>
    <t>Insula @ Timisoara</t>
  </si>
  <si>
    <t>11/22.06.2017</t>
  </si>
  <si>
    <t>Firma Nokia</t>
  </si>
  <si>
    <t>Sunet + Backline-1600, Dj + Lumini-1828</t>
  </si>
  <si>
    <t>Sunet + Backline-500, Tech + Lumini-500</t>
  </si>
  <si>
    <t>12/29.06.2017</t>
  </si>
  <si>
    <t>Firma H-Doc Resort</t>
  </si>
  <si>
    <t>Merlot @ Timisoara</t>
  </si>
  <si>
    <t>Ziua de nastere</t>
  </si>
  <si>
    <t>Hevean @ Timisoara</t>
  </si>
  <si>
    <t>13/30.06.2017</t>
  </si>
  <si>
    <t>Muzeul Satului @ Timisoara</t>
  </si>
  <si>
    <t>14/30.06.2017</t>
  </si>
  <si>
    <t>Firma Continental, prin VSG</t>
  </si>
  <si>
    <t>Club Epic @ Timisoara</t>
  </si>
  <si>
    <t>Backline - 200, Lumini - 250</t>
  </si>
  <si>
    <t>Tabiet @ Arad</t>
  </si>
  <si>
    <t>Backline - 912, 100 - Drum</t>
  </si>
  <si>
    <t>Hotel Stejarul @ Bazos</t>
  </si>
  <si>
    <t>Contract pe Pers. Fizica</t>
  </si>
  <si>
    <t>Soho Wet @ Resita</t>
  </si>
  <si>
    <t>Aniversare Radio Resita</t>
  </si>
  <si>
    <t>@ Bucuresti</t>
  </si>
  <si>
    <t>@ Ciacova</t>
  </si>
  <si>
    <t>Prin Seap</t>
  </si>
  <si>
    <t>Sunet + Backline-1000, Lights + DJ-1000</t>
  </si>
  <si>
    <t>Diamond @ Sacalaz</t>
  </si>
  <si>
    <t>Domeniul Lupas @ Arad</t>
  </si>
  <si>
    <t>4/22.03.2017</t>
  </si>
  <si>
    <t>Capite @ Timisoara</t>
  </si>
  <si>
    <t>Gratis, Banat IT</t>
  </si>
  <si>
    <t>Cochet Ballroom @ Timisoara</t>
  </si>
  <si>
    <t>Backline - 920, Comision Caius - 690</t>
  </si>
  <si>
    <t>Zilele Carasebesului</t>
  </si>
  <si>
    <t>035/13.09.2017</t>
  </si>
  <si>
    <t>Contract facut de ei</t>
  </si>
  <si>
    <t>Backline - 600, Drum - 200</t>
  </si>
  <si>
    <t>Contract pe I.I., inainte de 18 Sept</t>
  </si>
  <si>
    <t>120 E</t>
  </si>
  <si>
    <t>Hevean Cort @ Timisoara</t>
  </si>
  <si>
    <t>112.5 E</t>
  </si>
  <si>
    <t>Clubul Taranului @ Bucuresti</t>
  </si>
  <si>
    <t>Pe bilete</t>
  </si>
  <si>
    <t>Iabilet.ro</t>
  </si>
  <si>
    <t>Hotel Senator @ Timisoara</t>
  </si>
  <si>
    <t>3/22.03.2017</t>
  </si>
  <si>
    <t>Inainte de 18 Sept.</t>
  </si>
  <si>
    <t>17/18.08.2017</t>
  </si>
  <si>
    <t>Casa Studentilor @ Timisoara</t>
  </si>
  <si>
    <t>Gratis, parteneriat cu sala</t>
  </si>
  <si>
    <t>Ivy @ Timisoara</t>
  </si>
  <si>
    <t>10/14.06.2017</t>
  </si>
  <si>
    <t>1000 stransi din bilete</t>
  </si>
  <si>
    <t>Sunet - 400, Lumini 400, Drum - 200</t>
  </si>
  <si>
    <t>7/04.04.2017</t>
  </si>
  <si>
    <t>9/07.04.2017</t>
  </si>
  <si>
    <t>Dusan si Fiul @ Resita</t>
  </si>
  <si>
    <t>27/15.11.2017</t>
  </si>
  <si>
    <t>Club 30 @ Timisoara</t>
  </si>
  <si>
    <t>28/22.11.2017</t>
  </si>
  <si>
    <t>Lansare "Alerg" Timisoara</t>
  </si>
  <si>
    <t>Backline - 500, Lumini 300, Tehnic - 100</t>
  </si>
  <si>
    <t>23/01.11.2017</t>
  </si>
  <si>
    <t>Inainte de 18 Sept., firma Bosch</t>
  </si>
  <si>
    <t>100 E</t>
  </si>
  <si>
    <t>Lido @ Timisaora</t>
  </si>
  <si>
    <t>fact.PM 40</t>
  </si>
  <si>
    <t>fara contract, doar oferta, Dalli</t>
  </si>
  <si>
    <t>Pe Pers. Fizica Targul de Craciun</t>
  </si>
  <si>
    <t>25/14.11.2017</t>
  </si>
  <si>
    <t>Club Vineri 15 @ Timisoara</t>
  </si>
  <si>
    <t>31/12.12.2017</t>
  </si>
  <si>
    <t>Firma Flextronics</t>
  </si>
  <si>
    <t>22/01.11.2017</t>
  </si>
  <si>
    <t>Firma Mewi</t>
  </si>
  <si>
    <t>Hotel Timisoara @ Timisoara</t>
  </si>
  <si>
    <t>32/19.12.2017</t>
  </si>
  <si>
    <t>Total Venituri</t>
  </si>
  <si>
    <t>Impozit 3%</t>
  </si>
  <si>
    <t>Comision Booking Media Pro 20% (MP 20%)</t>
  </si>
  <si>
    <t>*formula = 20% * (Onorariu - Imp 3% - Cheltuieli)</t>
  </si>
  <si>
    <t>13.07.2018</t>
  </si>
  <si>
    <t>bani ramasi de pe 2017</t>
  </si>
  <si>
    <t>01.08.2018</t>
  </si>
  <si>
    <t>Datorii catre Radu (Master Hora Calatori + Drum Bucuresti)</t>
  </si>
  <si>
    <t>bani ramasi de la severin (din firma)</t>
  </si>
  <si>
    <t>03.09.2018</t>
  </si>
  <si>
    <t>Tehnic pentru weekend-ul 21.08-02.09.2018</t>
  </si>
  <si>
    <t>13.06.2018</t>
  </si>
  <si>
    <t>bani ramasi din retragere dupa ce l-am platit pe hora</t>
  </si>
  <si>
    <t xml:space="preserve">Incasari </t>
  </si>
  <si>
    <t>01.01.2017</t>
  </si>
  <si>
    <t>Bani ramasi din 2015</t>
  </si>
  <si>
    <t>06.01.2017</t>
  </si>
  <si>
    <t>Facebook</t>
  </si>
  <si>
    <t>14.01.2017</t>
  </si>
  <si>
    <t>Party Privat 14.01.2017</t>
  </si>
  <si>
    <t>07.02.2017</t>
  </si>
  <si>
    <t>Schimb valutar (4,4)</t>
  </si>
  <si>
    <t>02.01.2017</t>
  </si>
  <si>
    <t>Party Privat 21.01.2017</t>
  </si>
  <si>
    <t>Chirie Sala de repetitii</t>
  </si>
  <si>
    <t>Nunta 28.01.2017</t>
  </si>
  <si>
    <t>17.02.2017</t>
  </si>
  <si>
    <t>Tehnic Bebi si Calu pt 17-18.02</t>
  </si>
  <si>
    <t>Nunta 04.02.2017</t>
  </si>
  <si>
    <t>03.03.2017</t>
  </si>
  <si>
    <t>Schimb valutar (4,5)</t>
  </si>
  <si>
    <t>12.06.2017</t>
  </si>
  <si>
    <t>Tehnic Marcel pt. 10.06.2017</t>
  </si>
  <si>
    <t>13.02.2017</t>
  </si>
  <si>
    <t>Nunta 11.02.2017</t>
  </si>
  <si>
    <t>22.06.2017</t>
  </si>
  <si>
    <t>Tehnic Marcel pt. 23.06.2017 si 24.06.2017</t>
  </si>
  <si>
    <t>20.02.2017</t>
  </si>
  <si>
    <t>Nunta 18.02.2017</t>
  </si>
  <si>
    <t>28.06.2017</t>
  </si>
  <si>
    <t>Balanta Euro</t>
  </si>
  <si>
    <t>Achizitionat scaune de bar</t>
  </si>
  <si>
    <t>01.04.2017</t>
  </si>
  <si>
    <t>Party privat 01.04.2017</t>
  </si>
  <si>
    <t>30.07.2017</t>
  </si>
  <si>
    <t>Tehnic Leo pt. 29.07.2017 si 30.07.2017</t>
  </si>
  <si>
    <t>23.04.2017</t>
  </si>
  <si>
    <t>Nunta 22.04.2017</t>
  </si>
  <si>
    <t>17.08.2017</t>
  </si>
  <si>
    <t>04.05.2017</t>
  </si>
  <si>
    <t>Nunta 29.04.2017</t>
  </si>
  <si>
    <t>Clip Pat</t>
  </si>
  <si>
    <t>Nunta 30.04.2017</t>
  </si>
  <si>
    <t>Clip Televizoare</t>
  </si>
  <si>
    <t>13.05.2017</t>
  </si>
  <si>
    <t>Nunta 13.05.2017</t>
  </si>
  <si>
    <t>Clip Fum greu</t>
  </si>
  <si>
    <t>20.05.2017</t>
  </si>
  <si>
    <t>Nunta 20.05.2017</t>
  </si>
  <si>
    <t>Clip Om fum greu</t>
  </si>
  <si>
    <t>27.05.2017</t>
  </si>
  <si>
    <t>Nunta 27.05.2017</t>
  </si>
  <si>
    <t>Clip Fumigene</t>
  </si>
  <si>
    <t>03.06.2017</t>
  </si>
  <si>
    <t>Nunta 03.06.2017</t>
  </si>
  <si>
    <t>Clip Portar</t>
  </si>
  <si>
    <t>25.06.2017</t>
  </si>
  <si>
    <t>Nunta 24.06.2017</t>
  </si>
  <si>
    <t xml:space="preserve">Clip Tehnic Marcel </t>
  </si>
  <si>
    <t>Clip Lumini Bula</t>
  </si>
  <si>
    <t>09.07.2017</t>
  </si>
  <si>
    <t>Nunta 08.07.2017</t>
  </si>
  <si>
    <t>Clip Drumuri Luci furtun Pompieri</t>
  </si>
  <si>
    <t>23.07.2017</t>
  </si>
  <si>
    <t>Nunta 22.07.2017</t>
  </si>
  <si>
    <t>Clip Bauturi/ baxuri ape</t>
  </si>
  <si>
    <t>28.07.2017</t>
  </si>
  <si>
    <t>Nunta 28.07.2017</t>
  </si>
  <si>
    <t xml:space="preserve">Clip - Flavius </t>
  </si>
  <si>
    <t>13.08.2017</t>
  </si>
  <si>
    <t>Nunta 12.08.2017 - bani de pe AVIS</t>
  </si>
  <si>
    <t>c</t>
  </si>
  <si>
    <t>de la Luci PFA</t>
  </si>
  <si>
    <t>24.08.2017</t>
  </si>
  <si>
    <t>Flavius - avion ISL</t>
  </si>
  <si>
    <t>20.08.2017</t>
  </si>
  <si>
    <t>Nunta 19.08.2017</t>
  </si>
  <si>
    <t>28.08.2017</t>
  </si>
  <si>
    <t>Nunta 20.08.2017</t>
  </si>
  <si>
    <t>Inchiriere masini ISL</t>
  </si>
  <si>
    <t>aivon de la cele 3 fete pentru ISL</t>
  </si>
  <si>
    <t>30.09.2017</t>
  </si>
  <si>
    <t>Schimb valutar (4,6)</t>
  </si>
  <si>
    <t>05.09.2017</t>
  </si>
  <si>
    <t>Nunta 02.09.2017</t>
  </si>
  <si>
    <t>16.09.2017</t>
  </si>
  <si>
    <t xml:space="preserve">Nunta 16.09.2017 </t>
  </si>
  <si>
    <t>23.09.2017</t>
  </si>
  <si>
    <t>Nunta 23.09.2017</t>
  </si>
  <si>
    <t>Nunta 30.09.2017</t>
  </si>
  <si>
    <t>Stare</t>
  </si>
  <si>
    <t xml:space="preserve">Descriere </t>
  </si>
  <si>
    <t>Zbor Avion Flavius Japonia</t>
  </si>
  <si>
    <t>Cazare + Cheltuiala Flavius Japonia</t>
  </si>
  <si>
    <t>Peta (Indestructibil)</t>
  </si>
  <si>
    <t>GSuite</t>
  </si>
  <si>
    <t>Globuri</t>
  </si>
  <si>
    <t>Ecran</t>
  </si>
  <si>
    <t>Faina</t>
  </si>
  <si>
    <t>Tehnic ziua cu Buziasul</t>
  </si>
  <si>
    <t>Drum Buzias</t>
  </si>
  <si>
    <t>*Legenda</t>
  </si>
  <si>
    <t>Achitat =</t>
  </si>
  <si>
    <t xml:space="preserve">Oferta </t>
  </si>
  <si>
    <t>14.10.2017</t>
  </si>
  <si>
    <t xml:space="preserve">Total = </t>
  </si>
  <si>
    <t>15.10.2017</t>
  </si>
  <si>
    <t xml:space="preserve">5% = </t>
  </si>
  <si>
    <t>21.10.2017</t>
  </si>
  <si>
    <t>28.10.2017</t>
  </si>
  <si>
    <t>04.11.2017</t>
  </si>
  <si>
    <t>11.11.2017</t>
  </si>
  <si>
    <t>18.11.2017</t>
  </si>
  <si>
    <t>08.12.2017</t>
  </si>
  <si>
    <t>28.04.2018</t>
  </si>
  <si>
    <t>01.06.2018</t>
  </si>
  <si>
    <t>07.07.2018</t>
  </si>
  <si>
    <t>14.07.2018</t>
  </si>
  <si>
    <t>21.07.2018</t>
  </si>
  <si>
    <t>28.07.2018</t>
  </si>
  <si>
    <t>01.09.2018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</si>
</sst>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"/>
  </numFmts>
  <fonts count="34">
    <font>
      <sz val="10.0"/>
      <color rgb="FF000000"/>
      <name val="Arial"/>
    </font>
    <font/>
    <font>
      <sz val="9.0"/>
      <color rgb="FF000000"/>
      <name val="&quot;Google Sans Mono&quot;"/>
    </font>
    <font>
      <i/>
    </font>
    <font>
      <i/>
      <color rgb="FF999999"/>
    </font>
    <font>
      <i/>
      <color rgb="FFB7B7B7"/>
    </font>
    <font>
      <b/>
      <color rgb="FF000000"/>
    </font>
    <font>
      <b/>
    </font>
    <font>
      <name val="Arial"/>
    </font>
    <font>
      <b/>
      <color rgb="FFFF0000"/>
    </font>
    <font>
      <color rgb="FF000000"/>
      <name val="Roboto"/>
    </font>
    <font>
      <i/>
      <name val="Arial"/>
    </font>
    <font>
      <color rgb="FFFF0000"/>
    </font>
    <font>
      <color rgb="FFFF00FF"/>
    </font>
    <font>
      <b/>
      <sz val="10.0"/>
      <color rgb="FFFF0000"/>
      <name val="Arial"/>
    </font>
    <font>
      <sz val="10.0"/>
      <name val="Arial"/>
    </font>
    <font>
      <sz val="10.0"/>
    </font>
    <font>
      <sz val="10.0"/>
      <color rgb="FFFF0000"/>
      <name val="Arial"/>
    </font>
    <font>
      <b/>
      <sz val="10.0"/>
    </font>
    <font>
      <b/>
      <sz val="10.0"/>
      <name val="Arial"/>
    </font>
    <font>
      <color rgb="FF1155CC"/>
    </font>
    <font>
      <sz val="11.0"/>
      <color rgb="FF000000"/>
      <name val="Inconsolata"/>
    </font>
    <font>
      <color rgb="FF4A86E8"/>
    </font>
    <font>
      <color rgb="FF000000"/>
    </font>
    <font>
      <i/>
      <color rgb="FF4A86E8"/>
    </font>
    <font>
      <color rgb="FF4984E4"/>
    </font>
    <font>
      <color rgb="FF3C78D8"/>
    </font>
    <font>
      <b/>
      <color rgb="FFFF0000"/>
      <name val="Arial"/>
    </font>
    <font>
      <b/>
      <name val="Arial"/>
    </font>
    <font>
      <i/>
      <color rgb="FF1155CC"/>
    </font>
    <font>
      <u/>
      <color rgb="FF0000FF"/>
    </font>
    <font>
      <i/>
      <u/>
    </font>
    <font>
      <color rgb="FF000000"/>
      <name val="Arial"/>
    </font>
    <font>
      <color rgb="FFFF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CD2D2"/>
        <bgColor rgb="FFFCD2D2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E69138"/>
        <bgColor rgb="FFE69138"/>
      </patternFill>
    </fill>
    <fill>
      <patternFill patternType="solid">
        <fgColor rgb="FFE6B8AF"/>
        <bgColor rgb="FFE6B8AF"/>
      </patternFill>
    </fill>
    <fill>
      <patternFill patternType="solid">
        <fgColor rgb="FFFFD966"/>
        <bgColor rgb="FFFFD966"/>
      </patternFill>
    </fill>
  </fills>
  <borders count="3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right style="double">
        <color rgb="FF000000"/>
      </right>
    </border>
    <border>
      <right style="hair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</border>
    <border>
      <left style="thin">
        <color rgb="FF000000"/>
      </left>
      <right style="double">
        <color rgb="FF000000"/>
      </right>
    </border>
  </borders>
  <cellStyleXfs count="1">
    <xf borderId="0" fillId="0" fontId="0" numFmtId="0" applyAlignment="1" applyFont="1"/>
  </cellStyleXfs>
  <cellXfs count="3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1" numFmtId="10" xfId="0" applyAlignment="1" applyFont="1" applyNumberFormat="1">
      <alignment horizontal="center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0" fillId="2" fontId="1" numFmtId="0" xfId="0" applyAlignment="1" applyFill="1" applyFont="1">
      <alignment horizontal="center" shrinkToFit="0" vertical="top" wrapText="1"/>
    </xf>
    <xf borderId="0" fillId="2" fontId="1" numFmtId="0" xfId="0" applyAlignment="1" applyFont="1">
      <alignment horizontal="center" readingOrder="0" shrinkToFit="0" vertical="top" wrapText="1"/>
    </xf>
    <xf borderId="0" fillId="0" fontId="1" numFmtId="9" xfId="0" applyAlignment="1" applyFont="1" applyNumberFormat="1">
      <alignment horizontal="center" readingOrder="0" shrinkToFit="0" vertical="top" wrapText="1"/>
    </xf>
    <xf borderId="0" fillId="2" fontId="1" numFmtId="10" xfId="0" applyAlignment="1" applyFont="1" applyNumberFormat="1">
      <alignment horizontal="center" readingOrder="0" shrinkToFit="0" vertical="top" wrapText="1"/>
    </xf>
    <xf borderId="0" fillId="3" fontId="1" numFmtId="0" xfId="0" applyAlignment="1" applyFill="1" applyFont="1">
      <alignment horizontal="center" shrinkToFit="0" vertical="top" wrapText="1"/>
    </xf>
    <xf borderId="0" fillId="4" fontId="1" numFmtId="0" xfId="0" applyAlignment="1" applyFill="1" applyFont="1">
      <alignment horizontal="left" readingOrder="0" shrinkToFit="0" vertical="top" wrapText="0"/>
    </xf>
    <xf borderId="0" fillId="4" fontId="1" numFmtId="0" xfId="0" applyAlignment="1" applyFont="1">
      <alignment horizontal="center" shrinkToFit="0" vertical="top" wrapText="1"/>
    </xf>
    <xf borderId="0" fillId="4" fontId="1" numFmtId="0" xfId="0" applyFont="1"/>
    <xf borderId="0" fillId="4" fontId="1" numFmtId="10" xfId="0" applyFont="1" applyNumberFormat="1"/>
    <xf borderId="0" fillId="4" fontId="1" numFmtId="0" xfId="0" applyAlignment="1" applyFont="1">
      <alignment readingOrder="0"/>
    </xf>
    <xf borderId="0" fillId="4" fontId="1" numFmtId="0" xfId="0" applyAlignment="1" applyFont="1">
      <alignment shrinkToFit="0" vertical="top" wrapText="1"/>
    </xf>
    <xf borderId="0" fillId="4" fontId="1" numFmtId="10" xfId="0" applyAlignment="1" applyFont="1" applyNumberFormat="1">
      <alignment shrinkToFit="0" vertical="top" wrapText="1"/>
    </xf>
    <xf borderId="0" fillId="4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2" fontId="1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10" xfId="0" applyAlignment="1" applyFont="1" applyNumberFormat="1">
      <alignment readingOrder="0" shrinkToFit="0" vertical="top" wrapText="1"/>
    </xf>
    <xf borderId="0" fillId="5" fontId="1" numFmtId="0" xfId="0" applyAlignment="1" applyFill="1" applyFont="1">
      <alignment readingOrder="0" shrinkToFit="0" vertical="top" wrapText="1"/>
    </xf>
    <xf borderId="0" fillId="3" fontId="1" numFmtId="0" xfId="0" applyAlignment="1" applyFont="1">
      <alignment shrinkToFit="0" vertical="top" wrapText="1"/>
    </xf>
    <xf borderId="0" fillId="6" fontId="1" numFmtId="0" xfId="0" applyAlignment="1" applyFill="1" applyFont="1">
      <alignment readingOrder="0" shrinkToFit="0" vertical="top" wrapText="1"/>
    </xf>
    <xf borderId="0" fillId="6" fontId="1" numFmtId="0" xfId="0" applyAlignment="1" applyFont="1">
      <alignment shrinkToFit="0" vertical="top" wrapText="1"/>
    </xf>
    <xf borderId="0" fillId="6" fontId="1" numFmtId="10" xfId="0" applyAlignment="1" applyFont="1" applyNumberFormat="1">
      <alignment shrinkToFit="0" vertical="top" wrapText="1"/>
    </xf>
    <xf borderId="0" fillId="4" fontId="1" numFmtId="0" xfId="0" applyAlignment="1" applyFont="1">
      <alignment readingOrder="0" shrinkToFit="0" vertical="top" wrapText="0"/>
    </xf>
    <xf borderId="0" fillId="6" fontId="1" numFmtId="0" xfId="0" applyAlignment="1" applyFont="1">
      <alignment readingOrder="0" shrinkToFit="0" vertical="top" wrapText="0"/>
    </xf>
    <xf borderId="0" fillId="0" fontId="1" numFmtId="10" xfId="0" applyAlignment="1" applyFont="1" applyNumberFormat="1">
      <alignment shrinkToFit="0" vertical="top" wrapText="1"/>
    </xf>
    <xf borderId="0" fillId="5" fontId="1" numFmtId="0" xfId="0" applyAlignment="1" applyFont="1">
      <alignment shrinkToFit="0" vertical="top" wrapText="1"/>
    </xf>
    <xf borderId="0" fillId="7" fontId="1" numFmtId="0" xfId="0" applyAlignment="1" applyFill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8" fontId="1" numFmtId="0" xfId="0" applyAlignment="1" applyFill="1" applyFont="1">
      <alignment readingOrder="0" shrinkToFit="0" vertical="top" wrapText="1"/>
    </xf>
    <xf borderId="0" fillId="0" fontId="1" numFmtId="0" xfId="0" applyAlignment="1" applyFont="1">
      <alignment vertical="top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center" readingOrder="0" shrinkToFit="0" vertical="top" wrapText="1"/>
    </xf>
    <xf borderId="0" fillId="4" fontId="1" numFmtId="0" xfId="0" applyAlignment="1" applyFont="1">
      <alignment horizontal="left" readingOrder="0" shrinkToFit="0" vertical="top" wrapText="1"/>
    </xf>
    <xf borderId="0" fillId="4" fontId="3" numFmtId="0" xfId="0" applyAlignment="1" applyFont="1">
      <alignment vertical="top"/>
    </xf>
    <xf borderId="0" fillId="4" fontId="1" numFmtId="0" xfId="0" applyAlignment="1" applyFont="1">
      <alignment vertical="top"/>
    </xf>
    <xf borderId="0" fillId="2" fontId="3" numFmtId="0" xfId="0" applyAlignment="1" applyFont="1">
      <alignment readingOrder="0" vertical="top"/>
    </xf>
    <xf borderId="0" fillId="7" fontId="1" numFmtId="0" xfId="0" applyAlignment="1" applyFont="1">
      <alignment readingOrder="0" vertical="top"/>
    </xf>
    <xf borderId="0" fillId="2" fontId="1" numFmtId="0" xfId="0" applyAlignment="1" applyFont="1">
      <alignment readingOrder="0" vertical="top"/>
    </xf>
    <xf borderId="0" fillId="4" fontId="1" numFmtId="0" xfId="0" applyAlignment="1" applyFont="1">
      <alignment readingOrder="0" vertical="top"/>
    </xf>
    <xf borderId="0" fillId="4" fontId="3" numFmtId="0" xfId="0" applyAlignment="1" applyFont="1">
      <alignment shrinkToFit="0" vertical="top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4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1" fillId="0" fontId="7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Alignment="1" applyBorder="1" applyFont="1">
      <alignment readingOrder="0"/>
    </xf>
    <xf borderId="4" fillId="0" fontId="1" numFmtId="0" xfId="0" applyBorder="1" applyFont="1"/>
    <xf borderId="5" fillId="0" fontId="1" numFmtId="0" xfId="0" applyBorder="1" applyFont="1"/>
    <xf borderId="6" fillId="0" fontId="1" numFmtId="164" xfId="0" applyAlignment="1" applyBorder="1" applyFont="1" applyNumberFormat="1">
      <alignment shrinkToFit="0" vertical="top" wrapText="1"/>
    </xf>
    <xf borderId="3" fillId="0" fontId="1" numFmtId="0" xfId="0" applyAlignment="1" applyBorder="1" applyFont="1">
      <alignment readingOrder="0" shrinkToFit="0" vertical="top" wrapText="1"/>
    </xf>
    <xf borderId="7" fillId="0" fontId="1" numFmtId="164" xfId="0" applyAlignment="1" applyBorder="1" applyFont="1" applyNumberFormat="1">
      <alignment readingOrder="0" shrinkToFit="0" vertical="top" wrapText="1"/>
    </xf>
    <xf borderId="4" fillId="0" fontId="1" numFmtId="0" xfId="0" applyAlignment="1" applyBorder="1" applyFont="1">
      <alignment readingOrder="0" shrinkToFit="0" vertical="top" wrapText="1"/>
    </xf>
    <xf borderId="4" fillId="0" fontId="1" numFmtId="0" xfId="0" applyAlignment="1" applyBorder="1" applyFont="1">
      <alignment shrinkToFit="0" vertical="top" wrapText="1"/>
    </xf>
    <xf borderId="3" fillId="0" fontId="1" numFmtId="0" xfId="0" applyAlignment="1" applyBorder="1" applyFont="1">
      <alignment shrinkToFit="0" vertical="top" wrapText="1"/>
    </xf>
    <xf borderId="7" fillId="0" fontId="1" numFmtId="164" xfId="0" applyAlignment="1" applyBorder="1" applyFont="1" applyNumberFormat="1">
      <alignment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vertical="top"/>
    </xf>
    <xf borderId="7" fillId="4" fontId="1" numFmtId="164" xfId="0" applyAlignment="1" applyBorder="1" applyFont="1" applyNumberFormat="1">
      <alignment shrinkToFit="0" vertical="top" wrapText="1"/>
    </xf>
    <xf borderId="3" fillId="4" fontId="1" numFmtId="0" xfId="0" applyAlignment="1" applyBorder="1" applyFont="1">
      <alignment shrinkToFit="0" vertical="top" wrapText="1"/>
    </xf>
    <xf borderId="4" fillId="4" fontId="1" numFmtId="0" xfId="0" applyAlignment="1" applyBorder="1" applyFont="1">
      <alignment shrinkToFit="0" vertical="top" wrapText="1"/>
    </xf>
    <xf borderId="4" fillId="0" fontId="1" numFmtId="0" xfId="0" applyAlignment="1" applyBorder="1" applyFont="1">
      <alignment vertical="top"/>
    </xf>
    <xf borderId="4" fillId="0" fontId="1" numFmtId="164" xfId="0" applyAlignment="1" applyBorder="1" applyFont="1" applyNumberFormat="1">
      <alignment shrinkToFit="0" vertical="top" wrapText="1"/>
    </xf>
    <xf borderId="4" fillId="0" fontId="1" numFmtId="164" xfId="0" applyAlignment="1" applyBorder="1" applyFont="1" applyNumberFormat="1">
      <alignment readingOrder="0" shrinkToFit="0" vertical="top" wrapText="1"/>
    </xf>
    <xf borderId="4" fillId="0" fontId="8" numFmtId="0" xfId="0" applyAlignment="1" applyBorder="1" applyFont="1">
      <alignment vertical="top"/>
    </xf>
    <xf borderId="4" fillId="0" fontId="8" numFmtId="164" xfId="0" applyAlignment="1" applyBorder="1" applyFont="1" applyNumberFormat="1">
      <alignment vertical="top"/>
    </xf>
    <xf borderId="4" fillId="0" fontId="8" numFmtId="164" xfId="0" applyAlignment="1" applyBorder="1" applyFont="1" applyNumberFormat="1">
      <alignment readingOrder="0" vertical="top"/>
    </xf>
    <xf borderId="0" fillId="0" fontId="8" numFmtId="0" xfId="0" applyAlignment="1" applyFont="1">
      <alignment vertical="top"/>
    </xf>
    <xf borderId="0" fillId="0" fontId="8" numFmtId="0" xfId="0" applyAlignment="1" applyFont="1">
      <alignment vertical="top"/>
    </xf>
    <xf borderId="0" fillId="0" fontId="8" numFmtId="0" xfId="0" applyAlignment="1" applyFont="1">
      <alignment readingOrder="0" vertical="top"/>
    </xf>
    <xf borderId="4" fillId="0" fontId="8" numFmtId="0" xfId="0" applyAlignment="1" applyBorder="1" applyFont="1">
      <alignment shrinkToFit="0" vertical="top" wrapText="1"/>
    </xf>
    <xf borderId="3" fillId="0" fontId="8" numFmtId="0" xfId="0" applyAlignment="1" applyBorder="1" applyFont="1">
      <alignment horizontal="right" readingOrder="0" shrinkToFit="0" vertical="top" wrapText="1"/>
    </xf>
    <xf borderId="0" fillId="0" fontId="8" numFmtId="0" xfId="0" applyAlignment="1" applyFont="1">
      <alignment shrinkToFit="0" vertical="top" wrapText="1"/>
    </xf>
    <xf borderId="0" fillId="0" fontId="8" numFmtId="0" xfId="0" applyAlignment="1" applyFont="1">
      <alignment horizontal="right" readingOrder="0" vertical="top"/>
    </xf>
    <xf borderId="0" fillId="0" fontId="8" numFmtId="0" xfId="0" applyAlignment="1" applyFont="1">
      <alignment readingOrder="0" shrinkToFit="0" vertical="bottom" wrapText="1"/>
    </xf>
    <xf borderId="0" fillId="0" fontId="8" numFmtId="0" xfId="0" applyAlignment="1" applyFont="1">
      <alignment horizontal="right" readingOrder="0" shrinkToFit="0" vertical="bottom" wrapText="1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readingOrder="0" shrinkToFit="0" vertical="top" wrapText="1"/>
    </xf>
    <xf borderId="7" fillId="0" fontId="1" numFmtId="164" xfId="0" applyAlignment="1" applyBorder="1" applyFont="1" applyNumberFormat="1">
      <alignment readingOrder="0" shrinkToFit="0" vertical="top" wrapText="1"/>
    </xf>
    <xf borderId="7" fillId="0" fontId="1" numFmtId="0" xfId="0" applyAlignment="1" applyBorder="1" applyFont="1">
      <alignment shrinkToFit="0" vertical="top" wrapText="1"/>
    </xf>
    <xf borderId="7" fillId="6" fontId="8" numFmtId="164" xfId="0" applyAlignment="1" applyBorder="1" applyFont="1" applyNumberFormat="1">
      <alignment shrinkToFit="0" vertical="top" wrapText="1"/>
    </xf>
    <xf borderId="0" fillId="6" fontId="8" numFmtId="0" xfId="0" applyAlignment="1" applyFont="1">
      <alignment shrinkToFit="0" vertical="top" wrapText="1"/>
    </xf>
    <xf borderId="4" fillId="6" fontId="8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8" fillId="0" fontId="1" numFmtId="164" xfId="0" applyAlignment="1" applyBorder="1" applyFont="1" applyNumberFormat="1">
      <alignment shrinkToFit="0" vertical="top" wrapText="1"/>
    </xf>
    <xf borderId="5" fillId="0" fontId="1" numFmtId="0" xfId="0" applyAlignment="1" applyBorder="1" applyFont="1">
      <alignment shrinkToFit="0" vertical="top" wrapText="1"/>
    </xf>
    <xf borderId="9" fillId="0" fontId="1" numFmtId="0" xfId="0" applyAlignment="1" applyBorder="1" applyFont="1">
      <alignment shrinkToFit="0" vertical="top" wrapText="1"/>
    </xf>
    <xf borderId="10" fillId="0" fontId="1" numFmtId="0" xfId="0" applyAlignment="1" applyBorder="1" applyFont="1">
      <alignment shrinkToFit="0" vertical="top" wrapText="1"/>
    </xf>
    <xf borderId="0" fillId="2" fontId="10" numFmtId="0" xfId="0" applyAlignment="1" applyFont="1">
      <alignment shrinkToFit="0" vertical="top" wrapText="1"/>
    </xf>
    <xf borderId="0" fillId="7" fontId="3" numFmtId="0" xfId="0" applyAlignment="1" applyFont="1">
      <alignment readingOrder="0" vertical="top"/>
    </xf>
    <xf borderId="0" fillId="2" fontId="10" numFmtId="0" xfId="0" applyAlignment="1" applyFont="1">
      <alignment readingOrder="0" shrinkToFit="0" vertical="top" wrapText="1"/>
    </xf>
    <xf borderId="0" fillId="9" fontId="1" numFmtId="0" xfId="0" applyAlignment="1" applyFill="1" applyFont="1">
      <alignment readingOrder="0" vertical="top"/>
    </xf>
    <xf borderId="0" fillId="9" fontId="1" numFmtId="0" xfId="0" applyAlignment="1" applyFont="1">
      <alignment shrinkToFit="0" vertical="top" wrapText="1"/>
    </xf>
    <xf borderId="0" fillId="9" fontId="3" numFmtId="0" xfId="0" applyAlignment="1" applyFont="1">
      <alignment vertical="top"/>
    </xf>
    <xf borderId="0" fillId="9" fontId="1" numFmtId="0" xfId="0" applyAlignment="1" applyFont="1">
      <alignment vertical="top"/>
    </xf>
    <xf borderId="0" fillId="7" fontId="11" numFmtId="0" xfId="0" applyAlignment="1" applyFont="1">
      <alignment horizontal="right" vertical="top"/>
    </xf>
    <xf borderId="0" fillId="7" fontId="11" numFmtId="0" xfId="0" applyAlignment="1" applyFont="1">
      <alignment horizontal="right" readingOrder="0" vertical="top"/>
    </xf>
    <xf borderId="0" fillId="2" fontId="10" numFmtId="0" xfId="0" applyAlignment="1" applyFont="1">
      <alignment shrinkToFit="0" vertical="top" wrapText="1"/>
    </xf>
    <xf borderId="0" fillId="0" fontId="8" numFmtId="0" xfId="0" applyAlignment="1" applyFont="1">
      <alignment horizontal="right" shrinkToFit="0" wrapText="1"/>
    </xf>
    <xf borderId="0" fillId="0" fontId="1" numFmtId="0" xfId="0" applyAlignment="1" applyFont="1">
      <alignment readingOrder="0" shrinkToFit="0" vertical="top" wrapText="0"/>
    </xf>
    <xf borderId="0" fillId="7" fontId="1" numFmtId="0" xfId="0" applyAlignment="1" applyFont="1">
      <alignment readingOrder="0"/>
    </xf>
    <xf borderId="0" fillId="7" fontId="8" numFmtId="0" xfId="0" applyAlignment="1" applyFont="1">
      <alignment horizontal="right" readingOrder="0" shrinkToFit="0" vertical="top" wrapText="1"/>
    </xf>
    <xf borderId="0" fillId="7" fontId="8" numFmtId="0" xfId="0" applyAlignment="1" applyFont="1">
      <alignment horizontal="right" shrinkToFit="0" vertical="top" wrapText="1"/>
    </xf>
    <xf borderId="0" fillId="0" fontId="8" numFmtId="0" xfId="0" applyAlignment="1" applyFont="1">
      <alignment horizontal="right" shrinkToFit="0" vertical="top" wrapText="1"/>
    </xf>
    <xf borderId="0" fillId="2" fontId="8" numFmtId="0" xfId="0" applyAlignment="1" applyFont="1">
      <alignment horizontal="right" shrinkToFit="0" vertical="top" wrapText="1"/>
    </xf>
    <xf borderId="7" fillId="6" fontId="1" numFmtId="0" xfId="0" applyAlignment="1" applyBorder="1" applyFont="1">
      <alignment shrinkToFit="0" vertical="top" wrapText="1"/>
    </xf>
    <xf borderId="3" fillId="6" fontId="1" numFmtId="0" xfId="0" applyAlignment="1" applyBorder="1" applyFont="1">
      <alignment shrinkToFit="0" vertical="top" wrapText="1"/>
    </xf>
    <xf borderId="4" fillId="6" fontId="1" numFmtId="0" xfId="0" applyAlignment="1" applyBorder="1" applyFont="1">
      <alignment shrinkToFit="0" vertical="top" wrapText="1"/>
    </xf>
    <xf borderId="7" fillId="6" fontId="1" numFmtId="164" xfId="0" applyAlignment="1" applyBorder="1" applyFont="1" applyNumberFormat="1">
      <alignment shrinkToFit="0" vertical="top" wrapText="1"/>
    </xf>
    <xf borderId="0" fillId="0" fontId="1" numFmtId="0" xfId="0" applyAlignment="1" applyFont="1">
      <alignment readingOrder="0" shrinkToFit="0" vertical="top" wrapText="1"/>
    </xf>
    <xf borderId="4" fillId="0" fontId="8" numFmtId="0" xfId="0" applyAlignment="1" applyBorder="1" applyFont="1">
      <alignment shrinkToFit="0" vertical="top" wrapText="1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1" numFmtId="9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9" numFmtId="0" xfId="0" applyFont="1"/>
    <xf borderId="0" fillId="2" fontId="13" numFmtId="0" xfId="0" applyAlignment="1" applyFont="1">
      <alignment readingOrder="0"/>
    </xf>
    <xf borderId="0" fillId="0" fontId="13" numFmtId="0" xfId="0" applyAlignment="1" applyFont="1">
      <alignment readingOrder="0"/>
    </xf>
    <xf borderId="1" fillId="0" fontId="14" numFmtId="0" xfId="0" applyAlignment="1" applyBorder="1" applyFont="1">
      <alignment horizontal="center" readingOrder="0" shrinkToFit="0" wrapText="1"/>
    </xf>
    <xf borderId="11" fillId="0" fontId="1" numFmtId="0" xfId="0" applyBorder="1" applyFont="1"/>
    <xf borderId="0" fillId="0" fontId="15" numFmtId="0" xfId="0" applyAlignment="1" applyFont="1">
      <alignment vertical="bottom"/>
    </xf>
    <xf borderId="0" fillId="0" fontId="16" numFmtId="0" xfId="0" applyFont="1"/>
    <xf borderId="9" fillId="0" fontId="1" numFmtId="0" xfId="0" applyBorder="1" applyFont="1"/>
    <xf borderId="10" fillId="0" fontId="1" numFmtId="0" xfId="0" applyBorder="1" applyFont="1"/>
    <xf borderId="12" fillId="0" fontId="14" numFmtId="0" xfId="0" applyAlignment="1" applyBorder="1" applyFont="1">
      <alignment shrinkToFit="0" vertical="bottom" wrapText="1"/>
    </xf>
    <xf borderId="12" fillId="0" fontId="14" numFmtId="0" xfId="0" applyAlignment="1" applyBorder="1" applyFont="1">
      <alignment readingOrder="0" shrinkToFit="0" vertical="bottom" wrapText="1"/>
    </xf>
    <xf borderId="12" fillId="0" fontId="17" numFmtId="0" xfId="0" applyAlignment="1" applyBorder="1" applyFont="1">
      <alignment shrinkToFit="0" vertical="bottom" wrapText="1"/>
    </xf>
    <xf borderId="0" fillId="0" fontId="18" numFmtId="0" xfId="0" applyAlignment="1" applyFont="1">
      <alignment readingOrder="0" shrinkToFit="0" wrapText="1"/>
    </xf>
    <xf borderId="0" fillId="0" fontId="18" numFmtId="0" xfId="0" applyAlignment="1" applyFont="1">
      <alignment shrinkToFit="0" wrapText="1"/>
    </xf>
    <xf borderId="0" fillId="0" fontId="15" numFmtId="0" xfId="0" applyAlignment="1" applyFont="1">
      <alignment readingOrder="0" shrinkToFit="0" vertical="bottom" wrapText="1"/>
    </xf>
    <xf borderId="0" fillId="0" fontId="16" numFmtId="0" xfId="0" applyAlignment="1" applyFont="1">
      <alignment shrinkToFit="0" wrapText="1"/>
    </xf>
    <xf borderId="0" fillId="0" fontId="16" numFmtId="0" xfId="0" applyAlignment="1" applyFont="1">
      <alignment readingOrder="0" shrinkToFit="0" wrapText="1"/>
    </xf>
    <xf borderId="0" fillId="0" fontId="15" numFmtId="0" xfId="0" applyAlignment="1" applyFont="1">
      <alignment horizontal="right" vertical="bottom"/>
    </xf>
    <xf borderId="0" fillId="0" fontId="19" numFmtId="0" xfId="0" applyAlignment="1" applyFont="1">
      <alignment readingOrder="0" shrinkToFit="0" vertical="bottom" wrapText="1"/>
    </xf>
    <xf borderId="0" fillId="0" fontId="19" numFmtId="0" xfId="0" applyAlignment="1" applyFont="1">
      <alignment horizontal="right" readingOrder="0" shrinkToFit="0" vertical="bottom" wrapText="1"/>
    </xf>
    <xf borderId="0" fillId="0" fontId="15" numFmtId="0" xfId="0" applyAlignment="1" applyFont="1">
      <alignment readingOrder="0" vertical="bottom"/>
    </xf>
    <xf borderId="0" fillId="0" fontId="15" numFmtId="0" xfId="0" applyAlignment="1" applyFont="1">
      <alignment shrinkToFit="0" vertical="bottom" wrapText="1"/>
    </xf>
    <xf borderId="0" fillId="0" fontId="19" numFmtId="0" xfId="0" applyAlignment="1" applyFont="1">
      <alignment shrinkToFit="0" vertical="bottom" wrapText="1"/>
    </xf>
    <xf borderId="0" fillId="0" fontId="19" numFmtId="0" xfId="0" applyAlignment="1" applyFont="1">
      <alignment horizontal="right" shrinkToFit="0" vertical="bottom" wrapText="1"/>
    </xf>
    <xf borderId="0" fillId="0" fontId="7" numFmtId="0" xfId="0" applyAlignment="1" applyFont="1">
      <alignment readingOrder="0" shrinkToFit="0" wrapText="1"/>
    </xf>
    <xf borderId="0" fillId="2" fontId="16" numFmtId="0" xfId="0" applyAlignment="1" applyFont="1">
      <alignment readingOrder="0" shrinkToFit="0" wrapText="1"/>
    </xf>
    <xf borderId="0" fillId="0" fontId="18" numFmtId="0" xfId="0" applyFont="1"/>
    <xf borderId="0" fillId="0" fontId="16" numFmtId="0" xfId="0" applyAlignment="1" applyFont="1">
      <alignment readingOrder="0"/>
    </xf>
    <xf borderId="0" fillId="0" fontId="18" numFmtId="0" xfId="0" applyAlignment="1" applyFont="1">
      <alignment readingOrder="0"/>
    </xf>
    <xf borderId="6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5" fillId="0" fontId="1" numFmtId="9" xfId="0" applyAlignment="1" applyBorder="1" applyFont="1" applyNumberFormat="1">
      <alignment horizontal="center" readingOrder="0" vertical="center"/>
    </xf>
    <xf borderId="14" fillId="0" fontId="20" numFmtId="0" xfId="0" applyAlignment="1" applyBorder="1" applyFont="1">
      <alignment horizontal="center" readingOrder="0" vertical="center"/>
    </xf>
    <xf borderId="14" fillId="0" fontId="1" numFmtId="0" xfId="0" applyBorder="1" applyFont="1"/>
    <xf borderId="16" fillId="0" fontId="1" numFmtId="0" xfId="0" applyBorder="1" applyFont="1"/>
    <xf borderId="17" fillId="0" fontId="1" numFmtId="0" xfId="0" applyAlignment="1" applyBorder="1" applyFont="1">
      <alignment horizontal="center" readingOrder="0" vertical="center"/>
    </xf>
    <xf borderId="8" fillId="0" fontId="1" numFmtId="0" xfId="0" applyBorder="1" applyFont="1"/>
    <xf borderId="18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17" fillId="0" fontId="1" numFmtId="0" xfId="0" applyBorder="1" applyFont="1"/>
    <xf borderId="20" fillId="0" fontId="20" numFmtId="0" xfId="0" applyAlignment="1" applyBorder="1" applyFont="1">
      <alignment horizontal="center" readingOrder="0" vertical="center"/>
    </xf>
    <xf borderId="18" fillId="0" fontId="20" numFmtId="0" xfId="0" applyAlignment="1" applyBorder="1" applyFont="1">
      <alignment horizontal="center" readingOrder="0" vertical="center"/>
    </xf>
    <xf borderId="10" fillId="0" fontId="20" numFmtId="0" xfId="0" applyAlignment="1" applyBorder="1" applyFont="1">
      <alignment readingOrder="0"/>
    </xf>
    <xf borderId="21" fillId="0" fontId="20" numFmtId="0" xfId="0" applyAlignment="1" applyBorder="1" applyFont="1">
      <alignment readingOrder="0"/>
    </xf>
    <xf borderId="9" fillId="0" fontId="20" numFmtId="0" xfId="0" applyAlignment="1" applyBorder="1" applyFont="1">
      <alignment readingOrder="0"/>
    </xf>
    <xf borderId="22" fillId="2" fontId="21" numFmtId="9" xfId="0" applyAlignment="1" applyBorder="1" applyFont="1" applyNumberFormat="1">
      <alignment horizontal="center" readingOrder="0" vertical="center"/>
    </xf>
    <xf borderId="20" fillId="0" fontId="1" numFmtId="0" xfId="0" applyBorder="1" applyFont="1"/>
    <xf borderId="18" fillId="0" fontId="1" numFmtId="0" xfId="0" applyBorder="1" applyFont="1"/>
    <xf borderId="12" fillId="0" fontId="1" numFmtId="0" xfId="0" applyAlignment="1" applyBorder="1" applyFont="1">
      <alignment readingOrder="0"/>
    </xf>
    <xf borderId="23" fillId="0" fontId="1" numFmtId="0" xfId="0" applyAlignment="1" applyBorder="1" applyFont="1">
      <alignment readingOrder="0"/>
    </xf>
    <xf borderId="4" fillId="2" fontId="1" numFmtId="0" xfId="0" applyAlignment="1" applyBorder="1" applyFont="1">
      <alignment readingOrder="0"/>
    </xf>
    <xf borderId="24" fillId="2" fontId="1" numFmtId="0" xfId="0" applyBorder="1" applyFont="1"/>
    <xf borderId="25" fillId="2" fontId="22" numFmtId="0" xfId="0" applyAlignment="1" applyBorder="1" applyFont="1">
      <alignment readingOrder="0"/>
    </xf>
    <xf borderId="4" fillId="2" fontId="22" numFmtId="0" xfId="0" applyAlignment="1" applyBorder="1" applyFont="1">
      <alignment readingOrder="0"/>
    </xf>
    <xf borderId="4" fillId="2" fontId="22" numFmtId="0" xfId="0" applyBorder="1" applyFont="1"/>
    <xf borderId="25" fillId="2" fontId="22" numFmtId="0" xfId="0" applyBorder="1" applyFont="1"/>
    <xf borderId="24" fillId="2" fontId="1" numFmtId="0" xfId="0" applyAlignment="1" applyBorder="1" applyFont="1">
      <alignment readingOrder="0"/>
    </xf>
    <xf borderId="26" fillId="2" fontId="23" numFmtId="0" xfId="0" applyAlignment="1" applyBorder="1" applyFont="1">
      <alignment readingOrder="0"/>
    </xf>
    <xf borderId="25" fillId="2" fontId="23" numFmtId="0" xfId="0" applyAlignment="1" applyBorder="1" applyFont="1">
      <alignment readingOrder="0"/>
    </xf>
    <xf borderId="26" fillId="2" fontId="1" numFmtId="0" xfId="0" applyAlignment="1" applyBorder="1" applyFont="1">
      <alignment readingOrder="0"/>
    </xf>
    <xf borderId="25" fillId="2" fontId="1" numFmtId="0" xfId="0" applyAlignment="1" applyBorder="1" applyFont="1">
      <alignment readingOrder="0"/>
    </xf>
    <xf borderId="0" fillId="2" fontId="0" numFmtId="0" xfId="0" applyAlignment="1" applyFont="1">
      <alignment readingOrder="0"/>
    </xf>
    <xf borderId="0" fillId="6" fontId="3" numFmtId="0" xfId="0" applyFont="1"/>
    <xf borderId="4" fillId="6" fontId="3" numFmtId="0" xfId="0" applyBorder="1" applyFont="1"/>
    <xf borderId="26" fillId="6" fontId="3" numFmtId="0" xfId="0" applyBorder="1" applyFont="1"/>
    <xf borderId="24" fillId="6" fontId="3" numFmtId="0" xfId="0" applyBorder="1" applyFont="1"/>
    <xf borderId="25" fillId="6" fontId="24" numFmtId="0" xfId="0" applyBorder="1" applyFont="1"/>
    <xf borderId="4" fillId="6" fontId="24" numFmtId="0" xfId="0" applyBorder="1" applyFont="1"/>
    <xf borderId="26" fillId="6" fontId="24" numFmtId="0" xfId="0" applyBorder="1" applyFont="1"/>
    <xf borderId="26" fillId="6" fontId="1" numFmtId="0" xfId="0" applyBorder="1" applyFont="1"/>
    <xf borderId="25" fillId="6" fontId="1" numFmtId="0" xfId="0" applyBorder="1" applyFont="1"/>
    <xf borderId="0" fillId="6" fontId="1" numFmtId="0" xfId="0" applyFont="1"/>
    <xf borderId="24" fillId="6" fontId="1" numFmtId="0" xfId="0" applyBorder="1" applyFont="1"/>
    <xf borderId="4" fillId="7" fontId="1" numFmtId="0" xfId="0" applyAlignment="1" applyBorder="1" applyFont="1">
      <alignment readingOrder="0"/>
    </xf>
    <xf borderId="26" fillId="7" fontId="1" numFmtId="0" xfId="0" applyAlignment="1" applyBorder="1" applyFont="1">
      <alignment readingOrder="0"/>
    </xf>
    <xf borderId="25" fillId="7" fontId="22" numFmtId="0" xfId="0" applyAlignment="1" applyBorder="1" applyFont="1">
      <alignment readingOrder="0"/>
    </xf>
    <xf borderId="26" fillId="2" fontId="23" numFmtId="0" xfId="0" applyBorder="1" applyFont="1"/>
    <xf borderId="25" fillId="2" fontId="23" numFmtId="0" xfId="0" applyBorder="1" applyFont="1"/>
    <xf borderId="26" fillId="2" fontId="1" numFmtId="0" xfId="0" applyBorder="1" applyFont="1"/>
    <xf borderId="25" fillId="2" fontId="1" numFmtId="0" xfId="0" applyBorder="1" applyFont="1"/>
    <xf borderId="0" fillId="7" fontId="0" numFmtId="0" xfId="0" applyAlignment="1" applyFont="1">
      <alignment readingOrder="0"/>
    </xf>
    <xf borderId="24" fillId="7" fontId="1" numFmtId="0" xfId="0" applyAlignment="1" applyBorder="1" applyFont="1">
      <alignment readingOrder="0"/>
    </xf>
    <xf borderId="0" fillId="6" fontId="3" numFmtId="0" xfId="0" applyAlignment="1" applyFont="1">
      <alignment readingOrder="0"/>
    </xf>
    <xf borderId="0" fillId="7" fontId="0" numFmtId="0" xfId="0" applyFont="1"/>
    <xf borderId="24" fillId="7" fontId="1" numFmtId="0" xfId="0" applyBorder="1" applyFont="1"/>
    <xf borderId="0" fillId="6" fontId="15" numFmtId="0" xfId="0" applyFont="1"/>
    <xf borderId="0" fillId="0" fontId="0" numFmtId="0" xfId="0" applyFont="1"/>
    <xf borderId="24" fillId="2" fontId="25" numFmtId="0" xfId="0" applyAlignment="1" applyBorder="1" applyFont="1">
      <alignment readingOrder="0"/>
    </xf>
    <xf borderId="27" fillId="0" fontId="1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vertical="center"/>
    </xf>
    <xf borderId="28" fillId="6" fontId="3" numFmtId="0" xfId="0" applyBorder="1" applyFont="1"/>
    <xf borderId="25" fillId="6" fontId="3" numFmtId="0" xfId="0" applyBorder="1" applyFont="1"/>
    <xf borderId="0" fillId="2" fontId="1" numFmtId="0" xfId="0" applyAlignment="1" applyFont="1">
      <alignment readingOrder="0"/>
    </xf>
    <xf borderId="28" fillId="7" fontId="1" numFmtId="0" xfId="0" applyAlignment="1" applyBorder="1" applyFont="1">
      <alignment readingOrder="0"/>
    </xf>
    <xf borderId="25" fillId="7" fontId="1" numFmtId="0" xfId="0" applyAlignment="1" applyBorder="1" applyFont="1">
      <alignment readingOrder="0"/>
    </xf>
    <xf borderId="24" fillId="7" fontId="26" numFmtId="0" xfId="0" applyAlignment="1" applyBorder="1" applyFont="1">
      <alignment readingOrder="0"/>
    </xf>
    <xf borderId="0" fillId="7" fontId="15" numFmtId="0" xfId="0" applyFont="1"/>
    <xf borderId="0" fillId="2" fontId="16" numFmtId="0" xfId="0" applyAlignment="1" applyFont="1">
      <alignment readingOrder="0"/>
    </xf>
    <xf borderId="24" fillId="7" fontId="0" numFmtId="0" xfId="0" applyAlignment="1" applyBorder="1" applyFont="1">
      <alignment readingOrder="0"/>
    </xf>
    <xf borderId="24" fillId="2" fontId="26" numFmtId="0" xfId="0" applyAlignment="1" applyBorder="1" applyFont="1">
      <alignment readingOrder="0"/>
    </xf>
    <xf borderId="0" fillId="2" fontId="0" numFmtId="0" xfId="0" applyFont="1"/>
    <xf borderId="28" fillId="2" fontId="1" numFmtId="0" xfId="0" applyAlignment="1" applyBorder="1" applyFont="1">
      <alignment readingOrder="0"/>
    </xf>
    <xf borderId="0" fillId="0" fontId="15" numFmtId="0" xfId="0" applyFont="1"/>
    <xf borderId="29" fillId="6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3" fillId="10" fontId="1" numFmtId="0" xfId="0" applyAlignment="1" applyBorder="1" applyFill="1" applyFont="1">
      <alignment readingOrder="0"/>
    </xf>
    <xf borderId="4" fillId="10" fontId="1" numFmtId="0" xfId="0" applyAlignment="1" applyBorder="1" applyFont="1">
      <alignment horizontal="left"/>
    </xf>
    <xf borderId="0" fillId="10" fontId="1" numFmtId="0" xfId="0" applyAlignment="1" applyFont="1">
      <alignment horizontal="left"/>
    </xf>
    <xf borderId="4" fillId="10" fontId="1" numFmtId="0" xfId="0" applyBorder="1" applyFont="1"/>
    <xf borderId="3" fillId="7" fontId="1" numFmtId="0" xfId="0" applyBorder="1" applyFont="1"/>
    <xf borderId="7" fillId="0" fontId="1" numFmtId="0" xfId="0" applyBorder="1" applyFont="1"/>
    <xf borderId="3" fillId="3" fontId="3" numFmtId="0" xfId="0" applyAlignment="1" applyBorder="1" applyFont="1">
      <alignment readingOrder="0"/>
    </xf>
    <xf borderId="4" fillId="0" fontId="1" numFmtId="0" xfId="0" applyAlignment="1" applyBorder="1" applyFont="1">
      <alignment horizontal="left"/>
    </xf>
    <xf borderId="0" fillId="0" fontId="1" numFmtId="0" xfId="0" applyAlignment="1" applyFont="1">
      <alignment horizontal="left"/>
    </xf>
    <xf borderId="4" fillId="10" fontId="1" numFmtId="0" xfId="0" applyAlignment="1" applyBorder="1" applyFont="1">
      <alignment horizontal="left" readingOrder="0"/>
    </xf>
    <xf borderId="3" fillId="0" fontId="1" numFmtId="0" xfId="0" applyBorder="1" applyFont="1"/>
    <xf borderId="5" fillId="3" fontId="3" numFmtId="0" xfId="0" applyAlignment="1" applyBorder="1" applyFont="1">
      <alignment readingOrder="0"/>
    </xf>
    <xf borderId="9" fillId="0" fontId="1" numFmtId="0" xfId="0" applyAlignment="1" applyBorder="1" applyFont="1">
      <alignment horizontal="left"/>
    </xf>
    <xf borderId="4" fillId="0" fontId="1" numFmtId="0" xfId="0" applyAlignment="1" applyBorder="1" applyFont="1">
      <alignment readingOrder="0"/>
    </xf>
    <xf borderId="0" fillId="0" fontId="1" numFmtId="0" xfId="0" applyAlignment="1" applyFont="1">
      <alignment horizontal="center"/>
    </xf>
    <xf borderId="1" fillId="0" fontId="27" numFmtId="0" xfId="0" applyAlignment="1" applyBorder="1" applyFont="1">
      <alignment horizontal="center" readingOrder="0"/>
    </xf>
    <xf borderId="12" fillId="0" fontId="27" numFmtId="0" xfId="0" applyAlignment="1" applyBorder="1" applyFont="1">
      <alignment vertical="bottom"/>
    </xf>
    <xf borderId="0" fillId="0" fontId="28" numFmtId="0" xfId="0" applyAlignment="1" applyFont="1">
      <alignment horizontal="right" readingOrder="0" vertical="bottom"/>
    </xf>
    <xf borderId="0" fillId="0" fontId="28" numFmtId="0" xfId="0" applyAlignment="1" applyFont="1">
      <alignment horizontal="right" vertical="bottom"/>
    </xf>
    <xf borderId="0" fillId="0" fontId="28" numFmtId="0" xfId="0" applyAlignment="1" applyFont="1">
      <alignment vertical="bottom"/>
    </xf>
    <xf borderId="0" fillId="0" fontId="28" numFmtId="0" xfId="0" applyAlignment="1" applyFont="1">
      <alignment readingOrder="0" vertical="bottom"/>
    </xf>
    <xf borderId="0" fillId="0" fontId="28" numFmtId="0" xfId="0" applyAlignment="1" applyFont="1">
      <alignment horizontal="right" vertical="bottom"/>
    </xf>
    <xf borderId="28" fillId="7" fontId="8" numFmtId="0" xfId="0" applyAlignment="1" applyBorder="1" applyFont="1">
      <alignment horizontal="right" vertical="bottom"/>
    </xf>
    <xf borderId="25" fillId="7" fontId="8" numFmtId="0" xfId="0" applyAlignment="1" applyBorder="1" applyFont="1">
      <alignment horizontal="right" vertical="bottom"/>
    </xf>
    <xf borderId="0" fillId="7" fontId="15" numFmtId="0" xfId="0" applyAlignment="1" applyFont="1">
      <alignment readingOrder="0"/>
    </xf>
    <xf borderId="14" fillId="0" fontId="20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center" readingOrder="0" vertical="center"/>
    </xf>
    <xf borderId="4" fillId="0" fontId="20" numFmtId="0" xfId="0" applyAlignment="1" applyBorder="1" applyFont="1">
      <alignment readingOrder="0"/>
    </xf>
    <xf borderId="25" fillId="0" fontId="20" numFmtId="0" xfId="0" applyAlignment="1" applyBorder="1" applyFont="1">
      <alignment readingOrder="0"/>
    </xf>
    <xf borderId="0" fillId="0" fontId="20" numFmtId="0" xfId="0" applyAlignment="1" applyFont="1">
      <alignment readingOrder="0"/>
    </xf>
    <xf borderId="22" fillId="2" fontId="21" numFmtId="9" xfId="0" applyAlignment="1" applyBorder="1" applyFont="1" applyNumberFormat="1">
      <alignment horizontal="center" vertical="center"/>
    </xf>
    <xf borderId="0" fillId="6" fontId="24" numFmtId="0" xfId="0" applyFont="1"/>
    <xf borderId="30" fillId="6" fontId="3" numFmtId="0" xfId="0" applyBorder="1" applyFont="1"/>
    <xf borderId="0" fillId="2" fontId="3" numFmtId="0" xfId="0" applyFont="1"/>
    <xf borderId="4" fillId="6" fontId="22" numFmtId="0" xfId="0" applyBorder="1" applyFont="1"/>
    <xf borderId="25" fillId="6" fontId="22" numFmtId="0" xfId="0" applyBorder="1" applyFont="1"/>
    <xf borderId="0" fillId="6" fontId="22" numFmtId="0" xfId="0" applyFont="1"/>
    <xf borderId="0" fillId="0" fontId="1" numFmtId="0" xfId="0" applyAlignment="1" applyFont="1">
      <alignment horizontal="left" readingOrder="0"/>
    </xf>
    <xf borderId="28" fillId="7" fontId="1" numFmtId="0" xfId="0" applyAlignment="1" applyBorder="1" applyFont="1">
      <alignment horizontal="left" readingOrder="0"/>
    </xf>
    <xf borderId="25" fillId="7" fontId="1" numFmtId="0" xfId="0" applyAlignment="1" applyBorder="1" applyFont="1">
      <alignment horizontal="left" readingOrder="0"/>
    </xf>
    <xf borderId="24" fillId="0" fontId="1" numFmtId="0" xfId="0" applyAlignment="1" applyBorder="1" applyFont="1">
      <alignment horizontal="left"/>
    </xf>
    <xf borderId="25" fillId="7" fontId="20" numFmtId="0" xfId="0" applyAlignment="1" applyBorder="1" applyFont="1">
      <alignment horizontal="left" readingOrder="0"/>
    </xf>
    <xf borderId="4" fillId="0" fontId="20" numFmtId="0" xfId="0" applyAlignment="1" applyBorder="1" applyFont="1">
      <alignment horizontal="left" readingOrder="0" vertical="center"/>
    </xf>
    <xf borderId="25" fillId="7" fontId="20" numFmtId="0" xfId="0" applyAlignment="1" applyBorder="1" applyFont="1">
      <alignment horizontal="left" readingOrder="0" vertical="center"/>
    </xf>
    <xf borderId="4" fillId="0" fontId="20" numFmtId="0" xfId="0" applyAlignment="1" applyBorder="1" applyFont="1">
      <alignment horizontal="left" readingOrder="0"/>
    </xf>
    <xf borderId="4" fillId="0" fontId="20" numFmtId="0" xfId="0" applyAlignment="1" applyBorder="1" applyFont="1">
      <alignment horizontal="left"/>
    </xf>
    <xf borderId="0" fillId="0" fontId="20" numFmtId="0" xfId="0" applyAlignment="1" applyFont="1">
      <alignment horizontal="left"/>
    </xf>
    <xf borderId="30" fillId="0" fontId="1" numFmtId="0" xfId="0" applyAlignment="1" applyBorder="1" applyFont="1">
      <alignment horizontal="left"/>
    </xf>
    <xf borderId="25" fillId="2" fontId="1" numFmtId="0" xfId="0" applyAlignment="1" applyBorder="1" applyFont="1">
      <alignment horizontal="left"/>
    </xf>
    <xf borderId="24" fillId="7" fontId="1" numFmtId="0" xfId="0" applyAlignment="1" applyBorder="1" applyFont="1">
      <alignment horizontal="left" readingOrder="0"/>
    </xf>
    <xf borderId="25" fillId="0" fontId="20" numFmtId="0" xfId="0" applyAlignment="1" applyBorder="1" applyFont="1">
      <alignment horizontal="left"/>
    </xf>
    <xf borderId="24" fillId="7" fontId="1" numFmtId="0" xfId="0" applyAlignment="1" applyBorder="1" applyFont="1">
      <alignment horizontal="left"/>
    </xf>
    <xf borderId="25" fillId="6" fontId="29" numFmtId="0" xfId="0" applyBorder="1" applyFont="1"/>
    <xf borderId="4" fillId="6" fontId="29" numFmtId="0" xfId="0" applyAlignment="1" applyBorder="1" applyFont="1">
      <alignment horizontal="left"/>
    </xf>
    <xf borderId="25" fillId="6" fontId="29" numFmtId="0" xfId="0" applyAlignment="1" applyBorder="1" applyFont="1">
      <alignment horizontal="left"/>
    </xf>
    <xf borderId="4" fillId="6" fontId="20" numFmtId="0" xfId="0" applyAlignment="1" applyBorder="1" applyFont="1">
      <alignment horizontal="left"/>
    </xf>
    <xf borderId="25" fillId="6" fontId="20" numFmtId="0" xfId="0" applyAlignment="1" applyBorder="1" applyFont="1">
      <alignment horizontal="left"/>
    </xf>
    <xf borderId="0" fillId="6" fontId="20" numFmtId="0" xfId="0" applyAlignment="1" applyFont="1">
      <alignment horizontal="left"/>
    </xf>
    <xf borderId="0" fillId="7" fontId="20" numFmtId="0" xfId="0" applyAlignment="1" applyFont="1">
      <alignment horizontal="left" readingOrder="0"/>
    </xf>
    <xf borderId="30" fillId="0" fontId="1" numFmtId="0" xfId="0" applyAlignment="1" applyBorder="1" applyFont="1">
      <alignment horizontal="left" readingOrder="0"/>
    </xf>
    <xf borderId="24" fillId="0" fontId="1" numFmtId="0" xfId="0" applyAlignment="1" applyBorder="1" applyFont="1">
      <alignment horizontal="left" readingOrder="0"/>
    </xf>
    <xf borderId="25" fillId="0" fontId="1" numFmtId="0" xfId="0" applyAlignment="1" applyBorder="1" applyFont="1">
      <alignment horizontal="left"/>
    </xf>
    <xf borderId="0" fillId="0" fontId="20" numFmtId="0" xfId="0" applyAlignment="1" applyFont="1">
      <alignment horizontal="left" readingOrder="0"/>
    </xf>
    <xf borderId="25" fillId="0" fontId="20" numFmtId="0" xfId="0" applyAlignment="1" applyBorder="1" applyFont="1">
      <alignment horizontal="left" readingOrder="0"/>
    </xf>
    <xf borderId="25" fillId="2" fontId="20" numFmtId="0" xfId="0" applyAlignment="1" applyBorder="1" applyFont="1">
      <alignment horizontal="left" readingOrder="0"/>
    </xf>
    <xf borderId="25" fillId="0" fontId="20" numFmtId="0" xfId="0" applyAlignment="1" applyBorder="1" applyFont="1">
      <alignment horizontal="left" readingOrder="0" vertical="center"/>
    </xf>
    <xf borderId="24" fillId="0" fontId="20" numFmtId="0" xfId="0" applyAlignment="1" applyBorder="1" applyFont="1">
      <alignment horizontal="left"/>
    </xf>
    <xf borderId="4" fillId="6" fontId="29" numFmtId="0" xfId="0" applyBorder="1" applyFont="1"/>
    <xf borderId="4" fillId="6" fontId="20" numFmtId="0" xfId="0" applyBorder="1" applyFont="1"/>
    <xf borderId="25" fillId="6" fontId="20" numFmtId="0" xfId="0" applyBorder="1" applyFont="1"/>
    <xf borderId="24" fillId="6" fontId="20" numFmtId="0" xfId="0" applyBorder="1" applyFont="1"/>
    <xf borderId="24" fillId="0" fontId="20" numFmtId="0" xfId="0" applyAlignment="1" applyBorder="1" applyFont="1">
      <alignment horizontal="left" readingOrder="0"/>
    </xf>
    <xf borderId="0" fillId="2" fontId="1" numFmtId="0" xfId="0" applyAlignment="1" applyFont="1">
      <alignment horizontal="left" readingOrder="0"/>
    </xf>
    <xf borderId="0" fillId="2" fontId="20" numFmtId="0" xfId="0" applyAlignment="1" applyFont="1">
      <alignment horizontal="left" readingOrder="0"/>
    </xf>
    <xf borderId="0" fillId="0" fontId="20" numFmtId="0" xfId="0" applyAlignment="1" applyFont="1">
      <alignment horizontal="left" readingOrder="0" vertical="center"/>
    </xf>
    <xf borderId="0" fillId="2" fontId="1" numFmtId="0" xfId="0" applyAlignment="1" applyFont="1">
      <alignment horizontal="left"/>
    </xf>
    <xf borderId="0" fillId="0" fontId="1" numFmtId="0" xfId="0" applyAlignment="1" applyFont="1">
      <alignment horizontal="center" vertical="center"/>
    </xf>
    <xf borderId="0" fillId="2" fontId="21" numFmtId="0" xfId="0" applyAlignment="1" applyFont="1">
      <alignment horizontal="left"/>
    </xf>
    <xf borderId="31" fillId="0" fontId="1" numFmtId="0" xfId="0" applyAlignment="1" applyBorder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32" fillId="2" fontId="21" numFmtId="9" xfId="0" applyAlignment="1" applyBorder="1" applyFont="1" applyNumberFormat="1">
      <alignment horizontal="center" vertical="center"/>
    </xf>
    <xf borderId="33" fillId="2" fontId="21" numFmtId="9" xfId="0" applyAlignment="1" applyBorder="1" applyFont="1" applyNumberFormat="1">
      <alignment horizontal="center" vertical="center"/>
    </xf>
    <xf borderId="34" fillId="6" fontId="3" numFmtId="0" xfId="0" applyBorder="1" applyFont="1"/>
    <xf borderId="28" fillId="7" fontId="1" numFmtId="0" xfId="0" applyAlignment="1" applyBorder="1" applyFont="1">
      <alignment horizontal="left"/>
    </xf>
    <xf borderId="25" fillId="7" fontId="1" numFmtId="0" xfId="0" applyAlignment="1" applyBorder="1" applyFont="1">
      <alignment horizontal="left"/>
    </xf>
    <xf borderId="0" fillId="7" fontId="1" numFmtId="0" xfId="0" applyAlignment="1" applyFont="1">
      <alignment horizontal="left"/>
    </xf>
    <xf borderId="24" fillId="0" fontId="1" numFmtId="0" xfId="0" applyBorder="1" applyFont="1"/>
    <xf borderId="34" fillId="0" fontId="1" numFmtId="0" xfId="0" applyAlignment="1" applyBorder="1" applyFont="1">
      <alignment horizontal="left"/>
    </xf>
    <xf borderId="24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left" vertical="center"/>
    </xf>
    <xf borderId="24" fillId="0" fontId="1" numFmtId="0" xfId="0" applyAlignment="1" applyBorder="1" applyFont="1">
      <alignment horizontal="left" vertical="center"/>
    </xf>
    <xf borderId="0" fillId="7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 vertical="center"/>
    </xf>
    <xf borderId="34" fillId="0" fontId="1" numFmtId="0" xfId="0" applyAlignment="1" applyBorder="1" applyFont="1">
      <alignment horizontal="left" readingOrder="0"/>
    </xf>
    <xf borderId="34" fillId="7" fontId="1" numFmtId="0" xfId="0" applyAlignment="1" applyBorder="1" applyFont="1">
      <alignment readingOrder="0"/>
    </xf>
    <xf borderId="35" fillId="7" fontId="1" numFmtId="0" xfId="0" applyAlignment="1" applyBorder="1" applyFont="1">
      <alignment readingOrder="0"/>
    </xf>
    <xf borderId="12" fillId="0" fontId="1" numFmtId="0" xfId="0" applyAlignment="1" applyBorder="1" applyFont="1">
      <alignment horizontal="center" vertical="center"/>
    </xf>
    <xf borderId="12" fillId="2" fontId="21" numFmtId="9" xfId="0" applyAlignment="1" applyBorder="1" applyFont="1" applyNumberFormat="1">
      <alignment horizontal="center" vertical="center"/>
    </xf>
    <xf borderId="0" fillId="0" fontId="30" numFmtId="0" xfId="0" applyFont="1"/>
    <xf borderId="0" fillId="0" fontId="3" numFmtId="0" xfId="0" applyFont="1"/>
    <xf borderId="11" fillId="0" fontId="27" numFmtId="0" xfId="0" applyAlignment="1" applyBorder="1" applyFont="1">
      <alignment horizontal="center" readingOrder="0"/>
    </xf>
    <xf borderId="10" fillId="0" fontId="27" numFmtId="0" xfId="0" applyAlignment="1" applyBorder="1" applyFont="1">
      <alignment vertical="bottom"/>
    </xf>
    <xf borderId="1" fillId="0" fontId="27" numFmtId="0" xfId="0" applyAlignment="1" applyBorder="1" applyFont="1">
      <alignment horizontal="center"/>
    </xf>
    <xf borderId="11" fillId="0" fontId="27" numFmtId="0" xfId="0" applyAlignment="1" applyBorder="1" applyFont="1">
      <alignment horizontal="center"/>
    </xf>
    <xf borderId="8" fillId="0" fontId="27" numFmtId="0" xfId="0" applyAlignment="1" applyBorder="1" applyFont="1">
      <alignment vertical="bottom"/>
    </xf>
    <xf borderId="29" fillId="0" fontId="1" numFmtId="0" xfId="0" applyAlignment="1" applyBorder="1" applyFont="1">
      <alignment readingOrder="0"/>
    </xf>
    <xf borderId="14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8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1" fillId="2" fontId="1" numFmtId="0" xfId="0" applyAlignment="1" applyBorder="1" applyFont="1">
      <alignment readingOrder="0"/>
    </xf>
    <xf borderId="2" fillId="7" fontId="1" numFmtId="0" xfId="0" applyAlignment="1" applyBorder="1" applyFont="1">
      <alignment readingOrder="0"/>
    </xf>
    <xf borderId="11" fillId="2" fontId="1" numFmtId="0" xfId="0" applyAlignment="1" applyBorder="1" applyFont="1">
      <alignment readingOrder="0"/>
    </xf>
    <xf borderId="11" fillId="7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0" fillId="2" fontId="1" numFmtId="0" xfId="0" applyFont="1"/>
    <xf borderId="0" fillId="0" fontId="31" numFmtId="0" xfId="0" applyAlignment="1" applyFont="1">
      <alignment readingOrder="0"/>
    </xf>
    <xf borderId="0" fillId="0" fontId="3" numFmtId="0" xfId="0" applyAlignment="1" applyFont="1">
      <alignment readingOrder="0"/>
    </xf>
    <xf borderId="0" fillId="7" fontId="3" numFmtId="0" xfId="0" applyAlignment="1" applyFont="1">
      <alignment readingOrder="0"/>
    </xf>
    <xf borderId="0" fillId="0" fontId="32" numFmtId="0" xfId="0" applyAlignment="1" applyFont="1">
      <alignment horizontal="right" vertical="bottom"/>
    </xf>
    <xf borderId="0" fillId="0" fontId="3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3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4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5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6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7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8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27.xml"/><Relationship Id="rId3" Type="http://schemas.openxmlformats.org/officeDocument/2006/relationships/vmlDrawing" Target="../drawings/vmlDrawing9.v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://iabilet.ro" TargetMode="External"/><Relationship Id="rId2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0"/>
  <cols>
    <col customWidth="1" min="1" max="1" width="5.5"/>
    <col customWidth="1" min="2" max="2" width="6.75"/>
    <col customWidth="1" min="3" max="3" width="10.38"/>
    <col customWidth="1" min="4" max="4" width="15.5"/>
    <col customWidth="1" min="6" max="6" width="5.25"/>
    <col customWidth="1" min="7" max="7" width="7.13"/>
    <col customWidth="1" min="8" max="8" width="6.13"/>
    <col customWidth="1" min="9" max="9" width="6.5"/>
    <col customWidth="1" min="10" max="10" width="5.88"/>
    <col customWidth="1" min="11" max="11" width="4.88"/>
    <col customWidth="1" min="12" max="14" width="8.5"/>
    <col customWidth="1" min="15" max="15" width="7.5"/>
    <col customWidth="1" min="16" max="16" width="6.63"/>
    <col customWidth="1" min="17" max="17" width="6.88"/>
    <col customWidth="1" min="18" max="18" width="6.0"/>
    <col customWidth="1" min="19" max="22" width="8.5"/>
    <col customWidth="1" min="23" max="23" width="6.63"/>
    <col customWidth="1" min="24" max="24" width="2.75"/>
    <col customWidth="1" min="25" max="25" width="28.13"/>
    <col customWidth="1" min="26" max="26" width="2.63"/>
    <col customWidth="1" min="27" max="27" width="9.38"/>
    <col customWidth="1" min="28" max="28" width="6.75"/>
    <col customWidth="1" min="29" max="29" width="9.38"/>
    <col customWidth="1" min="30" max="30" width="6.75"/>
    <col customWidth="1" min="31" max="31" width="9.38"/>
    <col customWidth="1" min="32" max="32" width="6.75"/>
    <col customWidth="1" min="33" max="33" width="9.38"/>
    <col customWidth="1" min="34" max="34" width="6.75"/>
    <col customWidth="1" min="35" max="35" width="9.38"/>
    <col customWidth="1" min="36" max="36" width="6.75"/>
    <col customWidth="1" min="37" max="37" width="9.38"/>
    <col customWidth="1" min="38" max="39" width="6.75"/>
  </cols>
  <sheetData>
    <row r="1">
      <c r="G1" s="1"/>
      <c r="H1" s="1"/>
      <c r="I1" s="1"/>
      <c r="J1" s="1"/>
      <c r="N1" s="1"/>
      <c r="O1" s="2"/>
      <c r="P1" s="1"/>
      <c r="Q1" s="1"/>
      <c r="R1" s="2"/>
      <c r="S1" s="1"/>
      <c r="T1" s="3"/>
      <c r="U1" s="4"/>
      <c r="V1" s="1"/>
      <c r="W1" s="1"/>
      <c r="AA1" s="3" t="s">
        <v>0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5" t="s">
        <v>7</v>
      </c>
      <c r="H2" s="5" t="s">
        <v>8</v>
      </c>
      <c r="I2" s="5" t="s">
        <v>9</v>
      </c>
      <c r="J2" s="5" t="s">
        <v>8</v>
      </c>
      <c r="K2" s="6">
        <v>0.01</v>
      </c>
      <c r="L2" s="3" t="s">
        <v>10</v>
      </c>
      <c r="M2" s="3" t="s">
        <v>11</v>
      </c>
      <c r="N2" s="5" t="s">
        <v>12</v>
      </c>
      <c r="O2" s="7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8</v>
      </c>
      <c r="X2" s="8"/>
      <c r="Y2" s="3" t="s">
        <v>21</v>
      </c>
      <c r="Z2" s="8"/>
      <c r="AA2" s="5" t="s">
        <v>22</v>
      </c>
      <c r="AB2" s="5" t="s">
        <v>23</v>
      </c>
      <c r="AC2" s="5" t="s">
        <v>24</v>
      </c>
      <c r="AD2" s="5" t="s">
        <v>23</v>
      </c>
      <c r="AE2" s="5" t="s">
        <v>25</v>
      </c>
      <c r="AF2" s="5" t="s">
        <v>23</v>
      </c>
      <c r="AG2" s="5" t="s">
        <v>26</v>
      </c>
      <c r="AH2" s="5" t="s">
        <v>23</v>
      </c>
      <c r="AI2" s="5" t="s">
        <v>27</v>
      </c>
      <c r="AJ2" s="5" t="s">
        <v>23</v>
      </c>
      <c r="AK2" s="5" t="s">
        <v>28</v>
      </c>
      <c r="AL2" s="5" t="s">
        <v>23</v>
      </c>
      <c r="AM2" s="5"/>
    </row>
    <row r="3">
      <c r="A3" s="9" t="s">
        <v>29</v>
      </c>
      <c r="B3" s="10"/>
      <c r="C3" s="10"/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2"/>
      <c r="P3" s="11"/>
      <c r="Q3" s="11"/>
      <c r="R3" s="12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</row>
    <row r="4">
      <c r="A4" s="13" t="s">
        <v>30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1"/>
      <c r="Q4" s="11"/>
      <c r="R4" s="12"/>
      <c r="S4" s="11"/>
      <c r="T4" s="11"/>
      <c r="U4" s="11"/>
      <c r="V4" s="11"/>
      <c r="W4" s="11"/>
      <c r="X4" s="14"/>
      <c r="Y4" s="11"/>
      <c r="Z4" s="14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 ht="15.75" customHeight="1">
      <c r="A5" s="13" t="s">
        <v>31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5"/>
      <c r="P5" s="14"/>
      <c r="Q5" s="14"/>
      <c r="R5" s="15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</row>
    <row r="6">
      <c r="A6" s="13" t="s">
        <v>32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5"/>
      <c r="P6" s="14"/>
      <c r="Q6" s="14"/>
      <c r="R6" s="15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</row>
    <row r="7">
      <c r="A7" s="16" t="s">
        <v>33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5"/>
      <c r="P7" s="14"/>
      <c r="Q7" s="14"/>
      <c r="R7" s="15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</row>
    <row r="8">
      <c r="A8" s="17">
        <v>30.0</v>
      </c>
      <c r="B8" s="17" t="s">
        <v>34</v>
      </c>
      <c r="C8" s="17" t="s">
        <v>35</v>
      </c>
      <c r="D8" s="17" t="s">
        <v>36</v>
      </c>
      <c r="E8" s="18"/>
      <c r="F8" s="17">
        <v>228.0</v>
      </c>
      <c r="G8" s="17">
        <v>3850.0</v>
      </c>
      <c r="H8" s="17" t="s">
        <v>37</v>
      </c>
      <c r="I8" s="19">
        <v>350.0</v>
      </c>
      <c r="J8" s="17" t="s">
        <v>37</v>
      </c>
      <c r="K8" s="20">
        <f>round(G8*1%,0)</f>
        <v>39</v>
      </c>
      <c r="L8" s="17">
        <f>sum(AB8+AD8+AF8+AH8+AJ8+AL8)</f>
        <v>440</v>
      </c>
      <c r="M8" s="18">
        <f>G8-K8-L8</f>
        <v>3371</v>
      </c>
      <c r="N8" s="18">
        <f>round(O8*M8+I8,0)</f>
        <v>687</v>
      </c>
      <c r="O8" s="21">
        <v>0.1</v>
      </c>
      <c r="P8" s="18">
        <f>round(R8*(M8-N8),0)</f>
        <v>268</v>
      </c>
      <c r="Q8" s="18">
        <f>round(R8*AD8,0)</f>
        <v>24</v>
      </c>
      <c r="R8" s="21">
        <v>0.1</v>
      </c>
      <c r="S8" s="18">
        <f>round(M8-N8-P8-Q8,0)</f>
        <v>2392</v>
      </c>
      <c r="T8" s="18">
        <f>S8/5</f>
        <v>478.4</v>
      </c>
      <c r="U8" s="22">
        <f>round(T8,-1)</f>
        <v>480</v>
      </c>
      <c r="V8" s="18">
        <f>5*(T8-U8)</f>
        <v>-8</v>
      </c>
      <c r="W8" s="18"/>
      <c r="X8" s="23"/>
      <c r="Y8" s="18"/>
      <c r="Z8" s="23"/>
      <c r="AA8" s="17" t="s">
        <v>38</v>
      </c>
      <c r="AB8" s="17">
        <v>200.0</v>
      </c>
      <c r="AC8" s="18"/>
      <c r="AD8" s="17">
        <v>240.0</v>
      </c>
      <c r="AE8" s="18"/>
      <c r="AF8" s="18"/>
      <c r="AG8" s="18"/>
      <c r="AH8" s="17"/>
      <c r="AI8" s="18"/>
      <c r="AJ8" s="17"/>
      <c r="AK8" s="18"/>
      <c r="AL8" s="18"/>
      <c r="AM8" s="18"/>
    </row>
    <row r="9">
      <c r="A9" s="16" t="s">
        <v>39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5"/>
      <c r="P9" s="14"/>
      <c r="Q9" s="14"/>
      <c r="R9" s="15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</row>
    <row r="10">
      <c r="A10" s="17">
        <v>6.0</v>
      </c>
      <c r="B10" s="17" t="s">
        <v>34</v>
      </c>
      <c r="C10" s="17" t="s">
        <v>35</v>
      </c>
      <c r="D10" s="17" t="s">
        <v>40</v>
      </c>
      <c r="E10" s="18"/>
      <c r="F10" s="17">
        <v>219.0</v>
      </c>
      <c r="G10" s="17">
        <v>4450.0</v>
      </c>
      <c r="H10" s="17" t="s">
        <v>37</v>
      </c>
      <c r="I10" s="19">
        <v>450.0</v>
      </c>
      <c r="J10" s="17" t="s">
        <v>37</v>
      </c>
      <c r="K10" s="20">
        <f>round(G10*1%,0)</f>
        <v>45</v>
      </c>
      <c r="L10" s="17">
        <f>sum(AB10+AD10+AF10+AH10+AJ10+AL10)</f>
        <v>1040</v>
      </c>
      <c r="M10" s="18">
        <f>G10-K10-L10</f>
        <v>3365</v>
      </c>
      <c r="N10" s="18">
        <f>round(O10*M10+I10,0)</f>
        <v>787</v>
      </c>
      <c r="O10" s="21">
        <v>0.1</v>
      </c>
      <c r="P10" s="18">
        <f>round(R10*(M10-N10),0)</f>
        <v>258</v>
      </c>
      <c r="Q10" s="18">
        <f>round(R10*AD10,0)</f>
        <v>24</v>
      </c>
      <c r="R10" s="21">
        <v>0.1</v>
      </c>
      <c r="S10" s="18">
        <f>round(M10-N10-P10-Q10,0)</f>
        <v>2296</v>
      </c>
      <c r="T10" s="18">
        <f>S10/5</f>
        <v>459.2</v>
      </c>
      <c r="U10" s="22">
        <f>round(T10,-1)</f>
        <v>460</v>
      </c>
      <c r="V10" s="18">
        <f>5*(T10-U10)</f>
        <v>-4</v>
      </c>
      <c r="W10" s="18"/>
      <c r="X10" s="23"/>
      <c r="Y10" s="18"/>
      <c r="Z10" s="23"/>
      <c r="AA10" s="17" t="s">
        <v>38</v>
      </c>
      <c r="AB10" s="17">
        <v>200.0</v>
      </c>
      <c r="AC10" s="18"/>
      <c r="AD10" s="17">
        <v>240.0</v>
      </c>
      <c r="AE10" s="18"/>
      <c r="AF10" s="18"/>
      <c r="AG10" s="18"/>
      <c r="AH10" s="17"/>
      <c r="AI10" s="17" t="s">
        <v>41</v>
      </c>
      <c r="AJ10" s="17">
        <v>600.0</v>
      </c>
      <c r="AK10" s="18"/>
      <c r="AL10" s="18"/>
      <c r="AM10" s="18"/>
    </row>
    <row r="11">
      <c r="A11" s="24" t="s">
        <v>42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6"/>
      <c r="P11" s="25"/>
      <c r="Q11" s="25"/>
      <c r="R11" s="26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</row>
    <row r="12">
      <c r="A12" s="17">
        <v>25.0</v>
      </c>
      <c r="B12" s="17" t="s">
        <v>34</v>
      </c>
      <c r="C12" s="17" t="s">
        <v>35</v>
      </c>
      <c r="D12" s="17" t="s">
        <v>43</v>
      </c>
      <c r="E12" s="18"/>
      <c r="F12" s="17">
        <v>237.0</v>
      </c>
      <c r="G12" s="17">
        <v>4050.0</v>
      </c>
      <c r="H12" s="17" t="s">
        <v>37</v>
      </c>
      <c r="I12" s="19">
        <v>400.0</v>
      </c>
      <c r="J12" s="17" t="s">
        <v>37</v>
      </c>
      <c r="K12" s="20">
        <f>round(G12*1%,0)</f>
        <v>41</v>
      </c>
      <c r="L12" s="17">
        <f>sum(AB12+AD12+AF12+AH12+AJ12+AL12)</f>
        <v>440</v>
      </c>
      <c r="M12" s="18">
        <f>G12-K12-L12</f>
        <v>3569</v>
      </c>
      <c r="N12" s="18">
        <f>round(O12*M12+I12,0)</f>
        <v>757</v>
      </c>
      <c r="O12" s="21">
        <v>0.1</v>
      </c>
      <c r="P12" s="18">
        <f>round(R12*(M12-N12),0)</f>
        <v>281</v>
      </c>
      <c r="Q12" s="18">
        <f>round(R12*AD12,0)</f>
        <v>24</v>
      </c>
      <c r="R12" s="21">
        <v>0.1</v>
      </c>
      <c r="S12" s="18">
        <f>round(M12-N12-P12-Q12,0)</f>
        <v>2507</v>
      </c>
      <c r="T12" s="18">
        <f>S12/5</f>
        <v>501.4</v>
      </c>
      <c r="U12" s="22">
        <f>round(T12,-1)</f>
        <v>500</v>
      </c>
      <c r="V12" s="18">
        <f>5*(T12-U12)</f>
        <v>7</v>
      </c>
      <c r="W12" s="18"/>
      <c r="X12" s="23"/>
      <c r="Y12" s="18"/>
      <c r="Z12" s="23"/>
      <c r="AA12" s="17" t="s">
        <v>38</v>
      </c>
      <c r="AB12" s="17">
        <v>200.0</v>
      </c>
      <c r="AC12" s="18"/>
      <c r="AD12" s="17">
        <v>240.0</v>
      </c>
      <c r="AE12" s="18"/>
      <c r="AF12" s="18"/>
      <c r="AG12" s="17"/>
      <c r="AH12" s="17"/>
      <c r="AI12" s="17"/>
      <c r="AJ12" s="17"/>
      <c r="AK12" s="18"/>
      <c r="AL12" s="18"/>
      <c r="AM12" s="18"/>
    </row>
    <row r="13">
      <c r="A13" s="27" t="s">
        <v>44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5"/>
      <c r="P13" s="14"/>
      <c r="Q13" s="14"/>
      <c r="R13" s="15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</row>
    <row r="14">
      <c r="A14" s="17">
        <v>22.0</v>
      </c>
      <c r="B14" s="17" t="s">
        <v>34</v>
      </c>
      <c r="C14" s="17" t="s">
        <v>35</v>
      </c>
      <c r="D14" s="17" t="s">
        <v>45</v>
      </c>
      <c r="E14" s="18"/>
      <c r="F14" s="17">
        <v>229.0</v>
      </c>
      <c r="G14" s="17">
        <v>4950.0</v>
      </c>
      <c r="H14" s="17" t="s">
        <v>37</v>
      </c>
      <c r="I14" s="19">
        <v>450.0</v>
      </c>
      <c r="J14" s="17" t="s">
        <v>37</v>
      </c>
      <c r="K14" s="20">
        <f>round(G14*1%,0)</f>
        <v>50</v>
      </c>
      <c r="L14" s="17">
        <f>sum(AB14+AD14+AF14+AH14+AJ14+AL14)</f>
        <v>1240</v>
      </c>
      <c r="M14" s="18">
        <f>G14-K14-L14</f>
        <v>3660</v>
      </c>
      <c r="N14" s="18">
        <f>round(O14*M14+I14,0)</f>
        <v>816</v>
      </c>
      <c r="O14" s="21">
        <v>0.1</v>
      </c>
      <c r="P14" s="18">
        <f>round(R14*(M14-N14),0)</f>
        <v>284</v>
      </c>
      <c r="Q14" s="18">
        <f>round(R14*AD14,0)</f>
        <v>24</v>
      </c>
      <c r="R14" s="21">
        <v>0.1</v>
      </c>
      <c r="S14" s="18">
        <f>round(M14-N14-P14-Q14,0)</f>
        <v>2536</v>
      </c>
      <c r="T14" s="18">
        <f>S14/5</f>
        <v>507.2</v>
      </c>
      <c r="U14" s="22">
        <f>round(T14,-1)</f>
        <v>510</v>
      </c>
      <c r="V14" s="18">
        <f>5*(T14-U14)</f>
        <v>-14</v>
      </c>
      <c r="W14" s="18"/>
      <c r="X14" s="23"/>
      <c r="Y14" s="18"/>
      <c r="Z14" s="23"/>
      <c r="AA14" s="17" t="s">
        <v>46</v>
      </c>
      <c r="AB14" s="17">
        <v>400.0</v>
      </c>
      <c r="AC14" s="18"/>
      <c r="AD14" s="17">
        <v>240.0</v>
      </c>
      <c r="AE14" s="18"/>
      <c r="AF14" s="18"/>
      <c r="AG14" s="17" t="s">
        <v>41</v>
      </c>
      <c r="AH14" s="17">
        <v>600.0</v>
      </c>
      <c r="AI14" s="17"/>
      <c r="AJ14" s="17"/>
      <c r="AK14" s="18"/>
      <c r="AL14" s="18"/>
      <c r="AM14" s="18"/>
    </row>
    <row r="15">
      <c r="A15" s="27" t="s">
        <v>47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5"/>
      <c r="P15" s="14"/>
      <c r="Q15" s="14"/>
      <c r="R15" s="15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</row>
    <row r="16">
      <c r="A16" s="17">
        <v>19.0</v>
      </c>
      <c r="B16" s="17" t="s">
        <v>34</v>
      </c>
      <c r="C16" s="17" t="s">
        <v>35</v>
      </c>
      <c r="D16" s="17" t="s">
        <v>48</v>
      </c>
      <c r="E16" s="18"/>
      <c r="F16" s="17">
        <v>234.0</v>
      </c>
      <c r="G16" s="17">
        <v>3950.0</v>
      </c>
      <c r="H16" s="17" t="s">
        <v>37</v>
      </c>
      <c r="I16" s="19">
        <v>350.0</v>
      </c>
      <c r="J16" s="17" t="s">
        <v>37</v>
      </c>
      <c r="K16" s="20">
        <f t="shared" ref="K16:K17" si="1">round(G16*1%,0)</f>
        <v>40</v>
      </c>
      <c r="L16" s="17">
        <f t="shared" ref="L16:L17" si="2">sum(AB16+AD16+AF16+AH16+AJ16+AL16)</f>
        <v>540</v>
      </c>
      <c r="M16" s="18">
        <f t="shared" ref="M16:M17" si="3">G16-K16-L16</f>
        <v>3370</v>
      </c>
      <c r="N16" s="18">
        <f t="shared" ref="N16:N17" si="4">round(O16*M16+I16,0)</f>
        <v>687</v>
      </c>
      <c r="O16" s="21">
        <v>0.1</v>
      </c>
      <c r="P16" s="18">
        <f t="shared" ref="P16:P17" si="5">round(R16*(M16-N16),0)</f>
        <v>268</v>
      </c>
      <c r="Q16" s="18">
        <f t="shared" ref="Q16:Q17" si="6">round(R16*AD16,0)</f>
        <v>24</v>
      </c>
      <c r="R16" s="21">
        <v>0.1</v>
      </c>
      <c r="S16" s="18">
        <f t="shared" ref="S16:S17" si="7">round(M16-N16-P16-Q16,0)</f>
        <v>2391</v>
      </c>
      <c r="T16" s="18">
        <f t="shared" ref="T16:T17" si="8">S16/5</f>
        <v>478.2</v>
      </c>
      <c r="U16" s="22">
        <f t="shared" ref="U16:U17" si="9">round(T16,-1)</f>
        <v>480</v>
      </c>
      <c r="V16" s="18">
        <f t="shared" ref="V16:V17" si="10">5*(T16-U16)</f>
        <v>-9</v>
      </c>
      <c r="W16" s="18"/>
      <c r="X16" s="23"/>
      <c r="Y16" s="18"/>
      <c r="Z16" s="23"/>
      <c r="AA16" s="17" t="s">
        <v>38</v>
      </c>
      <c r="AB16" s="17">
        <v>200.0</v>
      </c>
      <c r="AC16" s="18"/>
      <c r="AD16" s="17">
        <v>240.0</v>
      </c>
      <c r="AE16" s="18"/>
      <c r="AF16" s="17">
        <v>100.0</v>
      </c>
      <c r="AG16" s="17"/>
      <c r="AH16" s="17"/>
      <c r="AI16" s="17"/>
      <c r="AJ16" s="17"/>
      <c r="AK16" s="18"/>
      <c r="AL16" s="18"/>
      <c r="AM16" s="18"/>
    </row>
    <row r="17">
      <c r="A17" s="17">
        <v>26.0</v>
      </c>
      <c r="B17" s="17" t="s">
        <v>34</v>
      </c>
      <c r="C17" s="17" t="s">
        <v>35</v>
      </c>
      <c r="D17" s="17" t="s">
        <v>49</v>
      </c>
      <c r="E17" s="18"/>
      <c r="F17" s="17">
        <v>235.0</v>
      </c>
      <c r="G17" s="17">
        <v>3850.0</v>
      </c>
      <c r="H17" s="17" t="s">
        <v>37</v>
      </c>
      <c r="I17" s="19">
        <v>350.0</v>
      </c>
      <c r="J17" s="17" t="s">
        <v>37</v>
      </c>
      <c r="K17" s="20">
        <f t="shared" si="1"/>
        <v>39</v>
      </c>
      <c r="L17" s="17">
        <f t="shared" si="2"/>
        <v>440</v>
      </c>
      <c r="M17" s="18">
        <f t="shared" si="3"/>
        <v>3371</v>
      </c>
      <c r="N17" s="18">
        <f t="shared" si="4"/>
        <v>687</v>
      </c>
      <c r="O17" s="21">
        <v>0.1</v>
      </c>
      <c r="P17" s="18">
        <f t="shared" si="5"/>
        <v>268</v>
      </c>
      <c r="Q17" s="18">
        <f t="shared" si="6"/>
        <v>24</v>
      </c>
      <c r="R17" s="21">
        <v>0.1</v>
      </c>
      <c r="S17" s="18">
        <f t="shared" si="7"/>
        <v>2392</v>
      </c>
      <c r="T17" s="18">
        <f t="shared" si="8"/>
        <v>478.4</v>
      </c>
      <c r="U17" s="22">
        <f t="shared" si="9"/>
        <v>480</v>
      </c>
      <c r="V17" s="18">
        <f t="shared" si="10"/>
        <v>-8</v>
      </c>
      <c r="W17" s="18"/>
      <c r="X17" s="23"/>
      <c r="Y17" s="18"/>
      <c r="Z17" s="23"/>
      <c r="AA17" s="17" t="s">
        <v>38</v>
      </c>
      <c r="AB17" s="17">
        <v>200.0</v>
      </c>
      <c r="AC17" s="18"/>
      <c r="AD17" s="17">
        <v>240.0</v>
      </c>
      <c r="AE17" s="18"/>
      <c r="AF17" s="17"/>
      <c r="AG17" s="17"/>
      <c r="AH17" s="17"/>
      <c r="AI17" s="17"/>
      <c r="AJ17" s="17"/>
      <c r="AK17" s="18"/>
      <c r="AL17" s="18"/>
      <c r="AM17" s="18"/>
    </row>
    <row r="18">
      <c r="A18" s="28" t="s">
        <v>50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6"/>
      <c r="P18" s="25"/>
      <c r="Q18" s="25"/>
      <c r="R18" s="26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</row>
    <row r="19">
      <c r="A19" s="17">
        <v>10.0</v>
      </c>
      <c r="B19" s="17" t="s">
        <v>34</v>
      </c>
      <c r="C19" s="17" t="s">
        <v>35</v>
      </c>
      <c r="D19" s="17" t="s">
        <v>51</v>
      </c>
      <c r="E19" s="18"/>
      <c r="F19" s="17">
        <v>239.0</v>
      </c>
      <c r="G19" s="17">
        <v>4100.0</v>
      </c>
      <c r="H19" s="17" t="s">
        <v>37</v>
      </c>
      <c r="I19" s="19">
        <v>400.0</v>
      </c>
      <c r="J19" s="17" t="s">
        <v>37</v>
      </c>
      <c r="K19" s="20">
        <f>round(G19*1%,0)</f>
        <v>41</v>
      </c>
      <c r="L19" s="17">
        <f>sum(AB19+AD19+AF19+AH19+AJ19+AL19)</f>
        <v>440</v>
      </c>
      <c r="M19" s="18">
        <f>G19-K19-L19</f>
        <v>3619</v>
      </c>
      <c r="N19" s="18">
        <f>round(O19*M19+I19,0)</f>
        <v>762</v>
      </c>
      <c r="O19" s="21">
        <v>0.1</v>
      </c>
      <c r="P19" s="18">
        <f>round(R19*(M19-N19),0)</f>
        <v>286</v>
      </c>
      <c r="Q19" s="18">
        <f>round(R19*AD19,0)</f>
        <v>24</v>
      </c>
      <c r="R19" s="21">
        <v>0.1</v>
      </c>
      <c r="S19" s="18">
        <f>round(M19-N19-P19-Q19,0)</f>
        <v>2547</v>
      </c>
      <c r="T19" s="18">
        <f>S19/5</f>
        <v>509.4</v>
      </c>
      <c r="U19" s="22">
        <f>round(T19,-1)</f>
        <v>510</v>
      </c>
      <c r="V19" s="18">
        <f>5*(T19-U19)</f>
        <v>-3</v>
      </c>
      <c r="W19" s="18"/>
      <c r="X19" s="23"/>
      <c r="Y19" s="18"/>
      <c r="Z19" s="23"/>
      <c r="AA19" s="17" t="s">
        <v>38</v>
      </c>
      <c r="AB19" s="17">
        <v>200.0</v>
      </c>
      <c r="AC19" s="18"/>
      <c r="AD19" s="17">
        <v>240.0</v>
      </c>
      <c r="AE19" s="18"/>
      <c r="AF19" s="17"/>
      <c r="AG19" s="17"/>
      <c r="AH19" s="17"/>
      <c r="AI19" s="17"/>
      <c r="AJ19" s="17"/>
      <c r="AK19" s="18"/>
      <c r="AL19" s="18"/>
      <c r="AM19" s="18"/>
    </row>
    <row r="20">
      <c r="A20" s="28" t="s">
        <v>52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6"/>
      <c r="P20" s="25"/>
      <c r="Q20" s="25"/>
      <c r="R20" s="26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</row>
    <row r="21">
      <c r="A21" s="17"/>
      <c r="B21" s="17"/>
      <c r="C21" s="17"/>
      <c r="D21" s="17"/>
      <c r="E21" s="18"/>
      <c r="F21" s="17"/>
      <c r="G21" s="17"/>
      <c r="H21" s="18"/>
      <c r="I21" s="18"/>
      <c r="J21" s="18"/>
      <c r="K21" s="18"/>
      <c r="L21" s="18"/>
      <c r="M21" s="18"/>
      <c r="N21" s="18"/>
      <c r="O21" s="29"/>
      <c r="P21" s="18"/>
      <c r="Q21" s="18"/>
      <c r="R21" s="29"/>
      <c r="S21" s="18"/>
      <c r="T21" s="18"/>
      <c r="U21" s="30"/>
      <c r="V21" s="18"/>
      <c r="W21" s="18"/>
      <c r="X21" s="23"/>
      <c r="Y21" s="18"/>
      <c r="Z21" s="23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</row>
    <row r="22">
      <c r="A22" s="17" t="s">
        <v>53</v>
      </c>
      <c r="B22" s="17"/>
      <c r="C22" s="17"/>
      <c r="D22" s="17"/>
      <c r="E22" s="18"/>
      <c r="F22" s="17"/>
      <c r="G22" s="17"/>
      <c r="H22" s="18"/>
      <c r="I22" s="18"/>
      <c r="J22" s="18"/>
      <c r="K22" s="20">
        <f>round(G22*1%,0)</f>
        <v>0</v>
      </c>
      <c r="L22" s="17">
        <f>sum(AB22+AD22+AF22+AH22+AJ22+AL22)</f>
        <v>0</v>
      </c>
      <c r="M22" s="18">
        <f>G22-K22-L22</f>
        <v>0</v>
      </c>
      <c r="N22" s="18">
        <f>round(O22*M22+I22,0)</f>
        <v>0</v>
      </c>
      <c r="O22" s="21">
        <v>0.1</v>
      </c>
      <c r="P22" s="18">
        <f>round(R22*(M22-N22),0)</f>
        <v>0</v>
      </c>
      <c r="Q22" s="18">
        <f>round(R22*AD22,0)</f>
        <v>0</v>
      </c>
      <c r="R22" s="21">
        <v>0.1</v>
      </c>
      <c r="S22" s="18">
        <f>round(M22-N22-P22-Q22,0)</f>
        <v>0</v>
      </c>
      <c r="T22" s="18">
        <f>S22/5</f>
        <v>0</v>
      </c>
      <c r="U22" s="22">
        <f>round(T22,-1)</f>
        <v>0</v>
      </c>
      <c r="V22" s="18">
        <f>5*(T22-U22)</f>
        <v>0</v>
      </c>
      <c r="W22" s="18"/>
      <c r="X22" s="23"/>
      <c r="Y22" s="18"/>
      <c r="Z22" s="23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0"/>
  <cols>
    <col customWidth="1" min="1" max="1" width="5.5"/>
    <col customWidth="1" min="2" max="2" width="6.75"/>
    <col customWidth="1" min="3" max="3" width="10.38"/>
    <col customWidth="1" min="4" max="4" width="15.5"/>
    <col customWidth="1" min="6" max="6" width="5.25"/>
    <col customWidth="1" min="7" max="7" width="7.13"/>
    <col customWidth="1" min="8" max="8" width="5.38"/>
    <col customWidth="1" min="9" max="9" width="6.5"/>
    <col customWidth="1" min="10" max="10" width="5.38"/>
    <col customWidth="1" min="11" max="11" width="4.88"/>
    <col customWidth="1" min="12" max="14" width="8.5"/>
    <col customWidth="1" min="15" max="15" width="7.5"/>
    <col customWidth="1" min="16" max="16" width="6.63"/>
    <col customWidth="1" min="17" max="17" width="6.88"/>
    <col customWidth="1" min="18" max="18" width="6.0"/>
    <col customWidth="1" min="19" max="22" width="8.5"/>
    <col customWidth="1" min="23" max="23" width="6.63"/>
    <col customWidth="1" min="24" max="24" width="2.75"/>
    <col customWidth="1" min="25" max="25" width="28.13"/>
    <col customWidth="1" min="26" max="26" width="2.63"/>
    <col customWidth="1" min="27" max="27" width="9.38"/>
    <col customWidth="1" min="28" max="28" width="6.75"/>
    <col customWidth="1" min="29" max="29" width="9.38"/>
    <col customWidth="1" min="30" max="30" width="6.75"/>
    <col customWidth="1" min="31" max="31" width="9.38"/>
    <col customWidth="1" min="32" max="32" width="6.75"/>
    <col customWidth="1" min="33" max="33" width="9.38"/>
    <col customWidth="1" min="34" max="34" width="6.75"/>
    <col customWidth="1" min="35" max="35" width="9.38"/>
    <col customWidth="1" min="36" max="36" width="6.75"/>
    <col customWidth="1" min="37" max="37" width="9.38"/>
    <col customWidth="1" min="38" max="39" width="6.75"/>
  </cols>
  <sheetData>
    <row r="1">
      <c r="G1" s="1"/>
      <c r="H1" s="1"/>
      <c r="I1" s="1"/>
      <c r="J1" s="1"/>
      <c r="N1" s="1"/>
      <c r="O1" s="2"/>
      <c r="P1" s="1"/>
      <c r="Q1" s="1"/>
      <c r="R1" s="2"/>
      <c r="S1" s="1"/>
      <c r="T1" s="3"/>
      <c r="U1" s="4"/>
      <c r="V1" s="1"/>
      <c r="W1" s="1"/>
      <c r="AA1" s="3" t="s">
        <v>0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5" t="s">
        <v>7</v>
      </c>
      <c r="H2" s="5" t="s">
        <v>8</v>
      </c>
      <c r="I2" s="5" t="s">
        <v>9</v>
      </c>
      <c r="J2" s="5" t="s">
        <v>8</v>
      </c>
      <c r="K2" s="6">
        <v>0.01</v>
      </c>
      <c r="L2" s="3" t="s">
        <v>10</v>
      </c>
      <c r="M2" s="3" t="s">
        <v>11</v>
      </c>
      <c r="N2" s="5" t="s">
        <v>12</v>
      </c>
      <c r="O2" s="7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8</v>
      </c>
      <c r="X2" s="8"/>
      <c r="Y2" s="3" t="s">
        <v>21</v>
      </c>
      <c r="Z2" s="8"/>
      <c r="AA2" s="5" t="s">
        <v>22</v>
      </c>
      <c r="AB2" s="5" t="s">
        <v>23</v>
      </c>
      <c r="AC2" s="5" t="s">
        <v>24</v>
      </c>
      <c r="AD2" s="5" t="s">
        <v>23</v>
      </c>
      <c r="AE2" s="5" t="s">
        <v>25</v>
      </c>
      <c r="AF2" s="5" t="s">
        <v>23</v>
      </c>
      <c r="AG2" s="5" t="s">
        <v>26</v>
      </c>
      <c r="AH2" s="5" t="s">
        <v>23</v>
      </c>
      <c r="AI2" s="5" t="s">
        <v>27</v>
      </c>
      <c r="AJ2" s="5" t="s">
        <v>23</v>
      </c>
      <c r="AK2" s="5" t="s">
        <v>28</v>
      </c>
      <c r="AL2" s="5" t="s">
        <v>23</v>
      </c>
      <c r="AM2" s="5"/>
    </row>
    <row r="3">
      <c r="A3" s="9" t="s">
        <v>29</v>
      </c>
      <c r="B3" s="10"/>
      <c r="C3" s="10"/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2"/>
      <c r="P3" s="11"/>
      <c r="Q3" s="11"/>
      <c r="R3" s="12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</row>
    <row r="4">
      <c r="A4" s="17">
        <v>13.0</v>
      </c>
      <c r="B4" s="17" t="s">
        <v>54</v>
      </c>
      <c r="C4" s="17" t="s">
        <v>55</v>
      </c>
      <c r="D4" s="17" t="s">
        <v>56</v>
      </c>
      <c r="E4" s="17" t="s">
        <v>57</v>
      </c>
      <c r="F4" s="17"/>
      <c r="G4" s="31">
        <v>0.0</v>
      </c>
      <c r="H4" s="17" t="s">
        <v>58</v>
      </c>
      <c r="I4" s="31">
        <v>0.0</v>
      </c>
      <c r="J4" s="17" t="s">
        <v>58</v>
      </c>
      <c r="K4" s="20">
        <f t="shared" ref="K4:K6" si="1">round(G4*1%,0)</f>
        <v>0</v>
      </c>
      <c r="L4" s="31">
        <f t="shared" ref="L4:L6" si="2">sum(AB4+AD4+AF4+AH4+AJ4+AL4)</f>
        <v>0</v>
      </c>
      <c r="M4" s="18">
        <f t="shared" ref="M4:M6" si="3">G4-K4-L4</f>
        <v>0</v>
      </c>
      <c r="N4" s="18">
        <f t="shared" ref="N4:N6" si="4">round(O4*M4+I4,0)</f>
        <v>0</v>
      </c>
      <c r="O4" s="21">
        <v>0.0</v>
      </c>
      <c r="P4" s="18">
        <f t="shared" ref="P4:P6" si="5">round(R4*(M4-N4),0)</f>
        <v>0</v>
      </c>
      <c r="Q4" s="18">
        <f t="shared" ref="Q4:Q6" si="6">round(R4*AD4,0)</f>
        <v>0</v>
      </c>
      <c r="R4" s="21">
        <v>0.1</v>
      </c>
      <c r="S4" s="18">
        <f t="shared" ref="S4:S6" si="7">round(M4-N4-P4-Q4,0)</f>
        <v>0</v>
      </c>
      <c r="T4" s="18">
        <f t="shared" ref="T4:T6" si="8">S4/5</f>
        <v>0</v>
      </c>
      <c r="U4" s="31">
        <f t="shared" ref="U4:U6" si="9">round(T4,-1)</f>
        <v>0</v>
      </c>
      <c r="V4" s="18">
        <f t="shared" ref="V4:V6" si="10">5*(T4-U4)</f>
        <v>0</v>
      </c>
      <c r="W4" s="17" t="s">
        <v>58</v>
      </c>
      <c r="X4" s="23"/>
      <c r="Y4" s="18"/>
      <c r="Z4" s="23"/>
      <c r="AA4" s="17" t="s">
        <v>38</v>
      </c>
      <c r="AB4" s="31">
        <v>0.0</v>
      </c>
      <c r="AC4" s="18"/>
      <c r="AD4" s="18"/>
      <c r="AE4" s="18"/>
      <c r="AF4" s="18"/>
      <c r="AG4" s="18"/>
      <c r="AH4" s="18"/>
      <c r="AI4" s="17"/>
      <c r="AJ4" s="17"/>
      <c r="AK4" s="18"/>
      <c r="AL4" s="18"/>
      <c r="AM4" s="18"/>
    </row>
    <row r="5">
      <c r="A5" s="17">
        <v>15.0</v>
      </c>
      <c r="B5" s="17" t="s">
        <v>54</v>
      </c>
      <c r="C5" s="17" t="s">
        <v>55</v>
      </c>
      <c r="D5" s="17" t="s">
        <v>56</v>
      </c>
      <c r="E5" s="17" t="s">
        <v>57</v>
      </c>
      <c r="F5" s="17"/>
      <c r="G5" s="31">
        <v>0.0</v>
      </c>
      <c r="H5" s="17" t="s">
        <v>58</v>
      </c>
      <c r="I5" s="31">
        <v>0.0</v>
      </c>
      <c r="J5" s="17" t="s">
        <v>58</v>
      </c>
      <c r="K5" s="20">
        <f t="shared" si="1"/>
        <v>0</v>
      </c>
      <c r="L5" s="31">
        <f t="shared" si="2"/>
        <v>0</v>
      </c>
      <c r="M5" s="18">
        <f t="shared" si="3"/>
        <v>0</v>
      </c>
      <c r="N5" s="18">
        <f t="shared" si="4"/>
        <v>0</v>
      </c>
      <c r="O5" s="21">
        <v>0.0</v>
      </c>
      <c r="P5" s="18">
        <f t="shared" si="5"/>
        <v>0</v>
      </c>
      <c r="Q5" s="18">
        <f t="shared" si="6"/>
        <v>0</v>
      </c>
      <c r="R5" s="21">
        <v>0.1</v>
      </c>
      <c r="S5" s="18">
        <f t="shared" si="7"/>
        <v>0</v>
      </c>
      <c r="T5" s="18">
        <f t="shared" si="8"/>
        <v>0</v>
      </c>
      <c r="U5" s="31">
        <f t="shared" si="9"/>
        <v>0</v>
      </c>
      <c r="V5" s="18">
        <f t="shared" si="10"/>
        <v>0</v>
      </c>
      <c r="W5" s="17" t="s">
        <v>58</v>
      </c>
      <c r="X5" s="23"/>
      <c r="Y5" s="18"/>
      <c r="Z5" s="23"/>
      <c r="AA5" s="17" t="s">
        <v>38</v>
      </c>
      <c r="AB5" s="31">
        <v>0.0</v>
      </c>
      <c r="AC5" s="18"/>
      <c r="AD5" s="18"/>
      <c r="AE5" s="18"/>
      <c r="AF5" s="18"/>
      <c r="AG5" s="18"/>
      <c r="AH5" s="18"/>
      <c r="AI5" s="17"/>
      <c r="AJ5" s="17"/>
      <c r="AK5" s="18"/>
      <c r="AL5" s="18"/>
      <c r="AM5" s="18"/>
    </row>
    <row r="6">
      <c r="A6" s="17">
        <v>31.0</v>
      </c>
      <c r="B6" s="17" t="s">
        <v>54</v>
      </c>
      <c r="C6" s="17" t="s">
        <v>55</v>
      </c>
      <c r="D6" s="17" t="s">
        <v>59</v>
      </c>
      <c r="E6" s="17"/>
      <c r="F6" s="17"/>
      <c r="G6" s="31">
        <v>6000.0</v>
      </c>
      <c r="H6" s="17" t="s">
        <v>58</v>
      </c>
      <c r="I6" s="31">
        <v>0.0</v>
      </c>
      <c r="J6" s="17" t="s">
        <v>58</v>
      </c>
      <c r="K6" s="20">
        <f t="shared" si="1"/>
        <v>60</v>
      </c>
      <c r="L6" s="31">
        <f t="shared" si="2"/>
        <v>2000</v>
      </c>
      <c r="M6" s="18">
        <f t="shared" si="3"/>
        <v>3940</v>
      </c>
      <c r="N6" s="18">
        <f t="shared" si="4"/>
        <v>-39</v>
      </c>
      <c r="O6" s="21">
        <v>-0.01</v>
      </c>
      <c r="P6" s="18">
        <f t="shared" si="5"/>
        <v>398</v>
      </c>
      <c r="Q6" s="18">
        <f t="shared" si="6"/>
        <v>100</v>
      </c>
      <c r="R6" s="21">
        <v>0.1</v>
      </c>
      <c r="S6" s="18">
        <f t="shared" si="7"/>
        <v>3481</v>
      </c>
      <c r="T6" s="18">
        <f t="shared" si="8"/>
        <v>696.2</v>
      </c>
      <c r="U6" s="31">
        <f t="shared" si="9"/>
        <v>700</v>
      </c>
      <c r="V6" s="18">
        <f t="shared" si="10"/>
        <v>-19</v>
      </c>
      <c r="W6" s="17" t="s">
        <v>58</v>
      </c>
      <c r="X6" s="23"/>
      <c r="Y6" s="18"/>
      <c r="Z6" s="23"/>
      <c r="AA6" s="17" t="s">
        <v>38</v>
      </c>
      <c r="AB6" s="31">
        <v>1000.0</v>
      </c>
      <c r="AC6" s="17"/>
      <c r="AD6" s="31">
        <v>1000.0</v>
      </c>
      <c r="AE6" s="18"/>
      <c r="AF6" s="18"/>
      <c r="AG6" s="18"/>
      <c r="AH6" s="18"/>
      <c r="AI6" s="18"/>
      <c r="AJ6" s="18"/>
    </row>
    <row r="7">
      <c r="A7" s="13" t="s">
        <v>30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2"/>
      <c r="P7" s="11"/>
      <c r="Q7" s="11"/>
      <c r="R7" s="12"/>
      <c r="S7" s="11"/>
      <c r="T7" s="11"/>
      <c r="U7" s="11"/>
      <c r="V7" s="11"/>
      <c r="W7" s="11"/>
      <c r="X7" s="14"/>
      <c r="Y7" s="11"/>
      <c r="Z7" s="14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</row>
    <row r="8" ht="15.75" customHeight="1">
      <c r="A8" s="13" t="s">
        <v>31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5"/>
      <c r="P8" s="14"/>
      <c r="Q8" s="14"/>
      <c r="R8" s="15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</row>
    <row r="9">
      <c r="A9" s="17">
        <v>26.0</v>
      </c>
      <c r="B9" s="17" t="s">
        <v>54</v>
      </c>
      <c r="C9" s="17" t="s">
        <v>55</v>
      </c>
      <c r="D9" s="17" t="s">
        <v>60</v>
      </c>
      <c r="E9" s="17" t="s">
        <v>61</v>
      </c>
      <c r="F9" s="17"/>
      <c r="G9" s="31">
        <v>600.0</v>
      </c>
      <c r="H9" s="17" t="s">
        <v>37</v>
      </c>
      <c r="I9" s="31">
        <v>0.0</v>
      </c>
      <c r="J9" s="17" t="s">
        <v>37</v>
      </c>
      <c r="K9" s="32">
        <v>0.0</v>
      </c>
      <c r="L9" s="31">
        <f t="shared" ref="L9:L10" si="11">sum(AB9+AD9+AF9+AH9+AJ9+AL9)</f>
        <v>0</v>
      </c>
      <c r="M9" s="18">
        <f t="shared" ref="M9:M10" si="12">G9-K9-L9</f>
        <v>600</v>
      </c>
      <c r="N9" s="18">
        <f t="shared" ref="N9:N10" si="13">round(O9*M9+I9,0)</f>
        <v>0</v>
      </c>
      <c r="O9" s="21">
        <v>0.0</v>
      </c>
      <c r="P9" s="18">
        <f t="shared" ref="P9:P10" si="14">round(R9*(M9-N9),0)</f>
        <v>0</v>
      </c>
      <c r="Q9" s="18">
        <f t="shared" ref="Q9:Q10" si="15">round(R9*AD9,0)</f>
        <v>0</v>
      </c>
      <c r="R9" s="21">
        <v>0.0</v>
      </c>
      <c r="S9" s="18">
        <f t="shared" ref="S9:S10" si="16">round(M9-N9-P9-Q9,0)</f>
        <v>600</v>
      </c>
      <c r="T9" s="18">
        <f t="shared" ref="T9:T10" si="17">S9/5</f>
        <v>120</v>
      </c>
      <c r="U9" s="31">
        <f t="shared" ref="U9:U10" si="18">round(T9,-1)</f>
        <v>120</v>
      </c>
      <c r="V9" s="18">
        <f t="shared" ref="V9:V10" si="19">5*(T9-U9)</f>
        <v>0</v>
      </c>
      <c r="W9" s="17" t="s">
        <v>37</v>
      </c>
      <c r="X9" s="23"/>
      <c r="Y9" s="18"/>
      <c r="Z9" s="23"/>
      <c r="AA9" s="17" t="s">
        <v>38</v>
      </c>
      <c r="AB9" s="31">
        <v>0.0</v>
      </c>
      <c r="AC9" s="18"/>
      <c r="AD9" s="18"/>
      <c r="AE9" s="18"/>
      <c r="AF9" s="18"/>
      <c r="AG9" s="18"/>
      <c r="AH9" s="18"/>
      <c r="AI9" s="17"/>
      <c r="AJ9" s="17"/>
      <c r="AK9" s="18"/>
      <c r="AL9" s="18"/>
      <c r="AM9" s="18"/>
    </row>
    <row r="10">
      <c r="A10" s="17">
        <v>31.0</v>
      </c>
      <c r="B10" s="17" t="s">
        <v>54</v>
      </c>
      <c r="C10" s="17" t="s">
        <v>55</v>
      </c>
      <c r="D10" s="17" t="s">
        <v>62</v>
      </c>
      <c r="E10" s="17" t="s">
        <v>61</v>
      </c>
      <c r="F10" s="17"/>
      <c r="G10" s="31">
        <v>800.0</v>
      </c>
      <c r="H10" s="17" t="s">
        <v>37</v>
      </c>
      <c r="I10" s="31">
        <v>0.0</v>
      </c>
      <c r="J10" s="17" t="s">
        <v>37</v>
      </c>
      <c r="K10" s="32">
        <v>0.0</v>
      </c>
      <c r="L10" s="31">
        <f t="shared" si="11"/>
        <v>0</v>
      </c>
      <c r="M10" s="18">
        <f t="shared" si="12"/>
        <v>800</v>
      </c>
      <c r="N10" s="18">
        <f t="shared" si="13"/>
        <v>0</v>
      </c>
      <c r="O10" s="21">
        <v>0.0</v>
      </c>
      <c r="P10" s="18">
        <f t="shared" si="14"/>
        <v>0</v>
      </c>
      <c r="Q10" s="18">
        <f t="shared" si="15"/>
        <v>0</v>
      </c>
      <c r="R10" s="21">
        <v>0.0</v>
      </c>
      <c r="S10" s="18">
        <f t="shared" si="16"/>
        <v>800</v>
      </c>
      <c r="T10" s="18">
        <f t="shared" si="17"/>
        <v>160</v>
      </c>
      <c r="U10" s="31">
        <f t="shared" si="18"/>
        <v>160</v>
      </c>
      <c r="V10" s="18">
        <f t="shared" si="19"/>
        <v>0</v>
      </c>
      <c r="W10" s="17" t="s">
        <v>37</v>
      </c>
      <c r="X10" s="23"/>
      <c r="Y10" s="18"/>
      <c r="Z10" s="23"/>
      <c r="AA10" s="17" t="s">
        <v>38</v>
      </c>
      <c r="AB10" s="31">
        <v>0.0</v>
      </c>
      <c r="AC10" s="18"/>
      <c r="AD10" s="18"/>
      <c r="AE10" s="18"/>
      <c r="AF10" s="18"/>
      <c r="AG10" s="18"/>
      <c r="AH10" s="18"/>
      <c r="AI10" s="17"/>
      <c r="AJ10" s="17"/>
      <c r="AK10" s="18"/>
      <c r="AL10" s="18"/>
      <c r="AM10" s="18"/>
    </row>
    <row r="11">
      <c r="A11" s="13" t="s">
        <v>32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5"/>
      <c r="P11" s="14"/>
      <c r="Q11" s="14"/>
      <c r="R11" s="15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</row>
    <row r="12">
      <c r="A12" s="17">
        <v>12.0</v>
      </c>
      <c r="B12" s="17" t="s">
        <v>34</v>
      </c>
      <c r="C12" s="17" t="s">
        <v>28</v>
      </c>
      <c r="D12" s="17" t="s">
        <v>36</v>
      </c>
      <c r="E12" s="17" t="s">
        <v>63</v>
      </c>
      <c r="F12" s="17"/>
      <c r="G12" s="31">
        <v>0.0</v>
      </c>
      <c r="H12" s="17" t="s">
        <v>58</v>
      </c>
      <c r="I12" s="31">
        <v>0.0</v>
      </c>
      <c r="J12" s="17" t="s">
        <v>58</v>
      </c>
      <c r="K12" s="20">
        <f t="shared" ref="K12:K13" si="20">round(G12*1%,0)</f>
        <v>0</v>
      </c>
      <c r="L12" s="31">
        <f t="shared" ref="L12:L13" si="21">sum(AB12+AD12+AF12+AH12+AJ12+AL12)</f>
        <v>500</v>
      </c>
      <c r="M12" s="18">
        <f t="shared" ref="M12:M13" si="22">G12-K12-L12</f>
        <v>-500</v>
      </c>
      <c r="N12" s="18">
        <f t="shared" ref="N12:N13" si="23">round(O12*M12+I12,0)</f>
        <v>0</v>
      </c>
      <c r="O12" s="21">
        <v>0.0</v>
      </c>
      <c r="P12" s="18">
        <f t="shared" ref="P12:P13" si="24">round(R12*(M12-N12),0)</f>
        <v>-50</v>
      </c>
      <c r="Q12" s="18">
        <f t="shared" ref="Q12:Q13" si="25">round(R12*AD12,0)</f>
        <v>50</v>
      </c>
      <c r="R12" s="21">
        <v>0.1</v>
      </c>
      <c r="S12" s="17">
        <v>0.0</v>
      </c>
      <c r="T12" s="17">
        <v>0.0</v>
      </c>
      <c r="U12" s="31">
        <v>0.0</v>
      </c>
      <c r="V12" s="18">
        <f t="shared" ref="V12:V13" si="26">5*(T12-U12)</f>
        <v>0</v>
      </c>
      <c r="W12" s="17" t="s">
        <v>58</v>
      </c>
      <c r="X12" s="23"/>
      <c r="Y12" s="18"/>
      <c r="Z12" s="23"/>
      <c r="AA12" s="17" t="s">
        <v>38</v>
      </c>
      <c r="AB12" s="31">
        <v>0.0</v>
      </c>
      <c r="AC12" s="18"/>
      <c r="AD12" s="31">
        <v>500.0</v>
      </c>
      <c r="AE12" s="18"/>
      <c r="AF12" s="18"/>
      <c r="AG12" s="18"/>
      <c r="AH12" s="18"/>
      <c r="AI12" s="17"/>
      <c r="AJ12" s="17"/>
      <c r="AK12" s="18"/>
      <c r="AL12" s="18"/>
      <c r="AM12" s="18"/>
    </row>
    <row r="13">
      <c r="A13" s="17">
        <v>12.0</v>
      </c>
      <c r="B13" s="17" t="s">
        <v>54</v>
      </c>
      <c r="C13" s="17" t="s">
        <v>64</v>
      </c>
      <c r="D13" s="17" t="s">
        <v>65</v>
      </c>
      <c r="E13" s="17" t="s">
        <v>66</v>
      </c>
      <c r="F13" s="17"/>
      <c r="G13" s="31">
        <v>10000.0</v>
      </c>
      <c r="H13" s="17" t="s">
        <v>58</v>
      </c>
      <c r="I13" s="31"/>
      <c r="J13" s="17" t="s">
        <v>58</v>
      </c>
      <c r="K13" s="20">
        <f t="shared" si="20"/>
        <v>100</v>
      </c>
      <c r="L13" s="31">
        <f t="shared" si="21"/>
        <v>2000</v>
      </c>
      <c r="M13" s="18">
        <f t="shared" si="22"/>
        <v>7900</v>
      </c>
      <c r="N13" s="18">
        <f t="shared" si="23"/>
        <v>1106</v>
      </c>
      <c r="O13" s="21">
        <v>0.14</v>
      </c>
      <c r="P13" s="18">
        <f t="shared" si="24"/>
        <v>679</v>
      </c>
      <c r="Q13" s="18">
        <f t="shared" si="25"/>
        <v>100</v>
      </c>
      <c r="R13" s="21">
        <v>0.1</v>
      </c>
      <c r="S13" s="18">
        <f>round(M13-N13-P13-Q13,0)</f>
        <v>6015</v>
      </c>
      <c r="T13" s="18">
        <f>S13/5</f>
        <v>1203</v>
      </c>
      <c r="U13" s="31">
        <f>round(T13,-1)</f>
        <v>1200</v>
      </c>
      <c r="V13" s="18">
        <f t="shared" si="26"/>
        <v>15</v>
      </c>
      <c r="W13" s="18"/>
      <c r="X13" s="23"/>
      <c r="Y13" s="18"/>
      <c r="Z13" s="23"/>
      <c r="AA13" s="17" t="s">
        <v>38</v>
      </c>
      <c r="AB13" s="31">
        <v>1000.0</v>
      </c>
      <c r="AC13" s="18"/>
      <c r="AD13" s="31">
        <v>1000.0</v>
      </c>
      <c r="AE13" s="18"/>
      <c r="AF13" s="18"/>
      <c r="AG13" s="18"/>
      <c r="AH13" s="18"/>
      <c r="AI13" s="17"/>
      <c r="AJ13" s="17"/>
      <c r="AK13" s="18"/>
      <c r="AL13" s="18"/>
      <c r="AM13" s="18"/>
    </row>
    <row r="14">
      <c r="A14" s="16" t="s">
        <v>33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5"/>
      <c r="P14" s="14"/>
      <c r="Q14" s="14"/>
      <c r="R14" s="15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</row>
    <row r="15">
      <c r="A15" s="17">
        <v>2.0</v>
      </c>
      <c r="B15" s="17" t="s">
        <v>34</v>
      </c>
      <c r="C15" s="17" t="s">
        <v>35</v>
      </c>
      <c r="D15" s="17" t="s">
        <v>67</v>
      </c>
      <c r="E15" s="17"/>
      <c r="F15" s="17">
        <v>212.0</v>
      </c>
      <c r="G15" s="31">
        <v>24105.0</v>
      </c>
      <c r="H15" s="17" t="s">
        <v>37</v>
      </c>
      <c r="I15" s="31">
        <v>2237.0</v>
      </c>
      <c r="J15" s="17" t="s">
        <v>58</v>
      </c>
      <c r="K15" s="20">
        <f t="shared" ref="K15:K17" si="27">round(I15*1%,0)</f>
        <v>22</v>
      </c>
      <c r="L15" s="31">
        <f t="shared" ref="L15:L20" si="28">sum(AB15+AD15+AF15+AH15+AJ15+AL15)</f>
        <v>7000</v>
      </c>
      <c r="M15" s="18">
        <f t="shared" ref="M15:M20" si="29">G15-K15-L15</f>
        <v>17083</v>
      </c>
      <c r="N15" s="18">
        <f t="shared" ref="N15:N20" si="30">round(O15*M15+I15,0)</f>
        <v>4372</v>
      </c>
      <c r="O15" s="21">
        <v>0.125</v>
      </c>
      <c r="P15" s="18">
        <f t="shared" ref="P15:P20" si="31">round(R15*(M15-N15),0)</f>
        <v>0</v>
      </c>
      <c r="Q15" s="18">
        <f t="shared" ref="Q15:Q20" si="32">round(R15*AD15,0)</f>
        <v>0</v>
      </c>
      <c r="R15" s="21">
        <v>0.0</v>
      </c>
      <c r="S15" s="18">
        <f t="shared" ref="S15:S20" si="33">round(M15-N15-P15-Q15,0)</f>
        <v>12711</v>
      </c>
      <c r="T15" s="18">
        <f t="shared" ref="T15:T20" si="34">S15/5</f>
        <v>2542.2</v>
      </c>
      <c r="U15" s="31">
        <f t="shared" ref="U15:U20" si="35">round(T15,-1)</f>
        <v>2540</v>
      </c>
      <c r="V15" s="18">
        <f t="shared" ref="V15:V20" si="36">5*(T15-U15)</f>
        <v>11</v>
      </c>
      <c r="W15" s="17" t="s">
        <v>58</v>
      </c>
      <c r="X15" s="23"/>
      <c r="Y15" s="18"/>
      <c r="Z15" s="23"/>
      <c r="AA15" s="17" t="s">
        <v>68</v>
      </c>
      <c r="AB15" s="31">
        <v>2000.0</v>
      </c>
      <c r="AC15" s="18"/>
      <c r="AD15" s="31">
        <v>1500.0</v>
      </c>
      <c r="AE15" s="18"/>
      <c r="AF15" s="31">
        <v>1000.0</v>
      </c>
      <c r="AH15" s="17"/>
      <c r="AI15" s="17" t="s">
        <v>41</v>
      </c>
      <c r="AJ15" s="31">
        <v>2500.0</v>
      </c>
      <c r="AK15" s="18"/>
      <c r="AL15" s="18"/>
      <c r="AM15" s="18"/>
    </row>
    <row r="16">
      <c r="A16" s="17">
        <v>11.0</v>
      </c>
      <c r="B16" s="17" t="s">
        <v>34</v>
      </c>
      <c r="C16" s="17" t="s">
        <v>35</v>
      </c>
      <c r="D16" s="17" t="s">
        <v>69</v>
      </c>
      <c r="E16" s="17"/>
      <c r="F16" s="17">
        <v>224.0</v>
      </c>
      <c r="G16" s="31">
        <v>17740.0</v>
      </c>
      <c r="H16" s="17" t="s">
        <v>58</v>
      </c>
      <c r="I16" s="31">
        <v>1740.0</v>
      </c>
      <c r="J16" s="17" t="s">
        <v>58</v>
      </c>
      <c r="K16" s="20">
        <f t="shared" si="27"/>
        <v>17</v>
      </c>
      <c r="L16" s="31">
        <f t="shared" si="28"/>
        <v>2250</v>
      </c>
      <c r="M16" s="18">
        <f t="shared" si="29"/>
        <v>15473</v>
      </c>
      <c r="N16" s="18">
        <f t="shared" si="30"/>
        <v>2823</v>
      </c>
      <c r="O16" s="21">
        <v>0.07</v>
      </c>
      <c r="P16" s="18">
        <f t="shared" si="31"/>
        <v>0</v>
      </c>
      <c r="Q16" s="18">
        <f t="shared" si="32"/>
        <v>0</v>
      </c>
      <c r="R16" s="21">
        <v>0.0</v>
      </c>
      <c r="S16" s="18">
        <f t="shared" si="33"/>
        <v>12650</v>
      </c>
      <c r="T16" s="18">
        <f t="shared" si="34"/>
        <v>2530</v>
      </c>
      <c r="U16" s="31">
        <f t="shared" si="35"/>
        <v>2530</v>
      </c>
      <c r="V16" s="18">
        <f t="shared" si="36"/>
        <v>0</v>
      </c>
      <c r="W16" s="17" t="s">
        <v>58</v>
      </c>
      <c r="X16" s="23"/>
      <c r="Y16" s="18"/>
      <c r="Z16" s="23"/>
      <c r="AA16" s="17" t="s">
        <v>38</v>
      </c>
      <c r="AB16" s="31">
        <v>1000.0</v>
      </c>
      <c r="AC16" s="18"/>
      <c r="AD16" s="31">
        <v>1000.0</v>
      </c>
      <c r="AE16" s="18"/>
      <c r="AF16" s="31">
        <v>250.0</v>
      </c>
      <c r="AH16" s="17"/>
      <c r="AI16" s="17"/>
      <c r="AJ16" s="17"/>
      <c r="AK16" s="18"/>
      <c r="AL16" s="18"/>
      <c r="AM16" s="18"/>
    </row>
    <row r="17">
      <c r="A17" s="17">
        <v>23.0</v>
      </c>
      <c r="B17" s="17" t="s">
        <v>34</v>
      </c>
      <c r="C17" s="17" t="s">
        <v>70</v>
      </c>
      <c r="D17" s="17" t="s">
        <v>71</v>
      </c>
      <c r="E17" s="17"/>
      <c r="F17" s="17"/>
      <c r="G17" s="31">
        <v>3800.0</v>
      </c>
      <c r="H17" s="17" t="s">
        <v>37</v>
      </c>
      <c r="I17" s="31">
        <v>0.0</v>
      </c>
      <c r="J17" s="17" t="s">
        <v>37</v>
      </c>
      <c r="K17" s="20">
        <f t="shared" si="27"/>
        <v>0</v>
      </c>
      <c r="L17" s="31">
        <f t="shared" si="28"/>
        <v>650</v>
      </c>
      <c r="M17" s="18">
        <f t="shared" si="29"/>
        <v>3150</v>
      </c>
      <c r="N17" s="18">
        <f t="shared" si="30"/>
        <v>347</v>
      </c>
      <c r="O17" s="21">
        <v>0.11</v>
      </c>
      <c r="P17" s="18">
        <f t="shared" si="31"/>
        <v>0</v>
      </c>
      <c r="Q17" s="18">
        <f t="shared" si="32"/>
        <v>0</v>
      </c>
      <c r="R17" s="21">
        <v>0.0</v>
      </c>
      <c r="S17" s="18">
        <f t="shared" si="33"/>
        <v>2803</v>
      </c>
      <c r="T17" s="18">
        <f t="shared" si="34"/>
        <v>560.6</v>
      </c>
      <c r="U17" s="31">
        <f t="shared" si="35"/>
        <v>560</v>
      </c>
      <c r="V17" s="18">
        <f t="shared" si="36"/>
        <v>3</v>
      </c>
      <c r="W17" s="18"/>
      <c r="X17" s="23"/>
      <c r="Y17" s="18"/>
      <c r="Z17" s="23"/>
      <c r="AA17" s="17" t="s">
        <v>38</v>
      </c>
      <c r="AB17" s="31">
        <v>400.0</v>
      </c>
      <c r="AC17" s="18"/>
      <c r="AD17" s="31">
        <v>200.0</v>
      </c>
      <c r="AE17" s="18"/>
      <c r="AF17" s="31">
        <v>50.0</v>
      </c>
      <c r="AG17" s="17"/>
      <c r="AH17" s="17"/>
      <c r="AJ17" s="18"/>
      <c r="AK17" s="18"/>
      <c r="AL17" s="18"/>
      <c r="AM17" s="18"/>
    </row>
    <row r="18">
      <c r="A18" s="17">
        <v>24.0</v>
      </c>
      <c r="B18" s="17" t="s">
        <v>34</v>
      </c>
      <c r="C18" s="17" t="s">
        <v>35</v>
      </c>
      <c r="D18" s="17" t="s">
        <v>72</v>
      </c>
      <c r="E18" s="17"/>
      <c r="F18" s="17">
        <v>217.0</v>
      </c>
      <c r="G18" s="31">
        <v>4700.0</v>
      </c>
      <c r="H18" s="17" t="s">
        <v>37</v>
      </c>
      <c r="I18" s="31">
        <v>500.0</v>
      </c>
      <c r="J18" s="17" t="s">
        <v>37</v>
      </c>
      <c r="K18" s="20">
        <f>round(G18*1%,0)</f>
        <v>47</v>
      </c>
      <c r="L18" s="31">
        <f t="shared" si="28"/>
        <v>800</v>
      </c>
      <c r="M18" s="18">
        <f t="shared" si="29"/>
        <v>3853</v>
      </c>
      <c r="N18" s="18">
        <f t="shared" si="30"/>
        <v>1078</v>
      </c>
      <c r="O18" s="21">
        <v>0.15</v>
      </c>
      <c r="P18" s="18">
        <f t="shared" si="31"/>
        <v>278</v>
      </c>
      <c r="Q18" s="18">
        <f t="shared" si="32"/>
        <v>20</v>
      </c>
      <c r="R18" s="21">
        <v>0.1</v>
      </c>
      <c r="S18" s="18">
        <f t="shared" si="33"/>
        <v>2477</v>
      </c>
      <c r="T18" s="18">
        <f t="shared" si="34"/>
        <v>495.4</v>
      </c>
      <c r="U18" s="31">
        <f t="shared" si="35"/>
        <v>500</v>
      </c>
      <c r="V18" s="18">
        <f t="shared" si="36"/>
        <v>-23</v>
      </c>
      <c r="W18" s="17" t="s">
        <v>37</v>
      </c>
      <c r="X18" s="23"/>
      <c r="Y18" s="18"/>
      <c r="Z18" s="23"/>
      <c r="AA18" s="17" t="s">
        <v>68</v>
      </c>
      <c r="AB18" s="31">
        <v>400.0</v>
      </c>
      <c r="AC18" s="18"/>
      <c r="AD18" s="31">
        <v>200.0</v>
      </c>
      <c r="AE18" s="18"/>
      <c r="AF18" s="18"/>
      <c r="AG18" s="17" t="s">
        <v>41</v>
      </c>
      <c r="AH18" s="31">
        <v>200.0</v>
      </c>
      <c r="AJ18" s="18"/>
      <c r="AK18" s="18"/>
      <c r="AL18" s="18"/>
      <c r="AM18" s="18"/>
    </row>
    <row r="19">
      <c r="A19" s="17">
        <v>30.0</v>
      </c>
      <c r="B19" s="17" t="s">
        <v>34</v>
      </c>
      <c r="C19" s="17" t="s">
        <v>35</v>
      </c>
      <c r="D19" s="17" t="s">
        <v>73</v>
      </c>
      <c r="E19" s="18"/>
      <c r="F19" s="17">
        <v>227.0</v>
      </c>
      <c r="G19" s="31">
        <v>3150.0</v>
      </c>
      <c r="H19" s="17" t="s">
        <v>37</v>
      </c>
      <c r="I19" s="31">
        <v>0.0</v>
      </c>
      <c r="J19" s="17" t="s">
        <v>37</v>
      </c>
      <c r="K19" s="20">
        <f t="shared" ref="K19:K20" si="37">round(I19*1%,0)</f>
        <v>0</v>
      </c>
      <c r="L19" s="31">
        <f t="shared" si="28"/>
        <v>600</v>
      </c>
      <c r="M19" s="18">
        <f t="shared" si="29"/>
        <v>2550</v>
      </c>
      <c r="N19" s="18">
        <f t="shared" si="30"/>
        <v>26</v>
      </c>
      <c r="O19" s="21">
        <v>0.01</v>
      </c>
      <c r="P19" s="18">
        <f t="shared" si="31"/>
        <v>0</v>
      </c>
      <c r="Q19" s="18">
        <f t="shared" si="32"/>
        <v>0</v>
      </c>
      <c r="R19" s="21">
        <v>0.0</v>
      </c>
      <c r="S19" s="18">
        <f t="shared" si="33"/>
        <v>2524</v>
      </c>
      <c r="T19" s="18">
        <f t="shared" si="34"/>
        <v>504.8</v>
      </c>
      <c r="U19" s="31">
        <f t="shared" si="35"/>
        <v>500</v>
      </c>
      <c r="V19" s="18">
        <f t="shared" si="36"/>
        <v>24</v>
      </c>
      <c r="W19" s="17" t="s">
        <v>37</v>
      </c>
      <c r="X19" s="23"/>
      <c r="Y19" s="18"/>
      <c r="Z19" s="23"/>
      <c r="AA19" s="17" t="s">
        <v>68</v>
      </c>
      <c r="AB19" s="31">
        <v>400.0</v>
      </c>
      <c r="AC19" s="18"/>
      <c r="AD19" s="31">
        <v>200.0</v>
      </c>
      <c r="AE19" s="18"/>
      <c r="AF19" s="18"/>
      <c r="AG19" s="18"/>
      <c r="AH19" s="17"/>
      <c r="AI19" s="18"/>
      <c r="AJ19" s="18"/>
      <c r="AK19" s="18"/>
      <c r="AL19" s="18"/>
      <c r="AM19" s="18"/>
    </row>
    <row r="20">
      <c r="A20" s="17">
        <v>31.0</v>
      </c>
      <c r="B20" s="17" t="s">
        <v>34</v>
      </c>
      <c r="C20" s="17" t="s">
        <v>35</v>
      </c>
      <c r="D20" s="17" t="s">
        <v>74</v>
      </c>
      <c r="E20" s="18"/>
      <c r="F20" s="17">
        <v>189.0</v>
      </c>
      <c r="G20" s="31">
        <v>4300.0</v>
      </c>
      <c r="H20" s="17" t="s">
        <v>37</v>
      </c>
      <c r="I20" s="31">
        <v>0.0</v>
      </c>
      <c r="J20" s="17" t="s">
        <v>37</v>
      </c>
      <c r="K20" s="20">
        <f t="shared" si="37"/>
        <v>0</v>
      </c>
      <c r="L20" s="31">
        <f t="shared" si="28"/>
        <v>1450</v>
      </c>
      <c r="M20" s="18">
        <f t="shared" si="29"/>
        <v>2850</v>
      </c>
      <c r="N20" s="18">
        <f t="shared" si="30"/>
        <v>342</v>
      </c>
      <c r="O20" s="21">
        <v>0.12</v>
      </c>
      <c r="P20" s="18">
        <f t="shared" si="31"/>
        <v>0</v>
      </c>
      <c r="Q20" s="18">
        <f t="shared" si="32"/>
        <v>0</v>
      </c>
      <c r="R20" s="21">
        <v>0.0</v>
      </c>
      <c r="S20" s="18">
        <f t="shared" si="33"/>
        <v>2508</v>
      </c>
      <c r="T20" s="18">
        <f t="shared" si="34"/>
        <v>501.6</v>
      </c>
      <c r="U20" s="31">
        <f t="shared" si="35"/>
        <v>500</v>
      </c>
      <c r="V20" s="18">
        <f t="shared" si="36"/>
        <v>8</v>
      </c>
      <c r="W20" s="17" t="s">
        <v>37</v>
      </c>
      <c r="X20" s="23"/>
      <c r="Y20" s="18"/>
      <c r="Z20" s="23"/>
      <c r="AA20" s="17" t="s">
        <v>68</v>
      </c>
      <c r="AB20" s="31">
        <v>550.0</v>
      </c>
      <c r="AC20" s="18"/>
      <c r="AD20" s="31">
        <v>300.0</v>
      </c>
      <c r="AE20" s="18"/>
      <c r="AF20" s="31">
        <v>100.0</v>
      </c>
      <c r="AG20" s="17" t="s">
        <v>41</v>
      </c>
      <c r="AH20" s="31">
        <v>500.0</v>
      </c>
      <c r="AI20" s="18"/>
      <c r="AJ20" s="18"/>
      <c r="AK20" s="18"/>
      <c r="AL20" s="18"/>
      <c r="AM20" s="18"/>
    </row>
    <row r="21">
      <c r="A21" s="16" t="s">
        <v>39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5"/>
      <c r="P21" s="14"/>
      <c r="Q21" s="14"/>
      <c r="R21" s="15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</row>
    <row r="22">
      <c r="A22" s="17">
        <v>8.0</v>
      </c>
      <c r="B22" s="17" t="s">
        <v>54</v>
      </c>
      <c r="C22" s="17" t="s">
        <v>55</v>
      </c>
      <c r="D22" s="17" t="s">
        <v>75</v>
      </c>
      <c r="E22" s="18"/>
      <c r="F22" s="17"/>
      <c r="G22" s="31">
        <v>10000.0</v>
      </c>
      <c r="H22" s="17" t="s">
        <v>58</v>
      </c>
      <c r="I22" s="31">
        <v>0.0</v>
      </c>
      <c r="J22" s="17" t="s">
        <v>58</v>
      </c>
      <c r="K22" s="20">
        <f>round(G22*1%,0)</f>
        <v>100</v>
      </c>
      <c r="L22" s="31">
        <f t="shared" ref="L22:L27" si="38">sum(AB22+AD22+AF22+AH22+AJ22+AL22)</f>
        <v>5900</v>
      </c>
      <c r="M22" s="18">
        <f t="shared" ref="M22:M27" si="39">G22-K22-L22</f>
        <v>4000</v>
      </c>
      <c r="N22" s="18">
        <f t="shared" ref="N22:N27" si="40">round(O22*M22+I22,0)</f>
        <v>-40</v>
      </c>
      <c r="O22" s="21">
        <v>-0.01</v>
      </c>
      <c r="P22" s="18">
        <f t="shared" ref="P22:P27" si="41">round(R22*(M22-N22),0)</f>
        <v>404</v>
      </c>
      <c r="Q22" s="18">
        <f t="shared" ref="Q22:Q27" si="42">round(R22*AD22,0)</f>
        <v>150</v>
      </c>
      <c r="R22" s="21">
        <v>0.1</v>
      </c>
      <c r="S22" s="18">
        <f t="shared" ref="S22:S27" si="43">round(M22-N22-P22-Q22,0)</f>
        <v>3486</v>
      </c>
      <c r="T22" s="18">
        <f t="shared" ref="T22:T27" si="44">S22/5</f>
        <v>697.2</v>
      </c>
      <c r="U22" s="31">
        <f t="shared" ref="U22:U27" si="45">round(T22,-1)</f>
        <v>700</v>
      </c>
      <c r="V22" s="18">
        <f t="shared" ref="V22:V27" si="46">5*(T22-U22)</f>
        <v>-14</v>
      </c>
      <c r="W22" s="17" t="s">
        <v>58</v>
      </c>
      <c r="X22" s="23"/>
      <c r="Y22" s="18"/>
      <c r="Z22" s="23"/>
      <c r="AA22" s="17" t="s">
        <v>68</v>
      </c>
      <c r="AB22" s="31">
        <v>2000.0</v>
      </c>
      <c r="AC22" s="18"/>
      <c r="AD22" s="31">
        <v>1500.0</v>
      </c>
      <c r="AE22" s="18"/>
      <c r="AF22" s="17"/>
      <c r="AG22" s="17"/>
      <c r="AH22" s="17"/>
      <c r="AI22" s="18"/>
      <c r="AJ22" s="17"/>
      <c r="AK22" s="17" t="s">
        <v>76</v>
      </c>
      <c r="AL22" s="31">
        <v>2400.0</v>
      </c>
      <c r="AM22" s="18"/>
    </row>
    <row r="23">
      <c r="A23" s="17">
        <v>14.0</v>
      </c>
      <c r="B23" s="17" t="s">
        <v>34</v>
      </c>
      <c r="C23" s="17" t="s">
        <v>35</v>
      </c>
      <c r="D23" s="17" t="s">
        <v>77</v>
      </c>
      <c r="E23" s="18"/>
      <c r="F23" s="17">
        <v>218.0</v>
      </c>
      <c r="G23" s="31">
        <v>18065.0</v>
      </c>
      <c r="H23" s="17" t="s">
        <v>58</v>
      </c>
      <c r="I23" s="31">
        <v>1715.0</v>
      </c>
      <c r="J23" s="17" t="s">
        <v>58</v>
      </c>
      <c r="K23" s="20">
        <f>round(I23*1%,0)</f>
        <v>17</v>
      </c>
      <c r="L23" s="31">
        <f t="shared" si="38"/>
        <v>2500</v>
      </c>
      <c r="M23" s="18">
        <f t="shared" si="39"/>
        <v>15548</v>
      </c>
      <c r="N23" s="18">
        <f t="shared" si="40"/>
        <v>3037</v>
      </c>
      <c r="O23" s="21">
        <v>0.085</v>
      </c>
      <c r="P23" s="18">
        <f t="shared" si="41"/>
        <v>0</v>
      </c>
      <c r="Q23" s="18">
        <f t="shared" si="42"/>
        <v>0</v>
      </c>
      <c r="R23" s="21">
        <v>0.0</v>
      </c>
      <c r="S23" s="18">
        <f t="shared" si="43"/>
        <v>12511</v>
      </c>
      <c r="T23" s="18">
        <f t="shared" si="44"/>
        <v>2502.2</v>
      </c>
      <c r="U23" s="31">
        <f t="shared" si="45"/>
        <v>2500</v>
      </c>
      <c r="V23" s="18">
        <f t="shared" si="46"/>
        <v>11</v>
      </c>
      <c r="W23" s="17" t="s">
        <v>58</v>
      </c>
      <c r="X23" s="23"/>
      <c r="Y23" s="18"/>
      <c r="Z23" s="23"/>
      <c r="AA23" s="17" t="s">
        <v>38</v>
      </c>
      <c r="AB23" s="31">
        <v>1000.0</v>
      </c>
      <c r="AC23" s="18"/>
      <c r="AD23" s="31">
        <v>1500.0</v>
      </c>
      <c r="AE23" s="18"/>
      <c r="AF23" s="18"/>
      <c r="AG23" s="18"/>
      <c r="AH23" s="17"/>
      <c r="AI23" s="18"/>
      <c r="AJ23" s="17"/>
      <c r="AK23" s="18"/>
      <c r="AL23" s="18"/>
      <c r="AM23" s="18"/>
    </row>
    <row r="24">
      <c r="A24" s="17">
        <v>17.0</v>
      </c>
      <c r="B24" s="17" t="s">
        <v>34</v>
      </c>
      <c r="C24" s="17" t="s">
        <v>78</v>
      </c>
      <c r="D24" s="17" t="s">
        <v>79</v>
      </c>
      <c r="E24" s="18"/>
      <c r="F24" s="17"/>
      <c r="G24" s="31">
        <v>14912.0</v>
      </c>
      <c r="H24" s="17" t="s">
        <v>58</v>
      </c>
      <c r="I24" s="31">
        <v>4312.0</v>
      </c>
      <c r="J24" s="17" t="s">
        <v>58</v>
      </c>
      <c r="K24" s="20">
        <f t="shared" ref="K24:K27" si="47">round(G24*1%,0)</f>
        <v>149</v>
      </c>
      <c r="L24" s="31">
        <f t="shared" si="38"/>
        <v>2000</v>
      </c>
      <c r="M24" s="18">
        <f t="shared" si="39"/>
        <v>12763</v>
      </c>
      <c r="N24" s="18">
        <f t="shared" si="40"/>
        <v>4312</v>
      </c>
      <c r="O24" s="21">
        <v>0.0</v>
      </c>
      <c r="P24" s="18">
        <f t="shared" si="41"/>
        <v>845</v>
      </c>
      <c r="Q24" s="18">
        <f t="shared" si="42"/>
        <v>100</v>
      </c>
      <c r="R24" s="21">
        <v>0.1</v>
      </c>
      <c r="S24" s="18">
        <f t="shared" si="43"/>
        <v>7506</v>
      </c>
      <c r="T24" s="18">
        <f t="shared" si="44"/>
        <v>1501.2</v>
      </c>
      <c r="U24" s="31">
        <f t="shared" si="45"/>
        <v>1500</v>
      </c>
      <c r="V24" s="18">
        <f t="shared" si="46"/>
        <v>6</v>
      </c>
      <c r="W24" s="17" t="s">
        <v>58</v>
      </c>
      <c r="X24" s="23"/>
      <c r="Y24" s="18"/>
      <c r="Z24" s="23"/>
      <c r="AA24" s="17" t="s">
        <v>38</v>
      </c>
      <c r="AB24" s="31">
        <v>1000.0</v>
      </c>
      <c r="AC24" s="18"/>
      <c r="AD24" s="31">
        <v>1000.0</v>
      </c>
      <c r="AE24" s="18"/>
      <c r="AF24" s="18"/>
      <c r="AG24" s="18"/>
      <c r="AH24" s="17"/>
      <c r="AI24" s="18"/>
      <c r="AJ24" s="17"/>
      <c r="AK24" s="18"/>
      <c r="AL24" s="18"/>
      <c r="AM24" s="18"/>
    </row>
    <row r="25">
      <c r="A25" s="17">
        <v>21.0</v>
      </c>
      <c r="B25" s="17" t="s">
        <v>54</v>
      </c>
      <c r="C25" s="17" t="s">
        <v>64</v>
      </c>
      <c r="D25" s="17" t="s">
        <v>65</v>
      </c>
      <c r="E25" s="17"/>
      <c r="F25" s="17"/>
      <c r="G25" s="31">
        <v>10000.0</v>
      </c>
      <c r="H25" s="17" t="s">
        <v>58</v>
      </c>
      <c r="I25" s="31">
        <v>0.0</v>
      </c>
      <c r="J25" s="17" t="s">
        <v>58</v>
      </c>
      <c r="K25" s="20">
        <f t="shared" si="47"/>
        <v>100</v>
      </c>
      <c r="L25" s="31">
        <f t="shared" si="38"/>
        <v>2000</v>
      </c>
      <c r="M25" s="18">
        <f t="shared" si="39"/>
        <v>7900</v>
      </c>
      <c r="N25" s="18">
        <f t="shared" si="40"/>
        <v>1106</v>
      </c>
      <c r="O25" s="21">
        <v>0.14</v>
      </c>
      <c r="P25" s="18">
        <f t="shared" si="41"/>
        <v>679</v>
      </c>
      <c r="Q25" s="18">
        <f t="shared" si="42"/>
        <v>100</v>
      </c>
      <c r="R25" s="21">
        <v>0.1</v>
      </c>
      <c r="S25" s="18">
        <f t="shared" si="43"/>
        <v>6015</v>
      </c>
      <c r="T25" s="18">
        <f t="shared" si="44"/>
        <v>1203</v>
      </c>
      <c r="U25" s="31">
        <f t="shared" si="45"/>
        <v>1200</v>
      </c>
      <c r="V25" s="18">
        <f t="shared" si="46"/>
        <v>15</v>
      </c>
      <c r="W25" s="17" t="s">
        <v>58</v>
      </c>
      <c r="X25" s="23"/>
      <c r="Y25" s="18"/>
      <c r="Z25" s="23"/>
      <c r="AA25" s="17" t="s">
        <v>38</v>
      </c>
      <c r="AB25" s="31">
        <v>1000.0</v>
      </c>
      <c r="AC25" s="18"/>
      <c r="AD25" s="31">
        <v>1000.0</v>
      </c>
      <c r="AE25" s="18"/>
      <c r="AF25" s="18"/>
      <c r="AG25" s="18"/>
      <c r="AH25" s="17"/>
      <c r="AI25" s="18"/>
      <c r="AJ25" s="17"/>
      <c r="AK25" s="18"/>
      <c r="AL25" s="18"/>
      <c r="AM25" s="18"/>
    </row>
    <row r="26">
      <c r="A26" s="17">
        <v>22.0</v>
      </c>
      <c r="B26" s="17" t="s">
        <v>54</v>
      </c>
      <c r="C26" s="17" t="s">
        <v>64</v>
      </c>
      <c r="D26" s="17" t="s">
        <v>80</v>
      </c>
      <c r="E26" s="17" t="s">
        <v>81</v>
      </c>
      <c r="F26" s="17"/>
      <c r="G26" s="31">
        <v>6000.0</v>
      </c>
      <c r="H26" s="17" t="s">
        <v>58</v>
      </c>
      <c r="I26" s="31">
        <v>0.0</v>
      </c>
      <c r="J26" s="17" t="s">
        <v>58</v>
      </c>
      <c r="K26" s="20">
        <f t="shared" si="47"/>
        <v>60</v>
      </c>
      <c r="L26" s="31">
        <f t="shared" si="38"/>
        <v>2750</v>
      </c>
      <c r="M26" s="18">
        <f t="shared" si="39"/>
        <v>3190</v>
      </c>
      <c r="N26" s="18">
        <f t="shared" si="40"/>
        <v>191</v>
      </c>
      <c r="O26" s="21">
        <v>0.06</v>
      </c>
      <c r="P26" s="18">
        <f t="shared" si="41"/>
        <v>0</v>
      </c>
      <c r="Q26" s="18">
        <f t="shared" si="42"/>
        <v>0</v>
      </c>
      <c r="R26" s="21">
        <v>0.0</v>
      </c>
      <c r="S26" s="18">
        <f t="shared" si="43"/>
        <v>2999</v>
      </c>
      <c r="T26" s="18">
        <f t="shared" si="44"/>
        <v>599.8</v>
      </c>
      <c r="U26" s="31">
        <f t="shared" si="45"/>
        <v>600</v>
      </c>
      <c r="V26" s="18">
        <f t="shared" si="46"/>
        <v>-1</v>
      </c>
      <c r="W26" s="17" t="s">
        <v>58</v>
      </c>
      <c r="X26" s="23"/>
      <c r="Y26" s="18"/>
      <c r="Z26" s="23"/>
      <c r="AA26" s="17" t="s">
        <v>38</v>
      </c>
      <c r="AB26" s="31">
        <v>1000.0</v>
      </c>
      <c r="AC26" s="18"/>
      <c r="AD26" s="31">
        <v>1750.0</v>
      </c>
      <c r="AE26" s="18"/>
      <c r="AF26" s="18"/>
      <c r="AG26" s="18"/>
      <c r="AH26" s="17"/>
      <c r="AI26" s="18"/>
      <c r="AJ26" s="17"/>
      <c r="AK26" s="18"/>
      <c r="AL26" s="18"/>
      <c r="AM26" s="18"/>
    </row>
    <row r="27">
      <c r="A27" s="17">
        <v>23.0</v>
      </c>
      <c r="B27" s="17" t="s">
        <v>34</v>
      </c>
      <c r="C27" s="17" t="s">
        <v>78</v>
      </c>
      <c r="D27" s="17" t="s">
        <v>82</v>
      </c>
      <c r="E27" s="17"/>
      <c r="F27" s="17"/>
      <c r="G27" s="31">
        <v>19349.0</v>
      </c>
      <c r="H27" s="17" t="s">
        <v>58</v>
      </c>
      <c r="I27" s="31">
        <v>6719.0</v>
      </c>
      <c r="J27" s="17" t="s">
        <v>58</v>
      </c>
      <c r="K27" s="20">
        <f t="shared" si="47"/>
        <v>193</v>
      </c>
      <c r="L27" s="31">
        <f t="shared" si="38"/>
        <v>4500</v>
      </c>
      <c r="M27" s="18">
        <f t="shared" si="39"/>
        <v>14656</v>
      </c>
      <c r="N27" s="18">
        <f t="shared" si="40"/>
        <v>563</v>
      </c>
      <c r="O27" s="21">
        <v>-0.42</v>
      </c>
      <c r="P27" s="18">
        <f t="shared" si="41"/>
        <v>1409</v>
      </c>
      <c r="Q27" s="18">
        <f t="shared" si="42"/>
        <v>200</v>
      </c>
      <c r="R27" s="21">
        <v>0.1</v>
      </c>
      <c r="S27" s="18">
        <f t="shared" si="43"/>
        <v>12484</v>
      </c>
      <c r="T27" s="18">
        <f t="shared" si="44"/>
        <v>2496.8</v>
      </c>
      <c r="U27" s="31">
        <f t="shared" si="45"/>
        <v>2500</v>
      </c>
      <c r="V27" s="18">
        <f t="shared" si="46"/>
        <v>-16</v>
      </c>
      <c r="W27" s="17" t="s">
        <v>58</v>
      </c>
      <c r="X27" s="23"/>
      <c r="Y27" s="18"/>
      <c r="Z27" s="23"/>
      <c r="AA27" s="17" t="s">
        <v>38</v>
      </c>
      <c r="AB27" s="31">
        <v>1000.0</v>
      </c>
      <c r="AC27" s="18"/>
      <c r="AD27" s="31">
        <v>2000.0</v>
      </c>
      <c r="AE27" s="18"/>
      <c r="AF27" s="31">
        <v>1500.0</v>
      </c>
      <c r="AG27" s="18"/>
      <c r="AH27" s="17"/>
      <c r="AI27" s="18"/>
      <c r="AJ27" s="17"/>
      <c r="AK27" s="18"/>
      <c r="AL27" s="18"/>
      <c r="AM27" s="18"/>
    </row>
    <row r="28">
      <c r="A28" s="24" t="s">
        <v>42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6"/>
      <c r="P28" s="25"/>
      <c r="Q28" s="25"/>
      <c r="R28" s="26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</row>
    <row r="29">
      <c r="A29" s="17">
        <v>5.0</v>
      </c>
      <c r="B29" s="17" t="s">
        <v>34</v>
      </c>
      <c r="C29" s="17" t="s">
        <v>78</v>
      </c>
      <c r="D29" s="17" t="s">
        <v>83</v>
      </c>
      <c r="E29" s="17" t="s">
        <v>84</v>
      </c>
      <c r="F29" s="17"/>
      <c r="G29" s="31">
        <v>11392.0</v>
      </c>
      <c r="H29" s="17" t="s">
        <v>58</v>
      </c>
      <c r="I29" s="31">
        <v>1257.0</v>
      </c>
      <c r="J29" s="17" t="s">
        <v>58</v>
      </c>
      <c r="K29" s="20">
        <f>round(G29*1%,0)</f>
        <v>114</v>
      </c>
      <c r="L29" s="31">
        <f t="shared" ref="L29:L30" si="48">sum(AB29+AD29+AF29+AH29+AJ29+AL29)</f>
        <v>2000</v>
      </c>
      <c r="M29" s="18">
        <f t="shared" ref="M29:M30" si="49">G29-K29-L29</f>
        <v>9278</v>
      </c>
      <c r="N29" s="18">
        <f t="shared" ref="N29:N30" si="50">round(O29*M29+I29,0)</f>
        <v>2231</v>
      </c>
      <c r="O29" s="21">
        <v>0.105</v>
      </c>
      <c r="P29" s="18">
        <f t="shared" ref="P29:P30" si="51">round(R29*(M29-N29),0)</f>
        <v>705</v>
      </c>
      <c r="Q29" s="18">
        <f t="shared" ref="Q29:Q30" si="52">round(R29*AD29,0)</f>
        <v>100</v>
      </c>
      <c r="R29" s="21">
        <v>0.1</v>
      </c>
      <c r="S29" s="18">
        <f t="shared" ref="S29:S30" si="53">round(M29-N29-P29-Q29,0)</f>
        <v>6242</v>
      </c>
      <c r="T29" s="18">
        <f t="shared" ref="T29:T30" si="54">S29/5</f>
        <v>1248.4</v>
      </c>
      <c r="U29" s="31">
        <f t="shared" ref="U29:U30" si="55">round(T29,-1)</f>
        <v>1250</v>
      </c>
      <c r="V29" s="18">
        <f t="shared" ref="V29:V30" si="56">5*(T29-U29)</f>
        <v>-8</v>
      </c>
      <c r="W29" s="17" t="s">
        <v>58</v>
      </c>
      <c r="X29" s="23"/>
      <c r="Y29" s="18"/>
      <c r="Z29" s="23"/>
      <c r="AA29" s="17" t="s">
        <v>38</v>
      </c>
      <c r="AB29" s="31">
        <v>1000.0</v>
      </c>
      <c r="AC29" s="18"/>
      <c r="AD29" s="31">
        <v>1000.0</v>
      </c>
      <c r="AE29" s="18"/>
      <c r="AF29" s="17"/>
      <c r="AG29" s="17"/>
      <c r="AH29" s="17"/>
      <c r="AI29" s="17"/>
      <c r="AJ29" s="17"/>
      <c r="AK29" s="17"/>
      <c r="AL29" s="17"/>
      <c r="AM29" s="18"/>
    </row>
    <row r="30">
      <c r="A30" s="17">
        <v>6.0</v>
      </c>
      <c r="B30" s="17" t="s">
        <v>34</v>
      </c>
      <c r="C30" s="17" t="s">
        <v>35</v>
      </c>
      <c r="D30" s="17" t="s">
        <v>69</v>
      </c>
      <c r="E30" s="18"/>
      <c r="F30" s="17">
        <v>226.0</v>
      </c>
      <c r="G30" s="31">
        <v>4350.0</v>
      </c>
      <c r="H30" s="17" t="s">
        <v>37</v>
      </c>
      <c r="I30" s="31">
        <v>0.0</v>
      </c>
      <c r="J30" s="17" t="s">
        <v>37</v>
      </c>
      <c r="K30" s="20">
        <f>round(I30*1%,0)</f>
        <v>0</v>
      </c>
      <c r="L30" s="31">
        <f t="shared" si="48"/>
        <v>1250</v>
      </c>
      <c r="M30" s="18">
        <f t="shared" si="49"/>
        <v>3100</v>
      </c>
      <c r="N30" s="18">
        <f t="shared" si="50"/>
        <v>589</v>
      </c>
      <c r="O30" s="21">
        <v>0.19</v>
      </c>
      <c r="P30" s="18">
        <f t="shared" si="51"/>
        <v>0</v>
      </c>
      <c r="Q30" s="18">
        <f t="shared" si="52"/>
        <v>0</v>
      </c>
      <c r="R30" s="21">
        <v>0.0</v>
      </c>
      <c r="S30" s="18">
        <f t="shared" si="53"/>
        <v>2511</v>
      </c>
      <c r="T30" s="18">
        <f t="shared" si="54"/>
        <v>502.2</v>
      </c>
      <c r="U30" s="31">
        <f t="shared" si="55"/>
        <v>500</v>
      </c>
      <c r="V30" s="18">
        <f t="shared" si="56"/>
        <v>11</v>
      </c>
      <c r="W30" s="17" t="s">
        <v>37</v>
      </c>
      <c r="X30" s="23"/>
      <c r="Y30" s="18"/>
      <c r="Z30" s="23"/>
      <c r="AA30" s="17" t="s">
        <v>68</v>
      </c>
      <c r="AB30" s="31">
        <v>400.0</v>
      </c>
      <c r="AC30" s="18"/>
      <c r="AD30" s="31">
        <v>200.0</v>
      </c>
      <c r="AE30" s="18"/>
      <c r="AF30" s="31">
        <v>50.0</v>
      </c>
      <c r="AG30" s="17" t="s">
        <v>41</v>
      </c>
      <c r="AH30" s="31">
        <v>500.0</v>
      </c>
      <c r="AI30" s="17"/>
      <c r="AJ30" s="17"/>
      <c r="AK30" s="17" t="s">
        <v>85</v>
      </c>
      <c r="AL30" s="31">
        <v>100.0</v>
      </c>
      <c r="AM30" s="18"/>
    </row>
    <row r="31">
      <c r="A31" s="27" t="s">
        <v>44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  <c r="P31" s="14"/>
      <c r="Q31" s="14"/>
      <c r="R31" s="15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</row>
    <row r="32">
      <c r="A32" s="17">
        <v>16.0</v>
      </c>
      <c r="B32" s="17" t="s">
        <v>34</v>
      </c>
      <c r="C32" s="17" t="s">
        <v>35</v>
      </c>
      <c r="D32" s="17" t="s">
        <v>86</v>
      </c>
      <c r="E32" s="18"/>
      <c r="F32" s="17">
        <v>207.0</v>
      </c>
      <c r="G32" s="31">
        <v>27771.0</v>
      </c>
      <c r="H32" s="17" t="s">
        <v>58</v>
      </c>
      <c r="I32" s="31">
        <v>2585.0</v>
      </c>
      <c r="J32" s="17" t="s">
        <v>58</v>
      </c>
      <c r="K32" s="20">
        <f t="shared" ref="K32:K33" si="57">round(G32*1%,0)</f>
        <v>278</v>
      </c>
      <c r="L32" s="31">
        <f t="shared" ref="L32:L33" si="58">sum(AB32+AD32+AF32+AH32+AJ32+AL32)</f>
        <v>8750</v>
      </c>
      <c r="M32" s="18">
        <f t="shared" ref="M32:M33" si="59">G32-K32-L32</f>
        <v>18743</v>
      </c>
      <c r="N32" s="18">
        <f t="shared" ref="N32:N33" si="60">round(O32*M32+I32,0)</f>
        <v>4647</v>
      </c>
      <c r="O32" s="21">
        <v>0.11</v>
      </c>
      <c r="P32" s="18">
        <f t="shared" ref="P32:P33" si="61">round(R32*(M32-N32),0)</f>
        <v>1410</v>
      </c>
      <c r="Q32" s="18">
        <f t="shared" ref="Q32:Q33" si="62">round(R32*AD32,0)</f>
        <v>200</v>
      </c>
      <c r="R32" s="21">
        <v>0.1</v>
      </c>
      <c r="S32" s="18">
        <f t="shared" ref="S32:S33" si="63">round(M32-N32-P32-Q32,0)</f>
        <v>12486</v>
      </c>
      <c r="T32" s="18">
        <f t="shared" ref="T32:T33" si="64">S32/5</f>
        <v>2497.2</v>
      </c>
      <c r="U32" s="31">
        <f t="shared" ref="U32:U33" si="65">round(T32,-1)</f>
        <v>2500</v>
      </c>
      <c r="V32" s="18">
        <f t="shared" ref="V32:V33" si="66">5*(T32-U32)</f>
        <v>-14</v>
      </c>
      <c r="W32" s="17" t="s">
        <v>58</v>
      </c>
      <c r="X32" s="23"/>
      <c r="Y32" s="18"/>
      <c r="Z32" s="23"/>
      <c r="AA32" s="17" t="s">
        <v>68</v>
      </c>
      <c r="AB32" s="31">
        <v>2000.0</v>
      </c>
      <c r="AC32" s="18"/>
      <c r="AD32" s="31">
        <v>2000.0</v>
      </c>
      <c r="AE32" s="18"/>
      <c r="AF32" s="17"/>
      <c r="AG32" s="17" t="s">
        <v>41</v>
      </c>
      <c r="AH32" s="31">
        <v>2075.0</v>
      </c>
      <c r="AI32" s="17" t="s">
        <v>41</v>
      </c>
      <c r="AJ32" s="31">
        <v>2075.0</v>
      </c>
      <c r="AK32" s="17" t="s">
        <v>85</v>
      </c>
      <c r="AL32" s="31">
        <v>600.0</v>
      </c>
      <c r="AM32" s="18"/>
    </row>
    <row r="33">
      <c r="A33" s="17">
        <v>30.0</v>
      </c>
      <c r="B33" s="17" t="s">
        <v>34</v>
      </c>
      <c r="C33" s="17" t="s">
        <v>35</v>
      </c>
      <c r="D33" s="17" t="s">
        <v>87</v>
      </c>
      <c r="E33" s="18"/>
      <c r="F33" s="17">
        <v>225.0</v>
      </c>
      <c r="G33" s="31">
        <v>3350.0</v>
      </c>
      <c r="H33" s="17" t="s">
        <v>37</v>
      </c>
      <c r="I33" s="31">
        <v>350.0</v>
      </c>
      <c r="J33" s="17" t="s">
        <v>37</v>
      </c>
      <c r="K33" s="20">
        <f t="shared" si="57"/>
        <v>34</v>
      </c>
      <c r="L33" s="31">
        <f t="shared" si="58"/>
        <v>400</v>
      </c>
      <c r="M33" s="18">
        <f t="shared" si="59"/>
        <v>2916</v>
      </c>
      <c r="N33" s="18">
        <f t="shared" si="60"/>
        <v>408</v>
      </c>
      <c r="O33" s="21">
        <v>0.02</v>
      </c>
      <c r="P33" s="18">
        <f t="shared" si="61"/>
        <v>0</v>
      </c>
      <c r="Q33" s="18">
        <f t="shared" si="62"/>
        <v>0</v>
      </c>
      <c r="R33" s="21">
        <v>0.0</v>
      </c>
      <c r="S33" s="18">
        <f t="shared" si="63"/>
        <v>2508</v>
      </c>
      <c r="T33" s="18">
        <f t="shared" si="64"/>
        <v>501.6</v>
      </c>
      <c r="U33" s="31">
        <f t="shared" si="65"/>
        <v>500</v>
      </c>
      <c r="V33" s="18">
        <f t="shared" si="66"/>
        <v>8</v>
      </c>
      <c r="W33" s="17" t="s">
        <v>37</v>
      </c>
      <c r="X33" s="23"/>
      <c r="Y33" s="18"/>
      <c r="Z33" s="23"/>
      <c r="AA33" s="17" t="s">
        <v>38</v>
      </c>
      <c r="AB33" s="31">
        <v>200.0</v>
      </c>
      <c r="AC33" s="18"/>
      <c r="AD33" s="31">
        <v>200.0</v>
      </c>
      <c r="AE33" s="18"/>
      <c r="AF33" s="17"/>
      <c r="AG33" s="17"/>
      <c r="AH33" s="17"/>
      <c r="AI33" s="17"/>
      <c r="AJ33" s="17"/>
      <c r="AK33" s="18"/>
      <c r="AL33" s="18"/>
      <c r="AM33" s="18"/>
    </row>
    <row r="34">
      <c r="A34" s="27" t="s">
        <v>47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5"/>
      <c r="P34" s="14"/>
      <c r="Q34" s="14"/>
      <c r="R34" s="15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</row>
    <row r="35">
      <c r="A35" s="17">
        <v>6.0</v>
      </c>
      <c r="B35" s="17" t="s">
        <v>34</v>
      </c>
      <c r="C35" s="17" t="s">
        <v>35</v>
      </c>
      <c r="D35" s="17" t="s">
        <v>88</v>
      </c>
      <c r="E35" s="17"/>
      <c r="F35" s="17">
        <v>237.0</v>
      </c>
      <c r="G35" s="31">
        <v>16250.0</v>
      </c>
      <c r="H35" s="17" t="s">
        <v>58</v>
      </c>
      <c r="I35" s="31">
        <v>1750.0</v>
      </c>
      <c r="J35" s="17" t="s">
        <v>58</v>
      </c>
      <c r="K35" s="20">
        <f>round(I35*1%,0)</f>
        <v>18</v>
      </c>
      <c r="L35" s="31">
        <f t="shared" ref="L35:L39" si="67">sum(AB35+AD35+AF35+AH35+AJ35+AL35)</f>
        <v>4950</v>
      </c>
      <c r="M35" s="18">
        <f t="shared" ref="M35:M39" si="68">G35-K35-L35</f>
        <v>11282</v>
      </c>
      <c r="N35" s="18">
        <f t="shared" ref="N35:N39" si="69">round(O35*M35+I35,0)</f>
        <v>3781</v>
      </c>
      <c r="O35" s="21">
        <v>0.18</v>
      </c>
      <c r="P35" s="18">
        <f t="shared" ref="P35:P39" si="70">round(R35*(M35-N35),0)</f>
        <v>0</v>
      </c>
      <c r="Q35" s="18">
        <f t="shared" ref="Q35:Q39" si="71">round(R35*AD35,0)</f>
        <v>0</v>
      </c>
      <c r="R35" s="21">
        <v>0.0</v>
      </c>
      <c r="S35" s="18">
        <f t="shared" ref="S35:S39" si="72">round(M35-N35-P35-Q35,0)</f>
        <v>7501</v>
      </c>
      <c r="T35" s="18">
        <f t="shared" ref="T35:T39" si="73">S35/5</f>
        <v>1500.2</v>
      </c>
      <c r="U35" s="33">
        <f t="shared" ref="U35:U39" si="74">round(T35,-1)</f>
        <v>1500</v>
      </c>
      <c r="V35" s="18">
        <f t="shared" ref="V35:V39" si="75">5*(T35-U35)</f>
        <v>1</v>
      </c>
      <c r="W35" s="17" t="s">
        <v>58</v>
      </c>
      <c r="X35" s="23"/>
      <c r="Y35" s="18"/>
      <c r="Z35" s="23"/>
      <c r="AA35" s="17" t="s">
        <v>38</v>
      </c>
      <c r="AB35" s="31">
        <v>2250.0</v>
      </c>
      <c r="AC35" s="18"/>
      <c r="AD35" s="31">
        <v>2000.0</v>
      </c>
      <c r="AE35" s="17"/>
      <c r="AF35" s="17"/>
      <c r="AG35" s="18"/>
      <c r="AH35" s="18"/>
      <c r="AI35" s="18"/>
      <c r="AJ35" s="18"/>
      <c r="AK35" s="17" t="s">
        <v>85</v>
      </c>
      <c r="AL35" s="31">
        <v>700.0</v>
      </c>
      <c r="AM35" s="18"/>
    </row>
    <row r="36">
      <c r="A36" s="17">
        <v>6.0</v>
      </c>
      <c r="B36" s="17" t="s">
        <v>54</v>
      </c>
      <c r="C36" s="17" t="s">
        <v>64</v>
      </c>
      <c r="D36" s="17" t="s">
        <v>89</v>
      </c>
      <c r="E36" s="17" t="s">
        <v>90</v>
      </c>
      <c r="F36" s="17"/>
      <c r="G36" s="31">
        <v>10000.0</v>
      </c>
      <c r="H36" s="17" t="s">
        <v>58</v>
      </c>
      <c r="I36" s="31">
        <v>0.0</v>
      </c>
      <c r="J36" s="17" t="s">
        <v>58</v>
      </c>
      <c r="K36" s="20">
        <f>round(G36*1%,0)</f>
        <v>100</v>
      </c>
      <c r="L36" s="31">
        <f t="shared" si="67"/>
        <v>2500</v>
      </c>
      <c r="M36" s="18">
        <f t="shared" si="68"/>
        <v>7400</v>
      </c>
      <c r="N36" s="18">
        <f t="shared" si="69"/>
        <v>370</v>
      </c>
      <c r="O36" s="21">
        <v>0.05</v>
      </c>
      <c r="P36" s="18">
        <f t="shared" si="70"/>
        <v>703</v>
      </c>
      <c r="Q36" s="18">
        <f t="shared" si="71"/>
        <v>100</v>
      </c>
      <c r="R36" s="21">
        <v>0.1</v>
      </c>
      <c r="S36" s="18">
        <f t="shared" si="72"/>
        <v>6227</v>
      </c>
      <c r="T36" s="18">
        <f t="shared" si="73"/>
        <v>1245.4</v>
      </c>
      <c r="U36" s="33">
        <f t="shared" si="74"/>
        <v>1250</v>
      </c>
      <c r="V36" s="18">
        <f t="shared" si="75"/>
        <v>-23</v>
      </c>
      <c r="W36" s="17" t="s">
        <v>58</v>
      </c>
      <c r="X36" s="23"/>
      <c r="Y36" s="18"/>
      <c r="Z36" s="23"/>
      <c r="AA36" s="17" t="s">
        <v>38</v>
      </c>
      <c r="AB36" s="31">
        <v>1000.0</v>
      </c>
      <c r="AC36" s="18"/>
      <c r="AD36" s="31">
        <v>1000.0</v>
      </c>
      <c r="AE36" s="17"/>
      <c r="AF36" s="17"/>
      <c r="AG36" s="18"/>
      <c r="AH36" s="18"/>
      <c r="AI36" s="18"/>
      <c r="AJ36" s="18"/>
      <c r="AK36" s="17" t="s">
        <v>91</v>
      </c>
      <c r="AL36" s="31">
        <v>500.0</v>
      </c>
      <c r="AM36" s="18"/>
    </row>
    <row r="37">
      <c r="A37" s="17">
        <v>13.0</v>
      </c>
      <c r="B37" s="17" t="s">
        <v>34</v>
      </c>
      <c r="C37" s="17" t="s">
        <v>35</v>
      </c>
      <c r="D37" s="17" t="s">
        <v>92</v>
      </c>
      <c r="E37" s="17"/>
      <c r="F37" s="17">
        <v>194.0</v>
      </c>
      <c r="G37" s="31">
        <v>3450.0</v>
      </c>
      <c r="H37" s="17" t="s">
        <v>37</v>
      </c>
      <c r="I37" s="31">
        <v>300.0</v>
      </c>
      <c r="J37" s="17" t="s">
        <v>37</v>
      </c>
      <c r="K37" s="20">
        <f t="shared" ref="K37:K39" si="76">round(I37*1%,0)</f>
        <v>3</v>
      </c>
      <c r="L37" s="31">
        <f t="shared" si="67"/>
        <v>400</v>
      </c>
      <c r="M37" s="18">
        <f t="shared" si="68"/>
        <v>3047</v>
      </c>
      <c r="N37" s="18">
        <f t="shared" si="69"/>
        <v>544</v>
      </c>
      <c r="O37" s="21">
        <v>0.08</v>
      </c>
      <c r="P37" s="18">
        <f t="shared" si="70"/>
        <v>0</v>
      </c>
      <c r="Q37" s="18">
        <f t="shared" si="71"/>
        <v>0</v>
      </c>
      <c r="R37" s="21">
        <v>0.0</v>
      </c>
      <c r="S37" s="18">
        <f t="shared" si="72"/>
        <v>2503</v>
      </c>
      <c r="T37" s="18">
        <f t="shared" si="73"/>
        <v>500.6</v>
      </c>
      <c r="U37" s="33">
        <f t="shared" si="74"/>
        <v>500</v>
      </c>
      <c r="V37" s="18">
        <f t="shared" si="75"/>
        <v>3</v>
      </c>
      <c r="W37" s="17" t="s">
        <v>37</v>
      </c>
      <c r="X37" s="23"/>
      <c r="Y37" s="18"/>
      <c r="Z37" s="23"/>
      <c r="AA37" s="17" t="s">
        <v>38</v>
      </c>
      <c r="AB37" s="31">
        <v>200.0</v>
      </c>
      <c r="AC37" s="18"/>
      <c r="AD37" s="31">
        <v>200.0</v>
      </c>
      <c r="AE37" s="17"/>
      <c r="AF37" s="17"/>
      <c r="AG37" s="18"/>
      <c r="AH37" s="18"/>
      <c r="AI37" s="18"/>
      <c r="AJ37" s="18"/>
      <c r="AK37" s="18"/>
      <c r="AL37" s="18"/>
      <c r="AM37" s="18"/>
    </row>
    <row r="38">
      <c r="A38" s="17">
        <v>20.0</v>
      </c>
      <c r="B38" s="17" t="s">
        <v>34</v>
      </c>
      <c r="C38" s="17" t="s">
        <v>35</v>
      </c>
      <c r="D38" s="17" t="s">
        <v>93</v>
      </c>
      <c r="E38" s="18"/>
      <c r="F38" s="17">
        <v>211.0</v>
      </c>
      <c r="G38" s="31">
        <v>19240.0</v>
      </c>
      <c r="H38" s="17" t="s">
        <v>37</v>
      </c>
      <c r="I38" s="31">
        <v>1740.0</v>
      </c>
      <c r="J38" s="17" t="s">
        <v>58</v>
      </c>
      <c r="K38" s="20">
        <f t="shared" si="76"/>
        <v>17</v>
      </c>
      <c r="L38" s="31">
        <f t="shared" si="67"/>
        <v>2000</v>
      </c>
      <c r="M38" s="18">
        <f t="shared" si="68"/>
        <v>17223</v>
      </c>
      <c r="N38" s="18">
        <f t="shared" si="69"/>
        <v>4737</v>
      </c>
      <c r="O38" s="21">
        <v>0.174</v>
      </c>
      <c r="P38" s="18">
        <f t="shared" si="70"/>
        <v>0</v>
      </c>
      <c r="Q38" s="18">
        <f t="shared" si="71"/>
        <v>0</v>
      </c>
      <c r="R38" s="21">
        <v>0.0</v>
      </c>
      <c r="S38" s="18">
        <f t="shared" si="72"/>
        <v>12486</v>
      </c>
      <c r="T38" s="18">
        <f t="shared" si="73"/>
        <v>2497.2</v>
      </c>
      <c r="U38" s="33">
        <f t="shared" si="74"/>
        <v>2500</v>
      </c>
      <c r="V38" s="18">
        <f t="shared" si="75"/>
        <v>-14</v>
      </c>
      <c r="W38" s="17" t="s">
        <v>58</v>
      </c>
      <c r="X38" s="23"/>
      <c r="Y38" s="18"/>
      <c r="Z38" s="23"/>
      <c r="AA38" s="17" t="s">
        <v>38</v>
      </c>
      <c r="AB38" s="31">
        <v>1000.0</v>
      </c>
      <c r="AC38" s="18"/>
      <c r="AD38" s="31">
        <v>1000.0</v>
      </c>
      <c r="AE38" s="18"/>
      <c r="AF38" s="18"/>
      <c r="AG38" s="18"/>
      <c r="AH38" s="17"/>
      <c r="AI38" s="18"/>
      <c r="AJ38" s="17"/>
      <c r="AK38" s="18"/>
      <c r="AL38" s="18"/>
      <c r="AM38" s="18"/>
    </row>
    <row r="39">
      <c r="A39" s="17">
        <v>27.0</v>
      </c>
      <c r="B39" s="17" t="s">
        <v>34</v>
      </c>
      <c r="C39" s="17" t="s">
        <v>35</v>
      </c>
      <c r="D39" s="17" t="s">
        <v>45</v>
      </c>
      <c r="E39" s="18"/>
      <c r="F39" s="17">
        <v>209.0</v>
      </c>
      <c r="G39" s="31">
        <v>5500.0</v>
      </c>
      <c r="H39" s="17" t="s">
        <v>37</v>
      </c>
      <c r="I39" s="31">
        <v>500.0</v>
      </c>
      <c r="J39" s="17" t="s">
        <v>37</v>
      </c>
      <c r="K39" s="20">
        <f t="shared" si="76"/>
        <v>5</v>
      </c>
      <c r="L39" s="31">
        <f t="shared" si="67"/>
        <v>1850</v>
      </c>
      <c r="M39" s="18">
        <f t="shared" si="68"/>
        <v>3645</v>
      </c>
      <c r="N39" s="18">
        <f t="shared" si="69"/>
        <v>1229</v>
      </c>
      <c r="O39" s="21">
        <v>0.2</v>
      </c>
      <c r="P39" s="18">
        <f t="shared" si="70"/>
        <v>0</v>
      </c>
      <c r="Q39" s="18">
        <f t="shared" si="71"/>
        <v>0</v>
      </c>
      <c r="R39" s="21">
        <v>0.0</v>
      </c>
      <c r="S39" s="18">
        <f t="shared" si="72"/>
        <v>2416</v>
      </c>
      <c r="T39" s="18">
        <f t="shared" si="73"/>
        <v>483.2</v>
      </c>
      <c r="U39" s="33">
        <f t="shared" si="74"/>
        <v>480</v>
      </c>
      <c r="V39" s="18">
        <f t="shared" si="75"/>
        <v>16</v>
      </c>
      <c r="W39" s="17" t="s">
        <v>37</v>
      </c>
      <c r="X39" s="23"/>
      <c r="Y39" s="18"/>
      <c r="Z39" s="23"/>
      <c r="AA39" s="17" t="s">
        <v>68</v>
      </c>
      <c r="AB39" s="31">
        <v>400.0</v>
      </c>
      <c r="AC39" s="18"/>
      <c r="AD39" s="31">
        <v>400.0</v>
      </c>
      <c r="AE39" s="18"/>
      <c r="AF39" s="31">
        <v>50.0</v>
      </c>
      <c r="AG39" s="17" t="s">
        <v>41</v>
      </c>
      <c r="AH39" s="31">
        <v>400.0</v>
      </c>
      <c r="AI39" s="17" t="s">
        <v>41</v>
      </c>
      <c r="AJ39" s="31">
        <v>500.0</v>
      </c>
      <c r="AK39" s="17" t="s">
        <v>85</v>
      </c>
      <c r="AL39" s="31">
        <v>100.0</v>
      </c>
      <c r="AM39" s="18"/>
    </row>
    <row r="40">
      <c r="A40" s="28" t="s">
        <v>50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6"/>
      <c r="P40" s="25"/>
      <c r="Q40" s="25"/>
      <c r="R40" s="26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</row>
    <row r="41">
      <c r="A41" s="17">
        <v>4.0</v>
      </c>
      <c r="B41" s="17" t="s">
        <v>34</v>
      </c>
      <c r="C41" s="17" t="s">
        <v>35</v>
      </c>
      <c r="D41" s="17" t="s">
        <v>45</v>
      </c>
      <c r="E41" s="18"/>
      <c r="F41" s="17">
        <v>215.0</v>
      </c>
      <c r="G41" s="31">
        <v>4700.0</v>
      </c>
      <c r="H41" s="17" t="s">
        <v>37</v>
      </c>
      <c r="I41" s="31">
        <v>400.0</v>
      </c>
      <c r="J41" s="17" t="s">
        <v>37</v>
      </c>
      <c r="K41" s="20">
        <f>round(I41*1%,0)</f>
        <v>4</v>
      </c>
      <c r="L41" s="31">
        <f t="shared" ref="L41:L43" si="77">sum(AB41+AD41+AF41+AH41+AJ41+AL41)</f>
        <v>1100</v>
      </c>
      <c r="M41" s="18">
        <f t="shared" ref="M41:M43" si="78">G41-K41-L41</f>
        <v>3596</v>
      </c>
      <c r="N41" s="18">
        <f t="shared" ref="N41:N42" si="79">round(O41*M41+I41,0)</f>
        <v>1119</v>
      </c>
      <c r="O41" s="21">
        <v>0.2</v>
      </c>
      <c r="P41" s="18">
        <f t="shared" ref="P41:P43" si="80">round(R41*(M41-N41),0)</f>
        <v>0</v>
      </c>
      <c r="Q41" s="18">
        <f t="shared" ref="Q41:Q43" si="81">round(R41*AD41,0)</f>
        <v>0</v>
      </c>
      <c r="R41" s="21">
        <v>0.0</v>
      </c>
      <c r="S41" s="18">
        <f t="shared" ref="S41:S43" si="82">round(M41-N41-P41-Q41,0)</f>
        <v>2477</v>
      </c>
      <c r="T41" s="18">
        <f t="shared" ref="T41:T43" si="83">S41/5</f>
        <v>495.4</v>
      </c>
      <c r="U41" s="33">
        <f t="shared" ref="U41:U43" si="84">round(T41,-1)</f>
        <v>500</v>
      </c>
      <c r="V41" s="18">
        <f t="shared" ref="V41:V43" si="85">5*(T41-U41)</f>
        <v>-23</v>
      </c>
      <c r="W41" s="17" t="s">
        <v>37</v>
      </c>
      <c r="X41" s="23"/>
      <c r="Y41" s="18"/>
      <c r="Z41" s="23"/>
      <c r="AA41" s="17" t="s">
        <v>68</v>
      </c>
      <c r="AB41" s="31">
        <v>400.0</v>
      </c>
      <c r="AC41" s="18"/>
      <c r="AD41" s="31">
        <v>200.0</v>
      </c>
      <c r="AE41" s="18"/>
      <c r="AF41" s="31">
        <v>50.0</v>
      </c>
      <c r="AG41" s="17" t="s">
        <v>41</v>
      </c>
      <c r="AH41" s="31">
        <v>450.0</v>
      </c>
      <c r="AI41" s="18"/>
      <c r="AJ41" s="17"/>
      <c r="AK41" s="18"/>
      <c r="AL41" s="18"/>
      <c r="AM41" s="18"/>
    </row>
    <row r="42">
      <c r="A42" s="17">
        <v>11.0</v>
      </c>
      <c r="B42" s="17" t="s">
        <v>34</v>
      </c>
      <c r="C42" s="17" t="s">
        <v>35</v>
      </c>
      <c r="D42" s="17" t="s">
        <v>94</v>
      </c>
      <c r="E42" s="18"/>
      <c r="F42" s="17">
        <v>232.0</v>
      </c>
      <c r="G42" s="31">
        <v>20614.0</v>
      </c>
      <c r="H42" s="17" t="s">
        <v>58</v>
      </c>
      <c r="I42" s="31">
        <v>2026.0</v>
      </c>
      <c r="J42" s="17" t="s">
        <v>58</v>
      </c>
      <c r="K42" s="20">
        <f>round(G42*1%,0)</f>
        <v>206</v>
      </c>
      <c r="L42" s="31">
        <f t="shared" si="77"/>
        <v>3250</v>
      </c>
      <c r="M42" s="18">
        <f t="shared" si="78"/>
        <v>17158</v>
      </c>
      <c r="N42" s="18">
        <f t="shared" si="79"/>
        <v>3141</v>
      </c>
      <c r="O42" s="21">
        <v>0.065</v>
      </c>
      <c r="P42" s="18">
        <f t="shared" si="80"/>
        <v>1402</v>
      </c>
      <c r="Q42" s="18">
        <f t="shared" si="81"/>
        <v>125</v>
      </c>
      <c r="R42" s="21">
        <v>0.1</v>
      </c>
      <c r="S42" s="18">
        <f t="shared" si="82"/>
        <v>12490</v>
      </c>
      <c r="T42" s="18">
        <f t="shared" si="83"/>
        <v>2498</v>
      </c>
      <c r="U42" s="33">
        <f t="shared" si="84"/>
        <v>2500</v>
      </c>
      <c r="V42" s="18">
        <f t="shared" si="85"/>
        <v>-10</v>
      </c>
      <c r="W42" s="17" t="s">
        <v>58</v>
      </c>
      <c r="X42" s="23"/>
      <c r="Y42" s="18"/>
      <c r="Z42" s="23"/>
      <c r="AA42" s="17" t="s">
        <v>38</v>
      </c>
      <c r="AB42" s="31">
        <v>1000.0</v>
      </c>
      <c r="AC42" s="18"/>
      <c r="AD42" s="31">
        <v>1250.0</v>
      </c>
      <c r="AE42" s="18"/>
      <c r="AF42" s="31">
        <v>1000.0</v>
      </c>
      <c r="AG42" s="17"/>
      <c r="AH42" s="17"/>
      <c r="AI42" s="18"/>
      <c r="AJ42" s="17"/>
      <c r="AK42" s="18"/>
      <c r="AL42" s="18"/>
      <c r="AM42" s="18"/>
    </row>
    <row r="43">
      <c r="A43" s="17">
        <v>18.0</v>
      </c>
      <c r="B43" s="17" t="s">
        <v>54</v>
      </c>
      <c r="C43" s="17" t="s">
        <v>64</v>
      </c>
      <c r="D43" s="17" t="s">
        <v>95</v>
      </c>
      <c r="E43" s="17" t="s">
        <v>96</v>
      </c>
      <c r="F43" s="17"/>
      <c r="G43" s="31">
        <v>0.0</v>
      </c>
      <c r="H43" s="17" t="s">
        <v>58</v>
      </c>
      <c r="I43" s="31">
        <v>0.0</v>
      </c>
      <c r="J43" s="17" t="s">
        <v>58</v>
      </c>
      <c r="K43" s="32">
        <v>0.0</v>
      </c>
      <c r="L43" s="31">
        <f t="shared" si="77"/>
        <v>2500</v>
      </c>
      <c r="M43" s="18">
        <f t="shared" si="78"/>
        <v>-2500</v>
      </c>
      <c r="N43" s="17">
        <v>-2500.0</v>
      </c>
      <c r="O43" s="21">
        <v>0.0</v>
      </c>
      <c r="P43" s="18">
        <f t="shared" si="80"/>
        <v>0</v>
      </c>
      <c r="Q43" s="18">
        <f t="shared" si="81"/>
        <v>0</v>
      </c>
      <c r="R43" s="21">
        <v>0.0</v>
      </c>
      <c r="S43" s="18">
        <f t="shared" si="82"/>
        <v>0</v>
      </c>
      <c r="T43" s="18">
        <f t="shared" si="83"/>
        <v>0</v>
      </c>
      <c r="U43" s="33">
        <f t="shared" si="84"/>
        <v>0</v>
      </c>
      <c r="V43" s="18">
        <f t="shared" si="85"/>
        <v>0</v>
      </c>
      <c r="W43" s="17" t="s">
        <v>58</v>
      </c>
      <c r="X43" s="23"/>
      <c r="Y43" s="18"/>
      <c r="Z43" s="23"/>
      <c r="AA43" s="17" t="s">
        <v>38</v>
      </c>
      <c r="AB43" s="31">
        <v>1000.0</v>
      </c>
      <c r="AC43" s="18"/>
      <c r="AD43" s="31">
        <v>1500.0</v>
      </c>
      <c r="AE43" s="18"/>
      <c r="AF43" s="17"/>
      <c r="AG43" s="17"/>
      <c r="AH43" s="17"/>
      <c r="AI43" s="18"/>
      <c r="AJ43" s="17"/>
      <c r="AK43" s="18"/>
      <c r="AL43" s="18"/>
      <c r="AM43" s="18"/>
    </row>
    <row r="44">
      <c r="A44" s="28" t="s">
        <v>97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6"/>
      <c r="P44" s="25"/>
      <c r="Q44" s="25"/>
      <c r="R44" s="26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</row>
    <row r="45">
      <c r="A45" s="17">
        <v>1.0</v>
      </c>
      <c r="B45" s="17" t="s">
        <v>34</v>
      </c>
      <c r="C45" s="17" t="s">
        <v>35</v>
      </c>
      <c r="D45" s="17" t="s">
        <v>98</v>
      </c>
      <c r="E45" s="18"/>
      <c r="F45" s="17"/>
      <c r="G45" s="31">
        <v>25000.0</v>
      </c>
      <c r="H45" s="17" t="s">
        <v>58</v>
      </c>
      <c r="I45" s="31">
        <v>0.0</v>
      </c>
      <c r="J45" s="17" t="s">
        <v>58</v>
      </c>
      <c r="K45" s="20">
        <f>round(I45*1%,0)</f>
        <v>0</v>
      </c>
      <c r="L45" s="31">
        <f>sum(AB45+AD45+AF45+AH45+AJ45+AL45)</f>
        <v>8750</v>
      </c>
      <c r="M45" s="18">
        <f>G45-K45-L45</f>
        <v>16250</v>
      </c>
      <c r="N45" s="18">
        <f>round(O45*M45+I45,0)</f>
        <v>0</v>
      </c>
      <c r="O45" s="21">
        <v>0.0</v>
      </c>
      <c r="P45" s="18">
        <f>round(R45*(M45-N45),0)</f>
        <v>0</v>
      </c>
      <c r="Q45" s="18">
        <f>round(R45*AD45,0)</f>
        <v>0</v>
      </c>
      <c r="R45" s="21">
        <v>0.0</v>
      </c>
      <c r="S45" s="18">
        <f>round(M45-N45-P45-Q45,0)</f>
        <v>16250</v>
      </c>
      <c r="T45" s="18">
        <f>S45/5</f>
        <v>3250</v>
      </c>
      <c r="U45" s="22">
        <f>round(T45,-1)</f>
        <v>3250</v>
      </c>
      <c r="V45" s="18">
        <f>5*(T45-U45)</f>
        <v>0</v>
      </c>
      <c r="W45" s="17" t="s">
        <v>58</v>
      </c>
      <c r="X45" s="23"/>
      <c r="Y45" s="18"/>
      <c r="Z45" s="23"/>
      <c r="AA45" s="17" t="s">
        <v>68</v>
      </c>
      <c r="AB45" s="31">
        <v>2000.0</v>
      </c>
      <c r="AC45" s="18"/>
      <c r="AD45" s="31">
        <v>2000.0</v>
      </c>
      <c r="AE45" s="18"/>
      <c r="AF45" s="17"/>
      <c r="AG45" s="17" t="s">
        <v>41</v>
      </c>
      <c r="AH45" s="17">
        <v>2250.0</v>
      </c>
      <c r="AI45" s="17" t="s">
        <v>41</v>
      </c>
      <c r="AJ45" s="17">
        <v>2500.0</v>
      </c>
      <c r="AK45" s="17"/>
      <c r="AL45" s="17"/>
      <c r="AM45" s="18"/>
    </row>
    <row r="46">
      <c r="A46" s="28" t="s">
        <v>52</v>
      </c>
      <c r="B46" s="25"/>
      <c r="C46" s="25"/>
      <c r="D46" s="25"/>
      <c r="E46" s="25"/>
      <c r="F46" s="25"/>
      <c r="G46" s="25"/>
      <c r="H46" s="25"/>
      <c r="I46" s="25"/>
      <c r="J46" s="24"/>
      <c r="K46" s="25"/>
      <c r="L46" s="25"/>
      <c r="M46" s="25"/>
      <c r="N46" s="25"/>
      <c r="O46" s="26"/>
      <c r="P46" s="25"/>
      <c r="Q46" s="25"/>
      <c r="R46" s="26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</row>
    <row r="47">
      <c r="A47" s="17">
        <v>12.0</v>
      </c>
      <c r="B47" s="17" t="s">
        <v>34</v>
      </c>
      <c r="C47" s="17" t="s">
        <v>78</v>
      </c>
      <c r="D47" s="17" t="s">
        <v>99</v>
      </c>
      <c r="E47" s="17" t="s">
        <v>100</v>
      </c>
      <c r="F47" s="17"/>
      <c r="G47" s="31">
        <v>2950.0</v>
      </c>
      <c r="H47" s="17" t="s">
        <v>37</v>
      </c>
      <c r="I47" s="31"/>
      <c r="J47" s="17" t="s">
        <v>37</v>
      </c>
      <c r="K47" s="20">
        <f t="shared" ref="K47:K51" si="86">round(G47*1%,0)</f>
        <v>30</v>
      </c>
      <c r="L47" s="17">
        <f t="shared" ref="L47:L51" si="87">sum(AB47+AD47+AF47+AH47+AJ47+AL47)</f>
        <v>400</v>
      </c>
      <c r="M47" s="18">
        <f t="shared" ref="M47:M51" si="88">G47-K47-L47</f>
        <v>2520</v>
      </c>
      <c r="N47" s="18">
        <f t="shared" ref="N47:N51" si="89">round(O47*M47+I47,0)</f>
        <v>252</v>
      </c>
      <c r="O47" s="21">
        <v>0.1</v>
      </c>
      <c r="P47" s="18">
        <f t="shared" ref="P47:P51" si="90">round(R47*(M47-N47),0)</f>
        <v>227</v>
      </c>
      <c r="Q47" s="18">
        <f t="shared" ref="Q47:Q51" si="91">round(R47*AD47,0)</f>
        <v>20</v>
      </c>
      <c r="R47" s="21">
        <v>0.1</v>
      </c>
      <c r="S47" s="18">
        <f t="shared" ref="S47:S51" si="92">round(M47-N47-P47-Q47,0)</f>
        <v>2021</v>
      </c>
      <c r="T47" s="18">
        <f t="shared" ref="T47:T51" si="93">S47/5</f>
        <v>404.2</v>
      </c>
      <c r="U47" s="22">
        <f t="shared" ref="U47:U51" si="94">round(T47,-1)</f>
        <v>400</v>
      </c>
      <c r="V47" s="18">
        <f t="shared" ref="V47:V51" si="95">5*(T47-U47)</f>
        <v>21</v>
      </c>
      <c r="W47" s="18"/>
      <c r="X47" s="23"/>
      <c r="Y47" s="18"/>
      <c r="Z47" s="23"/>
      <c r="AA47" s="17" t="s">
        <v>38</v>
      </c>
      <c r="AB47" s="31">
        <v>200.0</v>
      </c>
      <c r="AC47" s="18"/>
      <c r="AD47" s="31">
        <v>200.0</v>
      </c>
      <c r="AE47" s="18"/>
      <c r="AF47" s="18"/>
      <c r="AG47" s="18"/>
      <c r="AH47" s="17"/>
      <c r="AI47" s="17"/>
      <c r="AJ47" s="17"/>
      <c r="AK47" s="17"/>
      <c r="AL47" s="17"/>
      <c r="AM47" s="18"/>
    </row>
    <row r="48">
      <c r="A48" s="17">
        <v>18.0</v>
      </c>
      <c r="B48" s="17" t="s">
        <v>34</v>
      </c>
      <c r="C48" s="17" t="s">
        <v>78</v>
      </c>
      <c r="D48" s="17" t="s">
        <v>101</v>
      </c>
      <c r="E48" s="17" t="s">
        <v>102</v>
      </c>
      <c r="F48" s="17"/>
      <c r="G48" s="31">
        <v>9161.0</v>
      </c>
      <c r="H48" s="17" t="s">
        <v>58</v>
      </c>
      <c r="I48" s="31">
        <v>0.0</v>
      </c>
      <c r="J48" s="17" t="s">
        <v>58</v>
      </c>
      <c r="K48" s="20">
        <f t="shared" si="86"/>
        <v>92</v>
      </c>
      <c r="L48" s="17">
        <f t="shared" si="87"/>
        <v>2000</v>
      </c>
      <c r="M48" s="18">
        <f t="shared" si="88"/>
        <v>7069</v>
      </c>
      <c r="N48" s="18">
        <f t="shared" si="89"/>
        <v>0</v>
      </c>
      <c r="O48" s="21">
        <v>0.0</v>
      </c>
      <c r="P48" s="18">
        <f t="shared" si="90"/>
        <v>707</v>
      </c>
      <c r="Q48" s="18">
        <f t="shared" si="91"/>
        <v>100</v>
      </c>
      <c r="R48" s="21">
        <v>0.1</v>
      </c>
      <c r="S48" s="18">
        <f t="shared" si="92"/>
        <v>6262</v>
      </c>
      <c r="T48" s="18">
        <f t="shared" si="93"/>
        <v>1252.4</v>
      </c>
      <c r="U48" s="22">
        <f t="shared" si="94"/>
        <v>1250</v>
      </c>
      <c r="V48" s="18">
        <f t="shared" si="95"/>
        <v>12</v>
      </c>
      <c r="W48" s="18"/>
      <c r="X48" s="23"/>
      <c r="Y48" s="18"/>
      <c r="Z48" s="23"/>
      <c r="AA48" s="17" t="s">
        <v>38</v>
      </c>
      <c r="AB48" s="17">
        <v>1000.0</v>
      </c>
      <c r="AC48" s="18"/>
      <c r="AD48" s="17">
        <v>1000.0</v>
      </c>
      <c r="AE48" s="18"/>
      <c r="AF48" s="18"/>
      <c r="AG48" s="18"/>
      <c r="AH48" s="17"/>
      <c r="AI48" s="17"/>
      <c r="AJ48" s="17"/>
      <c r="AK48" s="17"/>
      <c r="AL48" s="17"/>
      <c r="AM48" s="18"/>
    </row>
    <row r="49">
      <c r="A49" s="17">
        <v>19.0</v>
      </c>
      <c r="B49" s="17" t="s">
        <v>54</v>
      </c>
      <c r="C49" s="17" t="s">
        <v>55</v>
      </c>
      <c r="D49" s="17" t="s">
        <v>59</v>
      </c>
      <c r="E49" s="17"/>
      <c r="F49" s="17"/>
      <c r="G49" s="31">
        <v>6000.0</v>
      </c>
      <c r="H49" s="17" t="s">
        <v>58</v>
      </c>
      <c r="I49" s="31">
        <v>0.0</v>
      </c>
      <c r="J49" s="17" t="s">
        <v>58</v>
      </c>
      <c r="K49" s="20">
        <f t="shared" si="86"/>
        <v>60</v>
      </c>
      <c r="L49" s="17">
        <f t="shared" si="87"/>
        <v>2000</v>
      </c>
      <c r="M49" s="18">
        <f t="shared" si="88"/>
        <v>3940</v>
      </c>
      <c r="N49" s="18">
        <f t="shared" si="89"/>
        <v>0</v>
      </c>
      <c r="O49" s="21">
        <v>0.0</v>
      </c>
      <c r="P49" s="18">
        <f t="shared" si="90"/>
        <v>394</v>
      </c>
      <c r="Q49" s="18">
        <f t="shared" si="91"/>
        <v>100</v>
      </c>
      <c r="R49" s="21">
        <v>0.1</v>
      </c>
      <c r="S49" s="18">
        <f t="shared" si="92"/>
        <v>3446</v>
      </c>
      <c r="T49" s="18">
        <f t="shared" si="93"/>
        <v>689.2</v>
      </c>
      <c r="U49" s="22">
        <f t="shared" si="94"/>
        <v>690</v>
      </c>
      <c r="V49" s="18">
        <f t="shared" si="95"/>
        <v>-4</v>
      </c>
      <c r="W49" s="18"/>
      <c r="X49" s="23"/>
      <c r="Y49" s="18"/>
      <c r="Z49" s="23"/>
      <c r="AA49" s="17" t="s">
        <v>38</v>
      </c>
      <c r="AB49" s="17">
        <v>1000.0</v>
      </c>
      <c r="AC49" s="18"/>
      <c r="AD49" s="17">
        <v>1000.0</v>
      </c>
      <c r="AE49" s="18"/>
      <c r="AF49" s="18"/>
      <c r="AG49" s="18"/>
      <c r="AH49" s="17"/>
      <c r="AI49" s="17"/>
      <c r="AJ49" s="17"/>
      <c r="AK49" s="17"/>
      <c r="AL49" s="17"/>
      <c r="AM49" s="18"/>
    </row>
    <row r="50">
      <c r="A50" s="17">
        <v>21.0</v>
      </c>
      <c r="B50" s="17" t="s">
        <v>54</v>
      </c>
      <c r="C50" s="17" t="s">
        <v>64</v>
      </c>
      <c r="D50" s="17" t="s">
        <v>80</v>
      </c>
      <c r="E50" s="17" t="s">
        <v>103</v>
      </c>
      <c r="F50" s="17"/>
      <c r="G50" s="31">
        <v>10000.0</v>
      </c>
      <c r="H50" s="17" t="s">
        <v>58</v>
      </c>
      <c r="I50" s="31">
        <v>0.0</v>
      </c>
      <c r="J50" s="17" t="s">
        <v>58</v>
      </c>
      <c r="K50" s="20">
        <f t="shared" si="86"/>
        <v>100</v>
      </c>
      <c r="L50" s="17">
        <f t="shared" si="87"/>
        <v>2000</v>
      </c>
      <c r="M50" s="18">
        <f t="shared" si="88"/>
        <v>7900</v>
      </c>
      <c r="N50" s="18">
        <f t="shared" si="89"/>
        <v>790</v>
      </c>
      <c r="O50" s="21">
        <v>0.1</v>
      </c>
      <c r="P50" s="18">
        <f t="shared" si="90"/>
        <v>711</v>
      </c>
      <c r="Q50" s="18">
        <f t="shared" si="91"/>
        <v>100</v>
      </c>
      <c r="R50" s="21">
        <v>0.1</v>
      </c>
      <c r="S50" s="18">
        <f t="shared" si="92"/>
        <v>6299</v>
      </c>
      <c r="T50" s="18">
        <f t="shared" si="93"/>
        <v>1259.8</v>
      </c>
      <c r="U50" s="22">
        <f t="shared" si="94"/>
        <v>1260</v>
      </c>
      <c r="V50" s="18">
        <f t="shared" si="95"/>
        <v>-1</v>
      </c>
      <c r="W50" s="18"/>
      <c r="X50" s="23"/>
      <c r="Y50" s="18"/>
      <c r="Z50" s="23"/>
      <c r="AA50" s="17" t="s">
        <v>38</v>
      </c>
      <c r="AB50" s="17">
        <v>1000.0</v>
      </c>
      <c r="AC50" s="18"/>
      <c r="AD50" s="17">
        <v>1000.0</v>
      </c>
      <c r="AE50" s="18"/>
      <c r="AF50" s="18"/>
      <c r="AG50" s="18"/>
      <c r="AH50" s="17"/>
      <c r="AI50" s="17"/>
      <c r="AJ50" s="17"/>
      <c r="AK50" s="17"/>
      <c r="AL50" s="17"/>
      <c r="AM50" s="18"/>
    </row>
    <row r="51">
      <c r="A51" s="17">
        <v>31.0</v>
      </c>
      <c r="B51" s="17" t="s">
        <v>54</v>
      </c>
      <c r="C51" s="17" t="s">
        <v>64</v>
      </c>
      <c r="D51" s="17" t="s">
        <v>104</v>
      </c>
      <c r="E51" s="17" t="s">
        <v>105</v>
      </c>
      <c r="F51" s="17"/>
      <c r="G51" s="31">
        <v>15000.0</v>
      </c>
      <c r="H51" s="17" t="s">
        <v>58</v>
      </c>
      <c r="I51" s="31">
        <v>0.0</v>
      </c>
      <c r="J51" s="17" t="s">
        <v>58</v>
      </c>
      <c r="K51" s="20">
        <f t="shared" si="86"/>
        <v>150</v>
      </c>
      <c r="L51" s="17">
        <f t="shared" si="87"/>
        <v>2000</v>
      </c>
      <c r="M51" s="18">
        <f t="shared" si="88"/>
        <v>12850</v>
      </c>
      <c r="N51" s="18">
        <f t="shared" si="89"/>
        <v>0</v>
      </c>
      <c r="O51" s="21">
        <v>0.0</v>
      </c>
      <c r="P51" s="18">
        <f t="shared" si="90"/>
        <v>1285</v>
      </c>
      <c r="Q51" s="18">
        <f t="shared" si="91"/>
        <v>100</v>
      </c>
      <c r="R51" s="21">
        <v>0.1</v>
      </c>
      <c r="S51" s="18">
        <f t="shared" si="92"/>
        <v>11465</v>
      </c>
      <c r="T51" s="18">
        <f t="shared" si="93"/>
        <v>2293</v>
      </c>
      <c r="U51" s="22">
        <f t="shared" si="94"/>
        <v>2290</v>
      </c>
      <c r="V51" s="18">
        <f t="shared" si="95"/>
        <v>15</v>
      </c>
      <c r="W51" s="18"/>
      <c r="X51" s="23"/>
      <c r="Y51" s="18"/>
      <c r="Z51" s="23"/>
      <c r="AA51" s="17" t="s">
        <v>38</v>
      </c>
      <c r="AB51" s="17">
        <v>1000.0</v>
      </c>
      <c r="AC51" s="18"/>
      <c r="AD51" s="17">
        <v>1000.0</v>
      </c>
      <c r="AE51" s="18"/>
      <c r="AF51" s="18"/>
      <c r="AG51" s="18"/>
      <c r="AH51" s="17"/>
      <c r="AI51" s="17"/>
      <c r="AJ51" s="17"/>
      <c r="AK51" s="17"/>
      <c r="AL51" s="17"/>
      <c r="AM51" s="18"/>
    </row>
    <row r="52">
      <c r="A52" s="17"/>
      <c r="B52" s="17"/>
      <c r="C52" s="17"/>
      <c r="D52" s="17"/>
      <c r="E52" s="18"/>
      <c r="F52" s="17"/>
      <c r="G52" s="17"/>
      <c r="H52" s="18"/>
      <c r="I52" s="18"/>
      <c r="J52" s="18"/>
      <c r="K52" s="18"/>
      <c r="L52" s="18"/>
      <c r="M52" s="18"/>
      <c r="N52" s="18"/>
      <c r="O52" s="29"/>
      <c r="P52" s="18"/>
      <c r="Q52" s="18"/>
      <c r="R52" s="29"/>
      <c r="S52" s="18"/>
      <c r="T52" s="18"/>
      <c r="U52" s="30"/>
      <c r="V52" s="18"/>
      <c r="W52" s="18"/>
      <c r="X52" s="23"/>
      <c r="Y52" s="18"/>
      <c r="Z52" s="23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</row>
    <row r="53">
      <c r="A53" s="17" t="s">
        <v>53</v>
      </c>
      <c r="B53" s="17"/>
      <c r="C53" s="17"/>
      <c r="D53" s="17"/>
      <c r="E53" s="18"/>
      <c r="F53" s="17"/>
      <c r="G53" s="17"/>
      <c r="H53" s="18"/>
      <c r="I53" s="18"/>
      <c r="J53" s="18"/>
      <c r="K53" s="20">
        <f>round(G53*1%,0)</f>
        <v>0</v>
      </c>
      <c r="L53" s="17">
        <f>sum(AB53+AD53+AF53+AH53+AJ53+AL53)</f>
        <v>0</v>
      </c>
      <c r="M53" s="18">
        <f>G53-K53-L53</f>
        <v>0</v>
      </c>
      <c r="N53" s="18">
        <f>round(O53*M53+I53,0)</f>
        <v>0</v>
      </c>
      <c r="O53" s="21">
        <v>0.1</v>
      </c>
      <c r="P53" s="18">
        <f>round(R53*(M53-N53),0)</f>
        <v>0</v>
      </c>
      <c r="Q53" s="18">
        <f>round(R53*AD53,0)</f>
        <v>0</v>
      </c>
      <c r="R53" s="21">
        <v>0.1</v>
      </c>
      <c r="S53" s="18">
        <f>round(M53-N53-P53-Q53,0)</f>
        <v>0</v>
      </c>
      <c r="T53" s="18">
        <f>S53/5</f>
        <v>0</v>
      </c>
      <c r="U53" s="22">
        <f>round(T53,-1)</f>
        <v>0</v>
      </c>
      <c r="V53" s="18">
        <f>5*(T53-U53)</f>
        <v>0</v>
      </c>
      <c r="W53" s="18"/>
      <c r="X53" s="23"/>
      <c r="Y53" s="18"/>
      <c r="Z53" s="23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9.5"/>
    <col customWidth="1" min="2" max="2" width="6.75"/>
    <col customWidth="1" min="3" max="3" width="9.63"/>
    <col customWidth="1" min="4" max="4" width="15.5"/>
    <col customWidth="1" min="5" max="5" width="11.0"/>
    <col customWidth="1" min="6" max="8" width="8.0"/>
    <col customWidth="1" min="9" max="13" width="10.0"/>
  </cols>
  <sheetData>
    <row r="1">
      <c r="A1" s="34"/>
      <c r="B1" s="34"/>
      <c r="C1" s="34"/>
      <c r="D1" s="34"/>
      <c r="E1" s="34"/>
      <c r="F1" s="35" t="s">
        <v>106</v>
      </c>
      <c r="G1" s="34"/>
      <c r="H1" s="34"/>
      <c r="I1" s="34"/>
      <c r="J1" s="34"/>
      <c r="K1" s="34"/>
      <c r="L1" s="34"/>
      <c r="M1" s="34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6" t="s">
        <v>107</v>
      </c>
      <c r="G2" s="3" t="s">
        <v>108</v>
      </c>
      <c r="H2" s="3" t="s">
        <v>8</v>
      </c>
      <c r="I2" s="3" t="s">
        <v>109</v>
      </c>
      <c r="J2" s="3" t="s">
        <v>110</v>
      </c>
      <c r="K2" s="3" t="s">
        <v>111</v>
      </c>
      <c r="L2" s="3" t="s">
        <v>112</v>
      </c>
      <c r="M2" s="3" t="s">
        <v>113</v>
      </c>
    </row>
    <row r="3">
      <c r="A3" s="37" t="s">
        <v>29</v>
      </c>
      <c r="B3" s="10"/>
      <c r="C3" s="10"/>
      <c r="D3" s="10"/>
      <c r="E3" s="10"/>
      <c r="F3" s="38"/>
      <c r="G3" s="39"/>
      <c r="H3" s="39"/>
      <c r="I3" s="39"/>
      <c r="J3" s="39"/>
      <c r="K3" s="39"/>
      <c r="L3" s="39"/>
      <c r="M3" s="39"/>
    </row>
    <row r="4">
      <c r="A4" s="17">
        <v>13.0</v>
      </c>
      <c r="B4" s="17" t="s">
        <v>54</v>
      </c>
      <c r="C4" s="17" t="s">
        <v>55</v>
      </c>
      <c r="D4" s="17" t="s">
        <v>56</v>
      </c>
      <c r="E4" s="17" t="s">
        <v>57</v>
      </c>
      <c r="F4" s="40">
        <v>0.0</v>
      </c>
      <c r="G4" s="41">
        <v>0.0</v>
      </c>
      <c r="H4" s="42" t="s">
        <v>58</v>
      </c>
      <c r="I4" s="41">
        <v>0.0</v>
      </c>
      <c r="J4" s="41">
        <v>0.0</v>
      </c>
      <c r="K4" s="41">
        <v>0.0</v>
      </c>
      <c r="L4" s="41">
        <v>0.0</v>
      </c>
      <c r="M4" s="41">
        <v>0.0</v>
      </c>
    </row>
    <row r="5">
      <c r="A5" s="17">
        <v>15.0</v>
      </c>
      <c r="B5" s="17" t="s">
        <v>54</v>
      </c>
      <c r="C5" s="17" t="s">
        <v>55</v>
      </c>
      <c r="D5" s="17" t="s">
        <v>56</v>
      </c>
      <c r="E5" s="17" t="s">
        <v>57</v>
      </c>
      <c r="F5" s="40">
        <v>0.0</v>
      </c>
      <c r="G5" s="41">
        <v>0.0</v>
      </c>
      <c r="H5" s="42" t="s">
        <v>58</v>
      </c>
      <c r="I5" s="41">
        <v>0.0</v>
      </c>
      <c r="J5" s="41">
        <v>0.0</v>
      </c>
      <c r="K5" s="41">
        <v>0.0</v>
      </c>
      <c r="L5" s="41">
        <v>0.0</v>
      </c>
      <c r="M5" s="41">
        <v>0.0</v>
      </c>
    </row>
    <row r="6">
      <c r="A6" s="17">
        <v>31.0</v>
      </c>
      <c r="B6" s="17" t="s">
        <v>54</v>
      </c>
      <c r="C6" s="17" t="s">
        <v>55</v>
      </c>
      <c r="D6" s="17" t="s">
        <v>59</v>
      </c>
      <c r="E6" s="17"/>
      <c r="F6" s="40">
        <v>530.0</v>
      </c>
      <c r="G6" s="41">
        <v>700.0</v>
      </c>
      <c r="H6" s="42" t="s">
        <v>58</v>
      </c>
      <c r="I6" s="41">
        <v>700.0</v>
      </c>
      <c r="J6" s="41">
        <v>700.0</v>
      </c>
      <c r="K6" s="41">
        <v>700.0</v>
      </c>
      <c r="L6" s="41">
        <v>700.0</v>
      </c>
      <c r="M6" s="41">
        <v>700.0</v>
      </c>
    </row>
    <row r="7">
      <c r="A7" s="43" t="s">
        <v>30</v>
      </c>
      <c r="B7" s="39"/>
      <c r="C7" s="39"/>
      <c r="D7" s="39"/>
      <c r="E7" s="39"/>
      <c r="F7" s="38"/>
      <c r="G7" s="39"/>
      <c r="H7" s="39"/>
      <c r="I7" s="39"/>
      <c r="J7" s="39"/>
      <c r="K7" s="39"/>
      <c r="L7" s="39"/>
      <c r="M7" s="39"/>
    </row>
    <row r="8">
      <c r="A8" s="43" t="s">
        <v>31</v>
      </c>
      <c r="B8" s="39"/>
      <c r="C8" s="39"/>
      <c r="D8" s="39"/>
      <c r="E8" s="39"/>
      <c r="F8" s="38"/>
      <c r="G8" s="39"/>
      <c r="H8" s="39"/>
      <c r="I8" s="39"/>
      <c r="J8" s="39"/>
      <c r="K8" s="39"/>
      <c r="L8" s="39"/>
      <c r="M8" s="39"/>
    </row>
    <row r="9">
      <c r="A9" s="17">
        <v>26.0</v>
      </c>
      <c r="B9" s="17" t="s">
        <v>54</v>
      </c>
      <c r="C9" s="17" t="s">
        <v>55</v>
      </c>
      <c r="D9" s="17" t="s">
        <v>60</v>
      </c>
      <c r="E9" s="17" t="s">
        <v>61</v>
      </c>
      <c r="F9" s="40">
        <v>200.0</v>
      </c>
      <c r="G9" s="41">
        <v>200.0</v>
      </c>
      <c r="H9" s="42" t="s">
        <v>37</v>
      </c>
      <c r="I9" s="41">
        <v>100.0</v>
      </c>
      <c r="J9" s="41">
        <v>100.0</v>
      </c>
      <c r="K9" s="41">
        <v>100.0</v>
      </c>
      <c r="L9" s="41">
        <v>200.0</v>
      </c>
      <c r="M9" s="41">
        <v>100.0</v>
      </c>
    </row>
    <row r="10">
      <c r="A10" s="17">
        <v>31.0</v>
      </c>
      <c r="B10" s="17" t="s">
        <v>54</v>
      </c>
      <c r="C10" s="17" t="s">
        <v>55</v>
      </c>
      <c r="D10" s="17" t="s">
        <v>62</v>
      </c>
      <c r="E10" s="17" t="s">
        <v>61</v>
      </c>
      <c r="F10" s="40">
        <v>200.0</v>
      </c>
      <c r="G10" s="41">
        <v>200.0</v>
      </c>
      <c r="H10" s="42" t="s">
        <v>37</v>
      </c>
      <c r="I10" s="41">
        <v>100.0</v>
      </c>
      <c r="J10" s="41">
        <v>200.0</v>
      </c>
      <c r="K10" s="41">
        <v>100.0</v>
      </c>
      <c r="L10" s="41">
        <v>200.0</v>
      </c>
      <c r="M10" s="41">
        <v>100.0</v>
      </c>
    </row>
    <row r="11">
      <c r="A11" s="16" t="s">
        <v>32</v>
      </c>
      <c r="B11" s="14"/>
      <c r="C11" s="14"/>
      <c r="D11" s="14"/>
      <c r="E11" s="14"/>
      <c r="F11" s="44"/>
      <c r="G11" s="14"/>
      <c r="H11" s="14"/>
      <c r="I11" s="14"/>
      <c r="J11" s="14"/>
      <c r="K11" s="14"/>
      <c r="L11" s="14"/>
      <c r="M11" s="14"/>
    </row>
    <row r="12">
      <c r="A12" s="17">
        <v>12.0</v>
      </c>
      <c r="B12" s="17" t="s">
        <v>54</v>
      </c>
      <c r="C12" s="17" t="s">
        <v>28</v>
      </c>
      <c r="D12" s="17" t="s">
        <v>36</v>
      </c>
      <c r="E12" s="17" t="s">
        <v>63</v>
      </c>
      <c r="F12" s="40">
        <v>0.0</v>
      </c>
      <c r="G12" s="41">
        <v>0.0</v>
      </c>
      <c r="H12" s="42" t="s">
        <v>58</v>
      </c>
      <c r="I12" s="41">
        <v>0.0</v>
      </c>
      <c r="J12" s="41">
        <v>0.0</v>
      </c>
      <c r="K12" s="41">
        <v>0.0</v>
      </c>
      <c r="L12" s="41">
        <v>0.0</v>
      </c>
      <c r="M12" s="41">
        <v>0.0</v>
      </c>
    </row>
    <row r="13">
      <c r="A13" s="17">
        <v>12.0</v>
      </c>
      <c r="B13" s="17" t="s">
        <v>54</v>
      </c>
      <c r="C13" s="17" t="s">
        <v>64</v>
      </c>
      <c r="D13" s="17" t="s">
        <v>65</v>
      </c>
      <c r="E13" s="17" t="s">
        <v>66</v>
      </c>
      <c r="F13" s="40">
        <v>1400.0</v>
      </c>
      <c r="G13" s="41">
        <v>1200.0</v>
      </c>
      <c r="H13" s="42" t="s">
        <v>58</v>
      </c>
      <c r="I13" s="41">
        <v>1200.0</v>
      </c>
      <c r="J13" s="41">
        <v>1200.0</v>
      </c>
      <c r="K13" s="41">
        <v>1200.0</v>
      </c>
      <c r="L13" s="41">
        <v>1200.0</v>
      </c>
      <c r="M13" s="41">
        <v>1200.0</v>
      </c>
    </row>
    <row r="14">
      <c r="A14" s="16" t="s">
        <v>33</v>
      </c>
      <c r="B14" s="14"/>
      <c r="C14" s="14"/>
      <c r="D14" s="14"/>
      <c r="E14" s="14"/>
      <c r="F14" s="44"/>
      <c r="G14" s="14"/>
      <c r="H14" s="14"/>
      <c r="I14" s="14"/>
      <c r="J14" s="14"/>
      <c r="K14" s="14"/>
      <c r="L14" s="14"/>
      <c r="M14" s="14"/>
    </row>
    <row r="15">
      <c r="A15" s="17">
        <v>2.0</v>
      </c>
      <c r="B15" s="17" t="s">
        <v>34</v>
      </c>
      <c r="C15" s="17" t="s">
        <v>35</v>
      </c>
      <c r="D15" s="17" t="s">
        <v>67</v>
      </c>
      <c r="E15" s="17"/>
      <c r="F15" s="40">
        <v>2930.0</v>
      </c>
      <c r="G15" s="41">
        <v>2500.0</v>
      </c>
      <c r="H15" s="42" t="s">
        <v>58</v>
      </c>
      <c r="I15" s="41">
        <v>2500.0</v>
      </c>
      <c r="J15" s="41">
        <v>2500.0</v>
      </c>
      <c r="K15" s="41">
        <v>2500.0</v>
      </c>
      <c r="L15" s="41">
        <v>2500.0</v>
      </c>
      <c r="M15" s="41">
        <v>2500.0</v>
      </c>
    </row>
    <row r="16">
      <c r="A16" s="17">
        <v>11.0</v>
      </c>
      <c r="B16" s="17" t="s">
        <v>34</v>
      </c>
      <c r="C16" s="17" t="s">
        <v>35</v>
      </c>
      <c r="D16" s="17" t="s">
        <v>69</v>
      </c>
      <c r="E16" s="17"/>
      <c r="F16" s="40">
        <v>2710.0</v>
      </c>
      <c r="G16" s="41">
        <v>2500.0</v>
      </c>
      <c r="H16" s="42" t="s">
        <v>58</v>
      </c>
      <c r="I16" s="41">
        <v>2500.0</v>
      </c>
      <c r="J16" s="41">
        <v>2500.0</v>
      </c>
      <c r="K16" s="41">
        <v>2500.0</v>
      </c>
      <c r="L16" s="41">
        <v>2500.0</v>
      </c>
      <c r="M16" s="41">
        <v>2500.0</v>
      </c>
    </row>
    <row r="17">
      <c r="A17" s="17">
        <v>23.0</v>
      </c>
      <c r="B17" s="17" t="s">
        <v>34</v>
      </c>
      <c r="C17" s="17" t="s">
        <v>70</v>
      </c>
      <c r="D17" s="17" t="s">
        <v>71</v>
      </c>
      <c r="E17" s="17"/>
      <c r="F17" s="40">
        <v>620.0</v>
      </c>
      <c r="G17" s="41">
        <v>550.0</v>
      </c>
      <c r="H17" s="42" t="s">
        <v>37</v>
      </c>
      <c r="I17" s="41">
        <v>550.0</v>
      </c>
      <c r="J17" s="41">
        <v>550.0</v>
      </c>
      <c r="K17" s="41">
        <v>550.0</v>
      </c>
      <c r="L17" s="41">
        <v>550.0</v>
      </c>
      <c r="M17" s="41">
        <v>550.0</v>
      </c>
    </row>
    <row r="18">
      <c r="A18" s="17">
        <v>24.0</v>
      </c>
      <c r="B18" s="17" t="s">
        <v>34</v>
      </c>
      <c r="C18" s="17" t="s">
        <v>35</v>
      </c>
      <c r="D18" s="17" t="s">
        <v>72</v>
      </c>
      <c r="E18" s="17"/>
      <c r="F18" s="40">
        <v>610.0</v>
      </c>
      <c r="G18" s="41">
        <v>500.0</v>
      </c>
      <c r="H18" s="42" t="s">
        <v>37</v>
      </c>
      <c r="I18" s="41">
        <v>500.0</v>
      </c>
      <c r="J18" s="41">
        <v>500.0</v>
      </c>
      <c r="K18" s="41">
        <v>500.0</v>
      </c>
      <c r="L18" s="41">
        <v>500.0</v>
      </c>
      <c r="M18" s="41">
        <v>500.0</v>
      </c>
    </row>
    <row r="19">
      <c r="A19" s="17">
        <v>30.0</v>
      </c>
      <c r="B19" s="17" t="s">
        <v>34</v>
      </c>
      <c r="C19" s="17" t="s">
        <v>35</v>
      </c>
      <c r="D19" s="17" t="s">
        <v>114</v>
      </c>
      <c r="E19" s="17"/>
      <c r="F19" s="40">
        <v>500.0</v>
      </c>
      <c r="G19" s="41">
        <v>500.0</v>
      </c>
      <c r="H19" s="42" t="s">
        <v>37</v>
      </c>
      <c r="I19" s="41">
        <v>500.0</v>
      </c>
      <c r="J19" s="41">
        <v>500.0</v>
      </c>
      <c r="K19" s="41">
        <v>500.0</v>
      </c>
      <c r="L19" s="41">
        <v>500.0</v>
      </c>
      <c r="M19" s="41">
        <v>500.0</v>
      </c>
    </row>
    <row r="20">
      <c r="A20" s="17">
        <v>31.0</v>
      </c>
      <c r="B20" s="17" t="s">
        <v>34</v>
      </c>
      <c r="C20" s="17" t="s">
        <v>35</v>
      </c>
      <c r="D20" s="17" t="s">
        <v>74</v>
      </c>
      <c r="E20" s="17"/>
      <c r="F20" s="40">
        <v>590.0</v>
      </c>
      <c r="G20" s="41">
        <v>500.0</v>
      </c>
      <c r="H20" s="42" t="s">
        <v>37</v>
      </c>
      <c r="I20" s="41">
        <v>500.0</v>
      </c>
      <c r="J20" s="41">
        <v>500.0</v>
      </c>
      <c r="K20" s="41">
        <v>500.0</v>
      </c>
      <c r="L20" s="41">
        <v>500.0</v>
      </c>
      <c r="M20" s="41">
        <v>500.0</v>
      </c>
    </row>
    <row r="21">
      <c r="A21" s="16" t="s">
        <v>39</v>
      </c>
      <c r="B21" s="14"/>
      <c r="C21" s="14"/>
      <c r="D21" s="14"/>
      <c r="E21" s="14"/>
      <c r="F21" s="44"/>
      <c r="G21" s="14"/>
      <c r="H21" s="14"/>
      <c r="I21" s="14"/>
      <c r="J21" s="14"/>
      <c r="K21" s="14"/>
      <c r="L21" s="14"/>
      <c r="M21" s="14"/>
    </row>
    <row r="22">
      <c r="A22" s="17">
        <v>8.0</v>
      </c>
      <c r="B22" s="17" t="s">
        <v>54</v>
      </c>
      <c r="C22" s="17" t="s">
        <v>55</v>
      </c>
      <c r="D22" s="17" t="s">
        <v>115</v>
      </c>
      <c r="E22" s="17"/>
      <c r="F22" s="40">
        <v>690.0</v>
      </c>
      <c r="G22" s="41">
        <v>700.0</v>
      </c>
      <c r="H22" s="42" t="s">
        <v>58</v>
      </c>
      <c r="I22" s="41">
        <v>700.0</v>
      </c>
      <c r="J22" s="41">
        <v>700.0</v>
      </c>
      <c r="K22" s="41">
        <v>700.0</v>
      </c>
      <c r="L22" s="41">
        <v>700.0</v>
      </c>
      <c r="M22" s="41">
        <v>700.0</v>
      </c>
    </row>
    <row r="23">
      <c r="A23" s="17">
        <v>14.0</v>
      </c>
      <c r="B23" s="17" t="s">
        <v>34</v>
      </c>
      <c r="C23" s="17" t="s">
        <v>35</v>
      </c>
      <c r="D23" s="17" t="s">
        <v>77</v>
      </c>
      <c r="E23" s="17"/>
      <c r="F23" s="40">
        <v>2770.0</v>
      </c>
      <c r="G23" s="41">
        <v>2500.0</v>
      </c>
      <c r="H23" s="42" t="s">
        <v>58</v>
      </c>
      <c r="I23" s="41">
        <v>2500.0</v>
      </c>
      <c r="J23" s="41">
        <v>2500.0</v>
      </c>
      <c r="K23" s="41">
        <v>2500.0</v>
      </c>
      <c r="L23" s="41">
        <v>2500.0</v>
      </c>
      <c r="M23" s="41">
        <v>2500.0</v>
      </c>
    </row>
    <row r="24">
      <c r="A24" s="17">
        <v>17.0</v>
      </c>
      <c r="B24" s="17" t="s">
        <v>34</v>
      </c>
      <c r="C24" s="17" t="s">
        <v>78</v>
      </c>
      <c r="D24" s="17" t="s">
        <v>79</v>
      </c>
      <c r="E24" s="17"/>
      <c r="F24" s="40">
        <v>1500.0</v>
      </c>
      <c r="G24" s="41">
        <v>1500.0</v>
      </c>
      <c r="H24" s="42" t="s">
        <v>58</v>
      </c>
      <c r="I24" s="41">
        <v>1500.0</v>
      </c>
      <c r="J24" s="41">
        <v>1500.0</v>
      </c>
      <c r="K24" s="41">
        <v>1500.0</v>
      </c>
      <c r="L24" s="41">
        <v>1500.0</v>
      </c>
      <c r="M24" s="41">
        <v>1500.0</v>
      </c>
    </row>
    <row r="25">
      <c r="A25" s="17">
        <v>21.0</v>
      </c>
      <c r="B25" s="17" t="s">
        <v>54</v>
      </c>
      <c r="C25" s="17" t="s">
        <v>64</v>
      </c>
      <c r="D25" s="17" t="s">
        <v>65</v>
      </c>
      <c r="E25" s="17"/>
      <c r="F25" s="40">
        <v>1400.0</v>
      </c>
      <c r="G25" s="41">
        <v>1200.0</v>
      </c>
      <c r="H25" s="42" t="s">
        <v>58</v>
      </c>
      <c r="I25" s="41">
        <v>1200.0</v>
      </c>
      <c r="J25" s="41">
        <v>1200.0</v>
      </c>
      <c r="K25" s="41">
        <v>1200.0</v>
      </c>
      <c r="L25" s="41">
        <v>1200.0</v>
      </c>
      <c r="M25" s="41">
        <v>1200.0</v>
      </c>
    </row>
    <row r="26">
      <c r="A26" s="17">
        <v>22.0</v>
      </c>
      <c r="B26" s="17" t="s">
        <v>54</v>
      </c>
      <c r="C26" s="17" t="s">
        <v>64</v>
      </c>
      <c r="D26" s="17" t="s">
        <v>80</v>
      </c>
      <c r="E26" s="17" t="s">
        <v>81</v>
      </c>
      <c r="F26" s="40">
        <v>640.0</v>
      </c>
      <c r="G26" s="41">
        <v>600.0</v>
      </c>
      <c r="H26" s="42" t="s">
        <v>58</v>
      </c>
      <c r="I26" s="41">
        <v>600.0</v>
      </c>
      <c r="J26" s="41">
        <v>600.0</v>
      </c>
      <c r="K26" s="41">
        <v>600.0</v>
      </c>
      <c r="L26" s="41">
        <v>600.0</v>
      </c>
      <c r="M26" s="41">
        <v>600.0</v>
      </c>
    </row>
    <row r="27">
      <c r="A27" s="17">
        <v>23.0</v>
      </c>
      <c r="B27" s="17" t="s">
        <v>34</v>
      </c>
      <c r="C27" s="17" t="s">
        <v>78</v>
      </c>
      <c r="D27" s="17" t="s">
        <v>82</v>
      </c>
      <c r="E27" s="17"/>
      <c r="F27" s="40">
        <v>2526.0</v>
      </c>
      <c r="G27" s="41">
        <v>2500.0</v>
      </c>
      <c r="H27" s="42" t="s">
        <v>58</v>
      </c>
      <c r="I27" s="41">
        <v>2500.0</v>
      </c>
      <c r="J27" s="41">
        <v>2500.0</v>
      </c>
      <c r="K27" s="41">
        <v>2500.0</v>
      </c>
      <c r="L27" s="41">
        <v>2500.0</v>
      </c>
      <c r="M27" s="41">
        <v>2500.0</v>
      </c>
    </row>
    <row r="28">
      <c r="A28" s="16" t="s">
        <v>42</v>
      </c>
      <c r="B28" s="14"/>
      <c r="C28" s="14"/>
      <c r="D28" s="14"/>
      <c r="E28" s="14"/>
      <c r="F28" s="44"/>
      <c r="G28" s="14"/>
      <c r="H28" s="14"/>
      <c r="I28" s="14"/>
      <c r="J28" s="14"/>
      <c r="K28" s="14"/>
      <c r="L28" s="14"/>
      <c r="M28" s="14"/>
    </row>
    <row r="29">
      <c r="A29" s="17">
        <v>5.0</v>
      </c>
      <c r="B29" s="17" t="s">
        <v>34</v>
      </c>
      <c r="C29" s="17" t="s">
        <v>78</v>
      </c>
      <c r="D29" s="17" t="s">
        <v>83</v>
      </c>
      <c r="E29" s="18"/>
      <c r="F29" s="40">
        <v>1420.0</v>
      </c>
      <c r="G29" s="41">
        <v>1250.0</v>
      </c>
      <c r="H29" s="42" t="s">
        <v>58</v>
      </c>
      <c r="I29" s="41">
        <v>1250.0</v>
      </c>
      <c r="J29" s="41">
        <v>1250.0</v>
      </c>
      <c r="K29" s="41">
        <v>1250.0</v>
      </c>
      <c r="L29" s="41">
        <v>1250.0</v>
      </c>
      <c r="M29" s="41">
        <v>1250.0</v>
      </c>
    </row>
    <row r="30">
      <c r="A30" s="17">
        <v>6.0</v>
      </c>
      <c r="B30" s="17" t="s">
        <v>34</v>
      </c>
      <c r="C30" s="17" t="s">
        <v>35</v>
      </c>
      <c r="D30" s="17" t="s">
        <v>69</v>
      </c>
      <c r="E30" s="18"/>
      <c r="F30" s="40">
        <v>610.0</v>
      </c>
      <c r="G30" s="41">
        <v>500.0</v>
      </c>
      <c r="H30" s="42" t="s">
        <v>37</v>
      </c>
      <c r="I30" s="41">
        <v>500.0</v>
      </c>
      <c r="J30" s="41">
        <v>500.0</v>
      </c>
      <c r="K30" s="41">
        <v>500.0</v>
      </c>
      <c r="L30" s="41">
        <v>500.0</v>
      </c>
      <c r="M30" s="41">
        <v>500.0</v>
      </c>
    </row>
    <row r="31">
      <c r="A31" s="16" t="s">
        <v>44</v>
      </c>
      <c r="B31" s="14"/>
      <c r="C31" s="14"/>
      <c r="D31" s="14"/>
      <c r="E31" s="14"/>
      <c r="F31" s="44"/>
      <c r="G31" s="14"/>
      <c r="H31" s="14"/>
      <c r="I31" s="14"/>
      <c r="J31" s="14"/>
      <c r="K31" s="14"/>
      <c r="L31" s="14"/>
      <c r="M31" s="14"/>
    </row>
    <row r="32">
      <c r="A32" s="17">
        <v>16.0</v>
      </c>
      <c r="B32" s="17" t="s">
        <v>34</v>
      </c>
      <c r="C32" s="17" t="s">
        <v>35</v>
      </c>
      <c r="D32" s="17" t="s">
        <v>86</v>
      </c>
      <c r="E32" s="17"/>
      <c r="F32" s="40">
        <v>2870.0</v>
      </c>
      <c r="G32" s="41">
        <v>2500.0</v>
      </c>
      <c r="H32" s="42" t="s">
        <v>58</v>
      </c>
      <c r="I32" s="41">
        <v>2500.0</v>
      </c>
      <c r="J32" s="41">
        <v>2500.0</v>
      </c>
      <c r="K32" s="41">
        <v>2500.0</v>
      </c>
      <c r="L32" s="41">
        <v>2500.0</v>
      </c>
      <c r="M32" s="41">
        <v>2500.0</v>
      </c>
    </row>
    <row r="33">
      <c r="A33" s="17">
        <v>30.0</v>
      </c>
      <c r="B33" s="17" t="s">
        <v>34</v>
      </c>
      <c r="C33" s="17" t="s">
        <v>35</v>
      </c>
      <c r="D33" s="17" t="s">
        <v>87</v>
      </c>
      <c r="E33" s="17"/>
      <c r="F33" s="40">
        <v>570.0</v>
      </c>
      <c r="G33" s="41">
        <v>500.0</v>
      </c>
      <c r="H33" s="42" t="s">
        <v>37</v>
      </c>
      <c r="I33" s="41">
        <v>500.0</v>
      </c>
      <c r="J33" s="41">
        <v>500.0</v>
      </c>
      <c r="K33" s="41">
        <v>500.0</v>
      </c>
      <c r="L33" s="41">
        <v>500.0</v>
      </c>
      <c r="M33" s="41">
        <v>500.0</v>
      </c>
    </row>
    <row r="34">
      <c r="A34" s="16" t="s">
        <v>47</v>
      </c>
      <c r="B34" s="14"/>
      <c r="C34" s="14"/>
      <c r="D34" s="14"/>
      <c r="E34" s="14"/>
      <c r="F34" s="44"/>
      <c r="G34" s="14"/>
      <c r="H34" s="14"/>
      <c r="I34" s="14"/>
      <c r="J34" s="14"/>
      <c r="K34" s="14"/>
      <c r="L34" s="14"/>
      <c r="M34" s="14"/>
    </row>
    <row r="35">
      <c r="A35" s="17">
        <v>6.0</v>
      </c>
      <c r="B35" s="17" t="s">
        <v>34</v>
      </c>
      <c r="C35" s="17" t="s">
        <v>35</v>
      </c>
      <c r="D35" s="17" t="s">
        <v>88</v>
      </c>
      <c r="E35" s="17"/>
      <c r="F35" s="40">
        <v>1910.0</v>
      </c>
      <c r="G35" s="41">
        <v>1500.0</v>
      </c>
      <c r="H35" s="42" t="s">
        <v>58</v>
      </c>
      <c r="I35" s="41">
        <v>1500.0</v>
      </c>
      <c r="J35" s="41">
        <v>1500.0</v>
      </c>
      <c r="K35" s="41">
        <v>1500.0</v>
      </c>
      <c r="L35" s="41">
        <v>1500.0</v>
      </c>
      <c r="M35" s="41">
        <v>1500.0</v>
      </c>
    </row>
    <row r="36">
      <c r="A36" s="17">
        <v>6.0</v>
      </c>
      <c r="B36" s="17" t="s">
        <v>54</v>
      </c>
      <c r="C36" s="17" t="s">
        <v>64</v>
      </c>
      <c r="D36" s="17" t="s">
        <v>89</v>
      </c>
      <c r="E36" s="17" t="s">
        <v>116</v>
      </c>
      <c r="F36" s="40">
        <v>1310.0</v>
      </c>
      <c r="G36" s="41">
        <v>1250.0</v>
      </c>
      <c r="H36" s="42" t="s">
        <v>58</v>
      </c>
      <c r="I36" s="41">
        <v>1250.0</v>
      </c>
      <c r="J36" s="41">
        <v>1250.0</v>
      </c>
      <c r="K36" s="41">
        <v>1250.0</v>
      </c>
      <c r="L36" s="41">
        <v>1250.0</v>
      </c>
      <c r="M36" s="41">
        <v>1250.0</v>
      </c>
    </row>
    <row r="37">
      <c r="A37" s="17">
        <v>13.0</v>
      </c>
      <c r="B37" s="17" t="s">
        <v>34</v>
      </c>
      <c r="C37" s="17" t="s">
        <v>35</v>
      </c>
      <c r="D37" s="17" t="s">
        <v>92</v>
      </c>
      <c r="E37" s="17"/>
      <c r="F37" s="40">
        <v>550.0</v>
      </c>
      <c r="G37" s="41">
        <v>500.0</v>
      </c>
      <c r="H37" s="42" t="s">
        <v>37</v>
      </c>
      <c r="I37" s="41">
        <v>500.0</v>
      </c>
      <c r="J37" s="41">
        <v>500.0</v>
      </c>
      <c r="K37" s="41">
        <v>500.0</v>
      </c>
      <c r="L37" s="41">
        <v>500.0</v>
      </c>
      <c r="M37" s="41">
        <v>500.0</v>
      </c>
    </row>
    <row r="38">
      <c r="A38" s="17">
        <v>20.0</v>
      </c>
      <c r="B38" s="17" t="s">
        <v>34</v>
      </c>
      <c r="C38" s="17" t="s">
        <v>35</v>
      </c>
      <c r="D38" s="17" t="s">
        <v>93</v>
      </c>
      <c r="E38" s="17"/>
      <c r="F38" s="40">
        <v>3100.0</v>
      </c>
      <c r="G38" s="41">
        <v>2500.0</v>
      </c>
      <c r="H38" s="42" t="s">
        <v>58</v>
      </c>
      <c r="I38" s="41">
        <v>2500.0</v>
      </c>
      <c r="J38" s="41">
        <v>2500.0</v>
      </c>
      <c r="K38" s="41">
        <v>2500.0</v>
      </c>
      <c r="L38" s="41">
        <v>2500.0</v>
      </c>
      <c r="M38" s="41">
        <v>2500.0</v>
      </c>
    </row>
    <row r="39">
      <c r="A39" s="17">
        <v>27.0</v>
      </c>
      <c r="B39" s="17" t="s">
        <v>34</v>
      </c>
      <c r="C39" s="17" t="s">
        <v>35</v>
      </c>
      <c r="D39" s="17" t="s">
        <v>45</v>
      </c>
      <c r="E39" s="17"/>
      <c r="F39" s="40">
        <v>650.0</v>
      </c>
      <c r="G39" s="41">
        <v>500.0</v>
      </c>
      <c r="H39" s="42" t="s">
        <v>37</v>
      </c>
      <c r="I39" s="41">
        <v>500.0</v>
      </c>
      <c r="J39" s="41">
        <v>500.0</v>
      </c>
      <c r="K39" s="41">
        <v>500.0</v>
      </c>
      <c r="L39" s="41">
        <v>500.0</v>
      </c>
      <c r="M39" s="41">
        <v>500.0</v>
      </c>
    </row>
    <row r="40">
      <c r="A40" s="16" t="s">
        <v>50</v>
      </c>
      <c r="B40" s="14"/>
      <c r="C40" s="14"/>
      <c r="D40" s="14"/>
      <c r="E40" s="14"/>
      <c r="F40" s="44"/>
      <c r="G40" s="14"/>
      <c r="H40" s="14"/>
      <c r="I40" s="14"/>
      <c r="J40" s="14"/>
      <c r="K40" s="14"/>
      <c r="L40" s="14"/>
      <c r="M40" s="14"/>
    </row>
    <row r="41">
      <c r="A41" s="17">
        <v>4.0</v>
      </c>
      <c r="B41" s="17" t="s">
        <v>34</v>
      </c>
      <c r="C41" s="17" t="s">
        <v>35</v>
      </c>
      <c r="D41" s="17" t="s">
        <v>45</v>
      </c>
      <c r="E41" s="17"/>
      <c r="F41" s="40">
        <v>530.0</v>
      </c>
      <c r="G41" s="41">
        <v>500.0</v>
      </c>
      <c r="H41" s="42" t="s">
        <v>37</v>
      </c>
      <c r="I41" s="41">
        <v>500.0</v>
      </c>
      <c r="J41" s="41">
        <v>500.0</v>
      </c>
      <c r="K41" s="41">
        <v>500.0</v>
      </c>
      <c r="L41" s="41">
        <v>500.0</v>
      </c>
      <c r="M41" s="41">
        <v>500.0</v>
      </c>
    </row>
    <row r="42">
      <c r="A42" s="17">
        <v>11.0</v>
      </c>
      <c r="B42" s="17" t="s">
        <v>34</v>
      </c>
      <c r="C42" s="17" t="s">
        <v>35</v>
      </c>
      <c r="D42" s="17" t="s">
        <v>94</v>
      </c>
      <c r="E42" s="17"/>
      <c r="F42" s="40">
        <v>520.0</v>
      </c>
      <c r="G42" s="41">
        <v>500.0</v>
      </c>
      <c r="H42" s="42" t="s">
        <v>37</v>
      </c>
      <c r="I42" s="41">
        <v>500.0</v>
      </c>
      <c r="J42" s="41">
        <v>500.0</v>
      </c>
      <c r="K42" s="41">
        <v>500.0</v>
      </c>
      <c r="L42" s="41">
        <v>500.0</v>
      </c>
      <c r="M42" s="41">
        <v>500.0</v>
      </c>
    </row>
    <row r="43">
      <c r="A43" s="17">
        <v>18.0</v>
      </c>
      <c r="B43" s="17" t="s">
        <v>54</v>
      </c>
      <c r="C43" s="17" t="s">
        <v>64</v>
      </c>
      <c r="D43" s="17" t="s">
        <v>95</v>
      </c>
      <c r="E43" s="17" t="s">
        <v>96</v>
      </c>
      <c r="F43" s="40">
        <v>0.0</v>
      </c>
      <c r="G43" s="41">
        <v>0.0</v>
      </c>
      <c r="H43" s="42" t="s">
        <v>58</v>
      </c>
      <c r="I43" s="41">
        <v>0.0</v>
      </c>
      <c r="J43" s="41">
        <v>0.0</v>
      </c>
      <c r="K43" s="41">
        <v>0.0</v>
      </c>
      <c r="L43" s="41">
        <v>0.0</v>
      </c>
      <c r="M43" s="41">
        <v>0.0</v>
      </c>
    </row>
    <row r="44">
      <c r="A44" s="16" t="s">
        <v>97</v>
      </c>
      <c r="B44" s="14"/>
      <c r="C44" s="14"/>
      <c r="D44" s="14"/>
      <c r="E44" s="14"/>
      <c r="F44" s="44"/>
      <c r="G44" s="14"/>
      <c r="H44" s="14"/>
      <c r="I44" s="14"/>
      <c r="J44" s="14"/>
      <c r="K44" s="14"/>
      <c r="L44" s="14"/>
      <c r="M44" s="14"/>
    </row>
    <row r="45">
      <c r="A45" s="17">
        <v>1.0</v>
      </c>
      <c r="B45" s="17" t="s">
        <v>34</v>
      </c>
      <c r="C45" s="17" t="s">
        <v>35</v>
      </c>
      <c r="D45" s="17" t="s">
        <v>98</v>
      </c>
      <c r="E45" s="17"/>
      <c r="F45" s="40">
        <v>3250.0</v>
      </c>
      <c r="G45" s="42">
        <v>3250.0</v>
      </c>
      <c r="H45" s="42" t="s">
        <v>58</v>
      </c>
      <c r="I45" s="41">
        <v>3250.0</v>
      </c>
      <c r="J45" s="41">
        <v>3250.0</v>
      </c>
      <c r="K45" s="41">
        <v>3250.0</v>
      </c>
      <c r="L45" s="41">
        <v>3250.0</v>
      </c>
      <c r="M45" s="41">
        <v>3250.0</v>
      </c>
    </row>
    <row r="46">
      <c r="A46" s="16" t="s">
        <v>52</v>
      </c>
      <c r="B46" s="14"/>
      <c r="C46" s="14"/>
      <c r="D46" s="14"/>
      <c r="E46" s="14"/>
      <c r="F46" s="44"/>
      <c r="G46" s="14"/>
      <c r="H46" s="14"/>
      <c r="I46" s="14"/>
      <c r="J46" s="14"/>
      <c r="K46" s="14"/>
      <c r="L46" s="14"/>
      <c r="M46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88"/>
    <col customWidth="1" min="6" max="6" width="15.63"/>
    <col customWidth="1" min="8" max="8" width="16.88"/>
  </cols>
  <sheetData>
    <row r="1">
      <c r="A1" s="45" t="s">
        <v>117</v>
      </c>
      <c r="B1" s="46">
        <f>SUMIF('Tranzactii 2025'!H:H,'Tranzactii 2025'!H4,'Tranzactii 2025'!G:G)</f>
        <v>395227.4</v>
      </c>
      <c r="C1" s="46"/>
      <c r="D1" s="46"/>
      <c r="E1" s="45" t="s">
        <v>118</v>
      </c>
      <c r="F1" s="46">
        <f>COUNT('Evenimente 2025'!A:A)</f>
        <v>37</v>
      </c>
      <c r="J1" s="46"/>
      <c r="K1" s="46"/>
      <c r="L1" s="45" t="s">
        <v>119</v>
      </c>
      <c r="M1" s="45">
        <v>5.0</v>
      </c>
      <c r="N1" s="46"/>
      <c r="O1" s="46"/>
      <c r="P1" s="46"/>
      <c r="Q1" s="46"/>
      <c r="R1" s="46"/>
      <c r="S1" s="46"/>
    </row>
    <row r="2">
      <c r="A2" s="45" t="s">
        <v>120</v>
      </c>
      <c r="B2" s="46">
        <f>sumif('Tranzactii 2025'!H:H,'Tranzactii 2025'!H95,'Tranzactii 2025'!G:G)</f>
        <v>29750</v>
      </c>
      <c r="C2" s="46"/>
      <c r="D2" s="46"/>
      <c r="F2" s="46"/>
      <c r="G2" s="46"/>
      <c r="J2" s="46"/>
      <c r="L2" s="47"/>
      <c r="M2" s="48"/>
      <c r="N2" s="46"/>
      <c r="O2" s="46"/>
      <c r="P2" s="46"/>
      <c r="Q2" s="46"/>
      <c r="R2" s="46"/>
      <c r="S2" s="46"/>
    </row>
    <row r="3">
      <c r="A3" s="45" t="s">
        <v>121</v>
      </c>
      <c r="B3" s="46">
        <f>SUMIF('Tranzactii 2025'!C:C,'Tranzactii 2025'!C4,'Tranzactii 2025'!B:B)</f>
        <v>386524.11</v>
      </c>
      <c r="C3" s="46"/>
      <c r="D3" s="46"/>
      <c r="E3" s="45" t="s">
        <v>54</v>
      </c>
      <c r="F3" s="46">
        <f>countif('Evenimente 2025'!B:B,E3)</f>
        <v>14</v>
      </c>
      <c r="G3" s="46"/>
      <c r="J3" s="46"/>
      <c r="L3" s="49"/>
      <c r="M3" s="48"/>
      <c r="N3" s="46"/>
      <c r="O3" s="46"/>
      <c r="P3" s="46"/>
      <c r="Q3" s="46"/>
      <c r="R3" s="46"/>
      <c r="S3" s="46"/>
    </row>
    <row r="4">
      <c r="A4" s="45" t="s">
        <v>122</v>
      </c>
      <c r="B4" s="46">
        <f>sumif('Tranzactii 2025'!C:C,'Tranzactii 2025'!C98,'Tranzactii 2025'!B:B)</f>
        <v>29750</v>
      </c>
      <c r="C4" s="46"/>
      <c r="D4" s="46"/>
      <c r="E4" s="45" t="s">
        <v>55</v>
      </c>
      <c r="F4">
        <f>COUNTIF('Evenimente 2025'!C:C,E4)</f>
        <v>7</v>
      </c>
      <c r="G4" s="46"/>
      <c r="J4" s="46"/>
      <c r="K4" s="46"/>
      <c r="L4" s="46"/>
      <c r="M4" s="46"/>
      <c r="N4" s="46"/>
      <c r="O4" s="46"/>
      <c r="P4" s="46"/>
      <c r="Q4" s="46"/>
      <c r="R4" s="46"/>
      <c r="S4" s="46"/>
    </row>
    <row r="5">
      <c r="A5" s="45" t="s">
        <v>123</v>
      </c>
      <c r="B5" s="46">
        <f>sum('Tranzactii 2025'!L:L)</f>
        <v>244150</v>
      </c>
      <c r="C5" s="45" t="s">
        <v>124</v>
      </c>
      <c r="D5" s="46"/>
      <c r="E5" s="50" t="s">
        <v>125</v>
      </c>
      <c r="F5">
        <f>COUNTIF('Evenimente 2025'!C:C,E5)</f>
        <v>7</v>
      </c>
      <c r="G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>
      <c r="A6" s="45" t="s">
        <v>126</v>
      </c>
      <c r="B6" s="46">
        <f>sum('Tranzactii 2025'!N:N)</f>
        <v>32400</v>
      </c>
      <c r="C6" s="45" t="s">
        <v>124</v>
      </c>
      <c r="D6" s="46"/>
      <c r="G6" s="46"/>
      <c r="J6" s="46"/>
      <c r="K6" s="46"/>
      <c r="L6" s="46"/>
      <c r="M6" s="46"/>
      <c r="N6" s="46"/>
      <c r="O6" s="46"/>
      <c r="P6" s="46"/>
      <c r="Q6" s="46"/>
      <c r="R6" s="46"/>
      <c r="S6" s="46"/>
    </row>
    <row r="7">
      <c r="A7" s="45"/>
      <c r="B7" s="46"/>
      <c r="C7" s="45"/>
      <c r="D7" s="46"/>
      <c r="F7" s="46"/>
      <c r="G7" s="45"/>
      <c r="J7" s="46"/>
      <c r="K7" s="46"/>
      <c r="L7" s="46"/>
      <c r="M7" s="46"/>
      <c r="N7" s="46"/>
      <c r="O7" s="46"/>
      <c r="P7" s="46"/>
      <c r="Q7" s="46"/>
      <c r="R7" s="46"/>
      <c r="S7" s="46"/>
    </row>
    <row r="8">
      <c r="A8" s="46"/>
      <c r="B8" s="46"/>
      <c r="C8" s="46"/>
      <c r="D8" s="46"/>
      <c r="G8" s="46"/>
      <c r="J8" s="46"/>
      <c r="K8" s="46"/>
      <c r="L8" s="46"/>
      <c r="M8" s="46"/>
      <c r="N8" s="46"/>
      <c r="O8" s="46"/>
      <c r="P8" s="46"/>
      <c r="Q8" s="46"/>
      <c r="R8" s="46"/>
      <c r="S8" s="46"/>
    </row>
    <row r="9">
      <c r="A9" s="45" t="s">
        <v>127</v>
      </c>
      <c r="B9" s="46">
        <f>'DatoriiRecuperari 2025'!A14</f>
        <v>0</v>
      </c>
      <c r="C9" s="46"/>
      <c r="D9" s="46"/>
      <c r="E9" s="45" t="s">
        <v>34</v>
      </c>
      <c r="F9" s="46">
        <f>COUNTIF('Evenimente 2025'!B:B,E9)</f>
        <v>23</v>
      </c>
      <c r="G9" s="46"/>
      <c r="J9" s="46"/>
      <c r="K9" s="46"/>
      <c r="L9" s="46"/>
      <c r="M9" s="46"/>
      <c r="N9" s="46"/>
      <c r="O9" s="46"/>
      <c r="P9" s="46"/>
      <c r="Q9" s="46"/>
      <c r="R9" s="46"/>
      <c r="S9" s="46"/>
    </row>
    <row r="10">
      <c r="A10" s="45" t="s">
        <v>128</v>
      </c>
      <c r="B10" s="46">
        <f>'DatoriiRecuperari 2025'!A2</f>
        <v>2400</v>
      </c>
      <c r="C10" s="46"/>
      <c r="D10" s="46"/>
      <c r="E10" s="45" t="s">
        <v>35</v>
      </c>
      <c r="F10" s="46">
        <f>COUNTIF('Evenimente 2025'!C:C,E10)</f>
        <v>16</v>
      </c>
      <c r="G10" s="46"/>
      <c r="J10" s="46"/>
      <c r="K10" s="46"/>
      <c r="L10" s="46"/>
      <c r="M10" s="46"/>
      <c r="N10" s="46"/>
      <c r="O10" s="46"/>
      <c r="P10" s="46"/>
      <c r="Q10" s="46"/>
      <c r="R10" s="46"/>
      <c r="S10" s="46"/>
    </row>
    <row r="11">
      <c r="A11" s="46"/>
      <c r="B11" s="46"/>
      <c r="C11" s="46"/>
      <c r="D11" s="46"/>
      <c r="E11" s="45" t="s">
        <v>78</v>
      </c>
      <c r="F11" s="46">
        <f>countif('Evenimente 2025'!C:C,E11)</f>
        <v>5</v>
      </c>
      <c r="G11" s="45"/>
      <c r="J11" s="46"/>
      <c r="K11" s="46"/>
      <c r="L11" s="46"/>
      <c r="M11" s="46"/>
      <c r="N11" s="46"/>
      <c r="O11" s="46"/>
      <c r="P11" s="46"/>
      <c r="Q11" s="46"/>
      <c r="R11" s="46"/>
      <c r="S11" s="46"/>
    </row>
    <row r="12">
      <c r="A12" s="45" t="s">
        <v>129</v>
      </c>
      <c r="B12" s="46">
        <f t="shared" ref="B12:B13" si="1">B1-B3</f>
        <v>8703.29</v>
      </c>
      <c r="C12" s="46"/>
      <c r="D12" s="46"/>
      <c r="E12" s="45" t="s">
        <v>130</v>
      </c>
      <c r="F12" s="46">
        <f>COUNTIF('Evenimente 2025'!C:C,E12)</f>
        <v>0</v>
      </c>
      <c r="G12" s="46"/>
      <c r="J12" s="46"/>
      <c r="K12" s="46"/>
      <c r="L12" s="46"/>
      <c r="M12" s="46"/>
      <c r="N12" s="46"/>
      <c r="O12" s="46"/>
      <c r="P12" s="46"/>
      <c r="Q12" s="46"/>
      <c r="R12" s="46"/>
      <c r="S12" s="46"/>
    </row>
    <row r="13">
      <c r="A13" s="45" t="s">
        <v>131</v>
      </c>
      <c r="B13" s="46">
        <f t="shared" si="1"/>
        <v>0</v>
      </c>
      <c r="C13" s="51">
        <f>B13*M1</f>
        <v>0</v>
      </c>
      <c r="D13" s="46"/>
      <c r="G13" s="46"/>
      <c r="J13" s="46"/>
      <c r="K13" s="46"/>
      <c r="L13" s="46"/>
      <c r="M13" s="46"/>
      <c r="N13" s="46"/>
      <c r="O13" s="46"/>
      <c r="P13" s="46"/>
      <c r="Q13" s="46"/>
      <c r="R13" s="46"/>
      <c r="S13" s="46"/>
    </row>
    <row r="14">
      <c r="A14" s="45" t="s">
        <v>132</v>
      </c>
      <c r="B14" s="52">
        <f>B12+C13</f>
        <v>8703.29</v>
      </c>
      <c r="C14" s="45" t="s">
        <v>124</v>
      </c>
      <c r="G14" s="46"/>
      <c r="J14" s="46"/>
      <c r="K14" s="46"/>
      <c r="L14" s="46"/>
      <c r="M14" s="46"/>
      <c r="N14" s="46"/>
      <c r="O14" s="46"/>
      <c r="P14" s="46"/>
      <c r="Q14" s="46"/>
      <c r="R14" s="46"/>
      <c r="S14" s="46"/>
    </row>
    <row r="15">
      <c r="A15" s="45" t="s">
        <v>133</v>
      </c>
      <c r="B15" s="53">
        <f>B14-B10+B9</f>
        <v>6303.29</v>
      </c>
      <c r="C15" s="45" t="s">
        <v>124</v>
      </c>
      <c r="D15" s="46"/>
      <c r="E15" s="50" t="s">
        <v>28</v>
      </c>
      <c r="F15" s="46">
        <f>COUNTIF('Evenimente 2025'!C:C,E15)</f>
        <v>1</v>
      </c>
      <c r="G15" s="45"/>
      <c r="J15" s="46"/>
      <c r="K15" s="46"/>
      <c r="L15" s="46"/>
      <c r="M15" s="46"/>
      <c r="N15" s="46"/>
      <c r="O15" s="46"/>
      <c r="P15" s="46"/>
      <c r="Q15" s="46"/>
      <c r="R15" s="46"/>
      <c r="S15" s="46"/>
    </row>
    <row r="16">
      <c r="A16" s="46"/>
      <c r="B16" s="46"/>
      <c r="C16" s="46"/>
      <c r="D16" s="46"/>
      <c r="E16" s="46"/>
      <c r="F16" s="46"/>
      <c r="G16" s="46"/>
      <c r="J16" s="46"/>
      <c r="K16" s="46"/>
      <c r="L16" s="46"/>
      <c r="M16" s="46"/>
      <c r="N16" s="46"/>
      <c r="O16" s="46"/>
      <c r="P16" s="46"/>
      <c r="Q16" s="46"/>
      <c r="R16" s="46"/>
      <c r="S16" s="46"/>
    </row>
    <row r="17">
      <c r="A17" s="46"/>
      <c r="B17" s="46"/>
      <c r="C17" s="46"/>
      <c r="D17" s="46"/>
      <c r="E17" s="45"/>
      <c r="F17" s="46"/>
      <c r="G17" s="46"/>
      <c r="J17" s="46"/>
      <c r="K17" s="46"/>
      <c r="L17" s="46"/>
      <c r="M17" s="46"/>
      <c r="N17" s="46"/>
      <c r="O17" s="46"/>
      <c r="P17" s="46"/>
      <c r="Q17" s="46"/>
      <c r="R17" s="46"/>
      <c r="S17" s="46"/>
    </row>
    <row r="18">
      <c r="A18" s="46"/>
      <c r="B18" s="46"/>
      <c r="C18" s="46"/>
      <c r="D18" s="46"/>
      <c r="E18" s="45"/>
      <c r="F18" s="46"/>
      <c r="G18" s="46"/>
      <c r="J18" s="46"/>
      <c r="K18" s="46"/>
      <c r="L18" s="46"/>
      <c r="M18" s="46"/>
      <c r="N18" s="46"/>
      <c r="O18" s="46"/>
      <c r="P18" s="46"/>
      <c r="Q18" s="46"/>
      <c r="R18" s="46"/>
      <c r="S18" s="46"/>
    </row>
    <row r="19">
      <c r="A19" s="45" t="s">
        <v>134</v>
      </c>
      <c r="B19" s="46">
        <f>SUMIF('Onorariu Artist 2025'!H:H,'Onorariu Artist 2025'!H5,'Onorariu Artist 2025'!G:G)</f>
        <v>28150</v>
      </c>
      <c r="C19" s="46"/>
      <c r="D19" s="46"/>
      <c r="E19" s="45"/>
      <c r="F19" s="46"/>
      <c r="G19" s="45"/>
      <c r="J19" s="46"/>
      <c r="K19" s="46"/>
      <c r="L19" s="46"/>
      <c r="M19" s="46"/>
      <c r="N19" s="46"/>
      <c r="O19" s="46"/>
      <c r="P19" s="46"/>
      <c r="Q19" s="46"/>
      <c r="R19" s="46"/>
      <c r="S19" s="46"/>
    </row>
    <row r="20">
      <c r="A20" s="45" t="s">
        <v>135</v>
      </c>
      <c r="B20" s="46">
        <f>sumif('Onorariu Artist 2025'!H:H,'Onorariu Artist 2025'!H10,'Onorariu Artist 2025'!G:G)</f>
        <v>5450</v>
      </c>
      <c r="C20" s="46"/>
      <c r="D20" s="46"/>
      <c r="E20" s="45"/>
      <c r="G20" s="46"/>
      <c r="J20" s="46"/>
      <c r="K20" s="46"/>
      <c r="L20" s="46"/>
      <c r="M20" s="46"/>
      <c r="N20" s="46"/>
      <c r="O20" s="46"/>
      <c r="P20" s="46"/>
      <c r="Q20" s="46"/>
      <c r="R20" s="46"/>
      <c r="S20" s="46"/>
    </row>
    <row r="21">
      <c r="A21" s="50" t="s">
        <v>136</v>
      </c>
      <c r="B21">
        <f>round(B20+B19/M1,0)</f>
        <v>11080</v>
      </c>
      <c r="C21" s="45" t="s">
        <v>137</v>
      </c>
      <c r="D21" s="46"/>
      <c r="E21" s="45" t="s">
        <v>138</v>
      </c>
      <c r="F21" s="46">
        <f>SUMIF('Tranzactii 2025'!D:D,"Comision Retrageri",'Tranzactii 2025'!B:B)</f>
        <v>593.35</v>
      </c>
      <c r="G21" s="46"/>
      <c r="J21" s="46"/>
      <c r="K21" s="46"/>
      <c r="L21" s="46"/>
      <c r="M21" s="46"/>
      <c r="N21" s="46"/>
      <c r="O21" s="46"/>
      <c r="P21" s="46"/>
      <c r="Q21" s="46"/>
      <c r="R21" s="46"/>
      <c r="S21" s="46"/>
    </row>
    <row r="22">
      <c r="C22" s="46"/>
      <c r="D22" s="46"/>
      <c r="E22" s="45" t="s">
        <v>139</v>
      </c>
      <c r="F22" s="46">
        <f>SUMIF('Tranzactii 2025'!D:D,"Comision Operatiune",'Tranzactii 2025'!B:B)</f>
        <v>114.02</v>
      </c>
      <c r="G22" s="46"/>
      <c r="J22" s="46"/>
      <c r="K22" s="46"/>
      <c r="L22" s="46"/>
      <c r="M22" s="46"/>
      <c r="N22" s="46"/>
      <c r="O22" s="46"/>
      <c r="P22" s="46"/>
      <c r="Q22" s="46"/>
      <c r="R22" s="46"/>
      <c r="S22" s="46"/>
    </row>
    <row r="23">
      <c r="A23" s="54" t="s">
        <v>140</v>
      </c>
      <c r="B23" s="55">
        <f>sumif('Onorariu Artist 2025'!H:H,'Onorariu Artist 2025'!H4,'Onorariu Artist 2025'!F:F)</f>
        <v>30956</v>
      </c>
      <c r="C23" s="46"/>
      <c r="D23" s="46"/>
      <c r="E23" s="45" t="s">
        <v>141</v>
      </c>
      <c r="F23" s="46">
        <f>SUMIF('Tranzactii 2025'!D:D,"Salariu",'Tranzactii 2025'!B:B)</f>
        <v>21139</v>
      </c>
      <c r="G23" s="46"/>
      <c r="J23" s="46"/>
      <c r="K23" s="46"/>
      <c r="L23" s="46"/>
      <c r="M23" s="46"/>
      <c r="N23" s="46"/>
      <c r="O23" s="46"/>
      <c r="P23" s="46"/>
      <c r="Q23" s="46"/>
      <c r="R23" s="46"/>
      <c r="S23" s="46"/>
    </row>
    <row r="24">
      <c r="A24" s="54" t="s">
        <v>142</v>
      </c>
      <c r="B24" s="55">
        <f>sumif('Onorariu Artist 2025'!H:H,'Onorariu Artist 2025'!H10,'Onorariu Artist 2025'!F:F)</f>
        <v>6150</v>
      </c>
      <c r="C24" s="46"/>
      <c r="D24" s="46"/>
      <c r="E24" s="45" t="s">
        <v>143</v>
      </c>
      <c r="F24" s="46">
        <f>SUMIF('Tranzactii 2025'!D:D,"TVA",'Tranzactii 2025'!B:B)</f>
        <v>291</v>
      </c>
      <c r="G24" s="46"/>
      <c r="J24" s="46"/>
      <c r="K24" s="46"/>
      <c r="L24" s="46"/>
      <c r="M24" s="46"/>
      <c r="N24" s="46"/>
      <c r="O24" s="46"/>
      <c r="P24" s="46"/>
      <c r="Q24" s="46"/>
      <c r="R24" s="46"/>
      <c r="S24" s="46"/>
    </row>
    <row r="25">
      <c r="A25" s="50" t="s">
        <v>144</v>
      </c>
      <c r="B25">
        <f>round(B24+B23/M1,0)</f>
        <v>12341</v>
      </c>
      <c r="C25" s="45" t="s">
        <v>137</v>
      </c>
      <c r="D25" s="46"/>
      <c r="E25" s="45" t="s">
        <v>145</v>
      </c>
      <c r="F25" s="46">
        <f>SUMIF('Tranzactii 2025'!D:D,"ING Card",'Tranzactii 2025'!B:B)</f>
        <v>400</v>
      </c>
      <c r="G25" s="46"/>
      <c r="J25" s="46"/>
      <c r="K25" s="46"/>
      <c r="L25" s="46"/>
      <c r="M25" s="46"/>
      <c r="N25" s="46"/>
      <c r="O25" s="46"/>
      <c r="P25" s="46"/>
      <c r="Q25" s="46"/>
      <c r="R25" s="46"/>
      <c r="S25" s="46"/>
    </row>
    <row r="26">
      <c r="D26" s="46"/>
      <c r="E26" s="45" t="s">
        <v>146</v>
      </c>
      <c r="F26" s="46">
        <f>SUMIF('Tranzactii 2025'!D:D,"Drive",'Tranzactii 2025'!B:B)</f>
        <v>838.94</v>
      </c>
      <c r="G26" s="46"/>
      <c r="J26" s="46"/>
      <c r="K26" s="46"/>
      <c r="L26" s="46"/>
      <c r="M26" s="46"/>
      <c r="N26" s="46"/>
      <c r="O26" s="46"/>
      <c r="P26" s="46"/>
      <c r="Q26" s="46"/>
      <c r="R26" s="46"/>
      <c r="S26" s="46"/>
    </row>
    <row r="27">
      <c r="C27" s="46"/>
      <c r="D27" s="46"/>
      <c r="E27" s="46"/>
      <c r="F27" s="46"/>
      <c r="G27" s="46"/>
      <c r="J27" s="46"/>
      <c r="K27" s="46"/>
      <c r="L27" s="46"/>
      <c r="M27" s="46"/>
      <c r="N27" s="46"/>
      <c r="O27" s="46"/>
      <c r="P27" s="46"/>
      <c r="Q27" s="46"/>
      <c r="R27" s="46"/>
      <c r="S27" s="46"/>
    </row>
    <row r="28">
      <c r="C28" s="46"/>
      <c r="D28" s="46"/>
      <c r="E28" s="46"/>
      <c r="F28" s="46"/>
      <c r="G28" s="46"/>
      <c r="J28" s="46"/>
      <c r="K28" s="46"/>
      <c r="L28" s="46"/>
      <c r="M28" s="46"/>
      <c r="N28" s="46"/>
      <c r="O28" s="46"/>
      <c r="P28" s="46"/>
      <c r="Q28" s="46"/>
      <c r="R28" s="46"/>
      <c r="S28" s="46"/>
    </row>
    <row r="29">
      <c r="A29" s="56" t="s">
        <v>147</v>
      </c>
      <c r="B29" s="57"/>
      <c r="C29" s="46"/>
      <c r="D29" s="46"/>
      <c r="E29" s="46"/>
      <c r="F29" s="46"/>
      <c r="G29" s="46"/>
      <c r="J29" s="46"/>
      <c r="K29" s="46"/>
      <c r="L29" s="46"/>
      <c r="M29" s="46"/>
      <c r="N29" s="46"/>
      <c r="O29" s="46"/>
      <c r="P29" s="46"/>
      <c r="Q29" s="46"/>
      <c r="R29" s="46"/>
      <c r="S29" s="46"/>
    </row>
    <row r="30">
      <c r="A30" s="58" t="s">
        <v>148</v>
      </c>
      <c r="B30" s="59"/>
      <c r="C30" s="46"/>
      <c r="D30" s="46"/>
      <c r="E30" s="46"/>
      <c r="F30" s="46"/>
      <c r="G30" s="46"/>
      <c r="J30" s="46"/>
      <c r="K30" s="46"/>
      <c r="L30" s="46"/>
      <c r="M30" s="46"/>
      <c r="N30" s="46"/>
      <c r="O30" s="46"/>
      <c r="P30" s="46"/>
      <c r="Q30" s="46"/>
      <c r="R30" s="46"/>
      <c r="S30" s="46"/>
    </row>
    <row r="31">
      <c r="A31" s="58" t="s">
        <v>149</v>
      </c>
      <c r="B31" s="59"/>
      <c r="C31" s="46"/>
      <c r="D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</row>
    <row r="32">
      <c r="A32" s="58"/>
      <c r="B32" s="59"/>
      <c r="C32" s="46"/>
      <c r="D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</row>
    <row r="33">
      <c r="A33" s="60"/>
      <c r="B33" s="59"/>
      <c r="C33" s="46"/>
      <c r="D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</row>
    <row r="34">
      <c r="B34" s="57"/>
      <c r="C34" s="46"/>
      <c r="D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</row>
    <row r="35">
      <c r="A35" s="45"/>
      <c r="B35" s="45"/>
      <c r="C35" s="46"/>
      <c r="D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</row>
    <row r="36">
      <c r="A36" s="46"/>
      <c r="B36" s="46"/>
      <c r="C36" s="46"/>
      <c r="D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</row>
    <row r="37">
      <c r="A37" s="46"/>
      <c r="B37" s="46"/>
      <c r="C37" s="46"/>
      <c r="D37" s="46"/>
      <c r="E37" s="45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</row>
    <row r="38">
      <c r="D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</row>
    <row r="39">
      <c r="D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</row>
    <row r="40">
      <c r="D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</row>
    <row r="41">
      <c r="D41" s="46"/>
      <c r="E41" s="54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</row>
    <row r="42">
      <c r="C42" s="46"/>
      <c r="D42" s="46"/>
      <c r="E42" s="54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</row>
    <row r="43">
      <c r="D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</row>
    <row r="44">
      <c r="C44" s="46"/>
      <c r="D44" s="46"/>
      <c r="E44" s="54"/>
      <c r="F44" s="54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</row>
    <row r="45">
      <c r="A45" s="46"/>
      <c r="B45" s="46"/>
      <c r="C45" s="46"/>
      <c r="D45" s="46"/>
      <c r="E45" s="54"/>
      <c r="F45" s="55"/>
      <c r="G45" s="46"/>
      <c r="J45" s="46"/>
      <c r="K45" s="46"/>
      <c r="L45" s="46"/>
      <c r="M45" s="46"/>
      <c r="N45" s="46"/>
      <c r="O45" s="46"/>
      <c r="P45" s="46"/>
      <c r="Q45" s="46"/>
      <c r="R45" s="46"/>
      <c r="S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</row>
    <row r="47"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</row>
    <row r="48"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</row>
    <row r="49"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</row>
    <row r="50"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</row>
    <row r="51"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</row>
    <row r="52"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</row>
    <row r="53"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8.0"/>
    <col customWidth="1" min="2" max="2" width="9.25"/>
    <col customWidth="1" min="3" max="3" width="7.38"/>
    <col customWidth="1" min="7" max="7" width="8.0"/>
    <col customWidth="1" min="8" max="8" width="7.13"/>
    <col customWidth="1" min="9" max="9" width="11.75"/>
    <col customWidth="1" min="10" max="10" width="13.5"/>
    <col customWidth="1" min="11" max="12" width="8.75"/>
    <col customWidth="1" min="13" max="13" width="8.63"/>
    <col customWidth="1" min="14" max="14" width="8.75"/>
    <col customWidth="1" min="15" max="15" width="8.63"/>
  </cols>
  <sheetData>
    <row r="1">
      <c r="A1" s="61"/>
      <c r="B1" s="62" t="s">
        <v>0</v>
      </c>
      <c r="F1" s="59"/>
      <c r="G1" s="62" t="s">
        <v>150</v>
      </c>
      <c r="K1" s="59"/>
      <c r="L1" s="62" t="s">
        <v>123</v>
      </c>
      <c r="M1" s="59"/>
      <c r="N1" s="62" t="s">
        <v>126</v>
      </c>
      <c r="O1" s="59"/>
      <c r="P1" s="18"/>
      <c r="Q1" s="18"/>
      <c r="R1" s="18"/>
      <c r="S1" s="18"/>
      <c r="T1" s="18"/>
      <c r="U1" s="18"/>
      <c r="V1" s="18"/>
      <c r="W1" s="18"/>
      <c r="X1" s="18"/>
      <c r="Y1" s="18"/>
    </row>
    <row r="2">
      <c r="A2" s="63" t="s">
        <v>1</v>
      </c>
      <c r="B2" s="62" t="s">
        <v>151</v>
      </c>
      <c r="C2" s="17" t="s">
        <v>8</v>
      </c>
      <c r="D2" s="17" t="s">
        <v>152</v>
      </c>
      <c r="E2" s="17" t="s">
        <v>5</v>
      </c>
      <c r="F2" s="64" t="s">
        <v>153</v>
      </c>
      <c r="G2" s="62" t="s">
        <v>151</v>
      </c>
      <c r="H2" s="17" t="s">
        <v>8</v>
      </c>
      <c r="I2" s="17" t="s">
        <v>152</v>
      </c>
      <c r="J2" s="17" t="s">
        <v>5</v>
      </c>
      <c r="K2" s="64" t="s">
        <v>153</v>
      </c>
      <c r="L2" s="62" t="s">
        <v>151</v>
      </c>
      <c r="M2" s="64" t="s">
        <v>5</v>
      </c>
      <c r="N2" s="62" t="s">
        <v>151</v>
      </c>
      <c r="O2" s="64" t="s">
        <v>5</v>
      </c>
      <c r="P2" s="18"/>
      <c r="Q2" s="18"/>
      <c r="R2" s="18"/>
      <c r="S2" s="18"/>
      <c r="T2" s="18"/>
      <c r="U2" s="18"/>
      <c r="V2" s="18"/>
      <c r="W2" s="18"/>
      <c r="X2" s="18"/>
      <c r="Y2" s="18"/>
    </row>
    <row r="3">
      <c r="A3" s="63">
        <v>45660.0</v>
      </c>
      <c r="B3" s="62">
        <v>71.01</v>
      </c>
      <c r="C3" s="17" t="s">
        <v>154</v>
      </c>
      <c r="D3" s="17" t="s">
        <v>146</v>
      </c>
      <c r="E3" s="17"/>
      <c r="F3" s="64" t="s">
        <v>155</v>
      </c>
      <c r="G3" s="62"/>
      <c r="H3" s="17"/>
      <c r="I3" s="17"/>
      <c r="J3" s="17"/>
      <c r="K3" s="64"/>
      <c r="L3" s="62"/>
      <c r="M3" s="65"/>
      <c r="N3" s="66"/>
      <c r="O3" s="65"/>
      <c r="P3" s="18"/>
      <c r="Q3" s="18"/>
      <c r="R3" s="18"/>
      <c r="S3" s="18"/>
      <c r="T3" s="18"/>
      <c r="U3" s="18"/>
      <c r="V3" s="18"/>
      <c r="W3" s="18"/>
      <c r="X3" s="18"/>
      <c r="Y3" s="18"/>
    </row>
    <row r="4">
      <c r="A4" s="63">
        <v>45663.0</v>
      </c>
      <c r="B4" s="62">
        <v>2500.0</v>
      </c>
      <c r="C4" s="17" t="s">
        <v>154</v>
      </c>
      <c r="D4" s="17" t="s">
        <v>110</v>
      </c>
      <c r="E4" s="17" t="s">
        <v>156</v>
      </c>
      <c r="F4" s="64" t="s">
        <v>149</v>
      </c>
      <c r="G4" s="62">
        <v>21140.4</v>
      </c>
      <c r="H4" s="17" t="s">
        <v>154</v>
      </c>
      <c r="I4" s="17" t="s">
        <v>157</v>
      </c>
      <c r="J4" s="17" t="s">
        <v>158</v>
      </c>
      <c r="K4" s="64"/>
      <c r="L4" s="62">
        <v>5000.0</v>
      </c>
      <c r="M4" s="65"/>
      <c r="N4" s="66"/>
      <c r="O4" s="65"/>
      <c r="P4" s="18"/>
      <c r="Q4" s="18"/>
      <c r="R4" s="18"/>
      <c r="S4" s="18"/>
      <c r="T4" s="18"/>
      <c r="U4" s="18"/>
      <c r="V4" s="18"/>
      <c r="W4" s="18"/>
      <c r="X4" s="18"/>
      <c r="Y4" s="18"/>
    </row>
    <row r="5">
      <c r="A5" s="67"/>
      <c r="B5" s="62">
        <v>2500.0</v>
      </c>
      <c r="C5" s="17" t="s">
        <v>154</v>
      </c>
      <c r="D5" s="68" t="s">
        <v>109</v>
      </c>
      <c r="E5" s="17" t="s">
        <v>156</v>
      </c>
      <c r="F5" s="64" t="s">
        <v>149</v>
      </c>
      <c r="G5" s="62"/>
      <c r="H5" s="17"/>
      <c r="I5" s="18"/>
      <c r="J5" s="17"/>
      <c r="K5" s="64"/>
      <c r="L5" s="62">
        <v>4000.0</v>
      </c>
      <c r="M5" s="65"/>
      <c r="N5" s="66"/>
      <c r="O5" s="65"/>
      <c r="P5" s="18"/>
      <c r="Q5" s="17"/>
      <c r="R5" s="18"/>
      <c r="S5" s="18"/>
      <c r="T5" s="18"/>
      <c r="U5" s="18"/>
      <c r="V5" s="18"/>
      <c r="W5" s="18"/>
      <c r="X5" s="18"/>
      <c r="Y5" s="18"/>
    </row>
    <row r="6">
      <c r="A6" s="67"/>
      <c r="B6" s="62">
        <v>16.0</v>
      </c>
      <c r="C6" s="17" t="s">
        <v>154</v>
      </c>
      <c r="D6" s="68" t="s">
        <v>138</v>
      </c>
      <c r="E6" s="17"/>
      <c r="F6" s="64" t="s">
        <v>155</v>
      </c>
      <c r="G6" s="66"/>
      <c r="H6" s="18"/>
      <c r="I6" s="18"/>
      <c r="J6" s="18"/>
      <c r="K6" s="65"/>
      <c r="L6" s="66"/>
      <c r="M6" s="65"/>
      <c r="N6" s="66"/>
      <c r="O6" s="65"/>
      <c r="P6" s="18"/>
      <c r="Q6" s="17"/>
      <c r="R6" s="18"/>
      <c r="S6" s="18"/>
      <c r="T6" s="18"/>
      <c r="U6" s="18"/>
      <c r="V6" s="18"/>
      <c r="W6" s="18"/>
      <c r="X6" s="18"/>
      <c r="Y6" s="18"/>
    </row>
    <row r="7">
      <c r="A7" s="63">
        <v>45665.0</v>
      </c>
      <c r="B7" s="17">
        <v>200.0</v>
      </c>
      <c r="C7" s="17" t="s">
        <v>154</v>
      </c>
      <c r="D7" s="68" t="s">
        <v>111</v>
      </c>
      <c r="E7" s="17" t="s">
        <v>159</v>
      </c>
      <c r="F7" s="64" t="s">
        <v>149</v>
      </c>
      <c r="G7" s="62">
        <v>22138.0</v>
      </c>
      <c r="H7" s="17" t="s">
        <v>154</v>
      </c>
      <c r="I7" s="17" t="s">
        <v>160</v>
      </c>
      <c r="J7" s="17" t="s">
        <v>161</v>
      </c>
      <c r="K7" s="64" t="s">
        <v>155</v>
      </c>
      <c r="L7" s="62">
        <v>3000.0</v>
      </c>
      <c r="M7" s="65"/>
      <c r="N7" s="66"/>
      <c r="O7" s="65"/>
      <c r="P7" s="18"/>
      <c r="Q7" s="18"/>
      <c r="R7" s="18"/>
      <c r="S7" s="18"/>
      <c r="T7" s="18"/>
      <c r="U7" s="18"/>
      <c r="V7" s="18"/>
      <c r="W7" s="18"/>
      <c r="X7" s="18"/>
      <c r="Y7" s="18"/>
    </row>
    <row r="8">
      <c r="A8" s="67"/>
      <c r="B8" s="17">
        <v>9500.0</v>
      </c>
      <c r="C8" s="17" t="s">
        <v>154</v>
      </c>
      <c r="D8" s="68" t="s">
        <v>112</v>
      </c>
      <c r="E8" s="17" t="s">
        <v>162</v>
      </c>
      <c r="F8" s="64" t="s">
        <v>149</v>
      </c>
      <c r="G8" s="66"/>
      <c r="H8" s="18"/>
      <c r="I8" s="18"/>
      <c r="J8" s="18"/>
      <c r="K8" s="65"/>
      <c r="L8" s="62">
        <v>5000.0</v>
      </c>
      <c r="M8" s="65"/>
      <c r="N8" s="66"/>
      <c r="O8" s="65"/>
      <c r="P8" s="18"/>
      <c r="Q8" s="18"/>
      <c r="R8" s="18"/>
      <c r="S8" s="18"/>
      <c r="T8" s="18"/>
      <c r="U8" s="18"/>
      <c r="V8" s="18"/>
      <c r="W8" s="18"/>
      <c r="X8" s="18"/>
      <c r="Y8" s="18"/>
    </row>
    <row r="9">
      <c r="A9" s="67"/>
      <c r="B9" s="17">
        <v>40.0</v>
      </c>
      <c r="C9" s="17" t="s">
        <v>154</v>
      </c>
      <c r="D9" s="68" t="s">
        <v>138</v>
      </c>
      <c r="E9" s="17"/>
      <c r="F9" s="64" t="s">
        <v>155</v>
      </c>
      <c r="G9" s="66"/>
      <c r="H9" s="18"/>
      <c r="I9" s="18"/>
      <c r="J9" s="18"/>
      <c r="K9" s="65"/>
      <c r="L9" s="62">
        <v>2000.0</v>
      </c>
      <c r="M9" s="65"/>
      <c r="N9" s="66"/>
      <c r="O9" s="65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>
      <c r="A10" s="67"/>
      <c r="B10" s="17"/>
      <c r="C10" s="17"/>
      <c r="D10" s="68"/>
      <c r="E10" s="17"/>
      <c r="F10" s="64"/>
      <c r="G10" s="66"/>
      <c r="H10" s="18"/>
      <c r="I10" s="18"/>
      <c r="J10" s="18"/>
      <c r="K10" s="65"/>
      <c r="L10" s="66"/>
      <c r="M10" s="65"/>
      <c r="N10" s="66"/>
      <c r="O10" s="65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>
      <c r="A11" s="63">
        <v>45666.0</v>
      </c>
      <c r="B11" s="62">
        <v>20.0</v>
      </c>
      <c r="C11" s="17" t="s">
        <v>154</v>
      </c>
      <c r="D11" s="68" t="s">
        <v>138</v>
      </c>
      <c r="E11" s="17"/>
      <c r="F11" s="64" t="s">
        <v>155</v>
      </c>
      <c r="G11" s="62">
        <v>15668.0</v>
      </c>
      <c r="H11" s="17" t="s">
        <v>154</v>
      </c>
      <c r="I11" s="17" t="s">
        <v>160</v>
      </c>
      <c r="J11" s="17" t="s">
        <v>163</v>
      </c>
      <c r="K11" s="64" t="s">
        <v>155</v>
      </c>
      <c r="L11" s="62">
        <v>5000.0</v>
      </c>
      <c r="M11" s="65"/>
      <c r="N11" s="66"/>
      <c r="O11" s="65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>
      <c r="A12" s="67"/>
      <c r="B12" s="62">
        <v>16.0</v>
      </c>
      <c r="C12" s="17" t="s">
        <v>154</v>
      </c>
      <c r="D12" s="68" t="s">
        <v>138</v>
      </c>
      <c r="E12" s="17"/>
      <c r="F12" s="64" t="s">
        <v>155</v>
      </c>
      <c r="G12" s="66"/>
      <c r="H12" s="18"/>
      <c r="I12" s="18"/>
      <c r="J12" s="18"/>
      <c r="K12" s="65"/>
      <c r="L12" s="62">
        <v>4000.0</v>
      </c>
      <c r="M12" s="65"/>
      <c r="N12" s="66"/>
      <c r="O12" s="65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>
      <c r="A13" s="67"/>
      <c r="B13" s="62">
        <v>12.0</v>
      </c>
      <c r="C13" s="17" t="s">
        <v>154</v>
      </c>
      <c r="D13" s="68" t="s">
        <v>138</v>
      </c>
      <c r="E13" s="17"/>
      <c r="F13" s="64" t="s">
        <v>155</v>
      </c>
      <c r="G13" s="66"/>
      <c r="H13" s="18"/>
      <c r="I13" s="18"/>
      <c r="J13" s="18"/>
      <c r="K13" s="65"/>
      <c r="L13" s="62">
        <v>3000.0</v>
      </c>
      <c r="M13" s="65"/>
      <c r="N13" s="66"/>
      <c r="O13" s="65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>
      <c r="A14" s="67"/>
      <c r="B14" s="62">
        <v>20.0</v>
      </c>
      <c r="C14" s="17" t="s">
        <v>154</v>
      </c>
      <c r="D14" s="68" t="s">
        <v>138</v>
      </c>
      <c r="E14" s="17"/>
      <c r="F14" s="64" t="s">
        <v>155</v>
      </c>
      <c r="G14" s="66"/>
      <c r="H14" s="18"/>
      <c r="I14" s="18"/>
      <c r="J14" s="18"/>
      <c r="K14" s="65"/>
      <c r="L14" s="62">
        <v>5000.0</v>
      </c>
      <c r="M14" s="65"/>
      <c r="N14" s="66"/>
      <c r="O14" s="65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>
      <c r="A15" s="67"/>
      <c r="B15" s="62">
        <v>8.0</v>
      </c>
      <c r="C15" s="17" t="s">
        <v>154</v>
      </c>
      <c r="D15" s="68" t="s">
        <v>138</v>
      </c>
      <c r="E15" s="17"/>
      <c r="F15" s="64" t="s">
        <v>155</v>
      </c>
      <c r="G15" s="66"/>
      <c r="H15" s="18"/>
      <c r="I15" s="18"/>
      <c r="J15" s="18"/>
      <c r="K15" s="65"/>
      <c r="L15" s="17">
        <v>2000.0</v>
      </c>
      <c r="M15" s="65"/>
      <c r="N15" s="66"/>
      <c r="O15" s="65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>
      <c r="A16" s="67"/>
      <c r="B16" s="62">
        <v>1250.0</v>
      </c>
      <c r="C16" s="17" t="s">
        <v>154</v>
      </c>
      <c r="D16" s="68" t="s">
        <v>22</v>
      </c>
      <c r="E16" s="18"/>
      <c r="F16" s="64" t="s">
        <v>155</v>
      </c>
      <c r="G16" s="66"/>
      <c r="H16" s="18"/>
      <c r="I16" s="18"/>
      <c r="J16" s="18"/>
      <c r="K16" s="65"/>
      <c r="L16" s="34"/>
      <c r="M16" s="65"/>
      <c r="N16" s="66"/>
      <c r="O16" s="65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>
      <c r="A17" s="67"/>
      <c r="B17" s="62">
        <v>11840.0</v>
      </c>
      <c r="C17" s="17" t="s">
        <v>154</v>
      </c>
      <c r="D17" s="68" t="s">
        <v>26</v>
      </c>
      <c r="E17" s="17" t="s">
        <v>41</v>
      </c>
      <c r="F17" s="64" t="s">
        <v>149</v>
      </c>
      <c r="G17" s="66"/>
      <c r="H17" s="18"/>
      <c r="I17" s="18"/>
      <c r="J17" s="18"/>
      <c r="K17" s="65"/>
      <c r="L17" s="66"/>
      <c r="M17" s="65"/>
      <c r="N17" s="66"/>
      <c r="O17" s="65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>
      <c r="A18" s="67"/>
      <c r="B18" s="62">
        <v>0.45</v>
      </c>
      <c r="C18" s="17" t="s">
        <v>154</v>
      </c>
      <c r="D18" s="68" t="s">
        <v>139</v>
      </c>
      <c r="E18" s="17"/>
      <c r="F18" s="64" t="s">
        <v>155</v>
      </c>
      <c r="G18" s="66"/>
      <c r="H18" s="18"/>
      <c r="I18" s="18"/>
      <c r="J18" s="18"/>
      <c r="K18" s="65"/>
      <c r="L18" s="66"/>
      <c r="M18" s="65"/>
      <c r="N18" s="66"/>
      <c r="O18" s="65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>
      <c r="A19" s="63">
        <v>45668.0</v>
      </c>
      <c r="B19" s="62">
        <v>20.0</v>
      </c>
      <c r="C19" s="17" t="s">
        <v>154</v>
      </c>
      <c r="D19" s="68" t="s">
        <v>138</v>
      </c>
      <c r="E19" s="17"/>
      <c r="F19" s="64" t="s">
        <v>155</v>
      </c>
      <c r="G19" s="66"/>
      <c r="H19" s="18"/>
      <c r="I19" s="18"/>
      <c r="J19" s="18"/>
      <c r="K19" s="65"/>
      <c r="L19" s="62">
        <v>5000.0</v>
      </c>
      <c r="M19" s="65"/>
      <c r="N19" s="66"/>
      <c r="O19" s="65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>
      <c r="A20" s="67"/>
      <c r="B20" s="62">
        <v>16.0</v>
      </c>
      <c r="C20" s="17" t="s">
        <v>154</v>
      </c>
      <c r="D20" s="68" t="s">
        <v>138</v>
      </c>
      <c r="E20" s="17"/>
      <c r="F20" s="64" t="s">
        <v>155</v>
      </c>
      <c r="G20" s="66"/>
      <c r="H20" s="18"/>
      <c r="I20" s="18"/>
      <c r="J20" s="18"/>
      <c r="K20" s="65"/>
      <c r="L20" s="62">
        <v>4000.0</v>
      </c>
      <c r="M20" s="65"/>
      <c r="N20" s="66"/>
      <c r="O20" s="65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>
      <c r="A21" s="63">
        <v>45677.0</v>
      </c>
      <c r="B21" s="62">
        <v>7.6</v>
      </c>
      <c r="C21" s="17" t="s">
        <v>154</v>
      </c>
      <c r="D21" s="68" t="s">
        <v>138</v>
      </c>
      <c r="E21" s="17"/>
      <c r="F21" s="64" t="s">
        <v>155</v>
      </c>
      <c r="G21" s="62"/>
      <c r="H21" s="17"/>
      <c r="I21" s="17"/>
      <c r="J21" s="17"/>
      <c r="K21" s="64"/>
      <c r="L21" s="62">
        <v>1900.0</v>
      </c>
      <c r="M21" s="65"/>
      <c r="N21" s="66"/>
      <c r="O21" s="65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>
      <c r="A22" s="63">
        <v>45679.0</v>
      </c>
      <c r="B22" s="62">
        <v>3200.0</v>
      </c>
      <c r="C22" s="17" t="s">
        <v>154</v>
      </c>
      <c r="D22" s="68" t="s">
        <v>164</v>
      </c>
      <c r="E22" s="17" t="s">
        <v>165</v>
      </c>
      <c r="F22" s="64" t="s">
        <v>149</v>
      </c>
      <c r="G22" s="62">
        <v>9950.0</v>
      </c>
      <c r="H22" s="17" t="s">
        <v>154</v>
      </c>
      <c r="I22" s="17" t="s">
        <v>160</v>
      </c>
      <c r="J22" s="17" t="s">
        <v>166</v>
      </c>
      <c r="K22" s="64" t="s">
        <v>155</v>
      </c>
      <c r="L22" s="66"/>
      <c r="M22" s="65"/>
      <c r="N22" s="66"/>
      <c r="O22" s="65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>
      <c r="A23" s="67"/>
      <c r="B23" s="62">
        <v>700.0</v>
      </c>
      <c r="C23" s="17" t="s">
        <v>154</v>
      </c>
      <c r="D23" s="68" t="s">
        <v>111</v>
      </c>
      <c r="E23" s="17" t="s">
        <v>167</v>
      </c>
      <c r="F23" s="64" t="s">
        <v>149</v>
      </c>
      <c r="G23" s="66"/>
      <c r="H23" s="18"/>
      <c r="I23" s="18"/>
      <c r="J23" s="18"/>
      <c r="K23" s="65"/>
      <c r="L23" s="66"/>
      <c r="M23" s="65"/>
      <c r="N23" s="66"/>
      <c r="O23" s="65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>
      <c r="A24" s="67"/>
      <c r="B24" s="62">
        <v>700.0</v>
      </c>
      <c r="C24" s="17" t="s">
        <v>154</v>
      </c>
      <c r="D24" s="68" t="s">
        <v>111</v>
      </c>
      <c r="E24" s="17" t="s">
        <v>168</v>
      </c>
      <c r="F24" s="64" t="s">
        <v>149</v>
      </c>
      <c r="G24" s="66"/>
      <c r="H24" s="18"/>
      <c r="I24" s="18"/>
      <c r="J24" s="18"/>
      <c r="K24" s="65"/>
      <c r="L24" s="66"/>
      <c r="M24" s="65"/>
      <c r="N24" s="66"/>
      <c r="O24" s="65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>
      <c r="A25" s="67"/>
      <c r="B25" s="62">
        <v>2000.0</v>
      </c>
      <c r="C25" s="17" t="s">
        <v>154</v>
      </c>
      <c r="D25" s="68" t="s">
        <v>111</v>
      </c>
      <c r="E25" s="17" t="s">
        <v>169</v>
      </c>
      <c r="F25" s="64" t="s">
        <v>149</v>
      </c>
      <c r="G25" s="66"/>
      <c r="H25" s="18"/>
      <c r="I25" s="18"/>
      <c r="J25" s="18"/>
      <c r="K25" s="65"/>
      <c r="L25" s="66"/>
      <c r="M25" s="65"/>
      <c r="N25" s="66"/>
      <c r="O25" s="65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>
      <c r="A26" s="67"/>
      <c r="B26" s="62">
        <v>2000.0</v>
      </c>
      <c r="C26" s="17" t="s">
        <v>154</v>
      </c>
      <c r="D26" s="68" t="s">
        <v>111</v>
      </c>
      <c r="E26" s="17" t="s">
        <v>170</v>
      </c>
      <c r="F26" s="64" t="s">
        <v>149</v>
      </c>
      <c r="G26" s="66"/>
      <c r="H26" s="18"/>
      <c r="I26" s="18"/>
      <c r="J26" s="18"/>
      <c r="K26" s="65"/>
      <c r="L26" s="66"/>
      <c r="M26" s="65"/>
      <c r="N26" s="66"/>
      <c r="O26" s="65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>
      <c r="A27" s="67"/>
      <c r="B27" s="62">
        <v>2500.0</v>
      </c>
      <c r="C27" s="17" t="s">
        <v>154</v>
      </c>
      <c r="D27" s="68" t="s">
        <v>111</v>
      </c>
      <c r="E27" s="17" t="s">
        <v>171</v>
      </c>
      <c r="F27" s="64" t="s">
        <v>149</v>
      </c>
      <c r="G27" s="66"/>
      <c r="H27" s="18"/>
      <c r="I27" s="18"/>
      <c r="J27" s="18"/>
      <c r="K27" s="65"/>
      <c r="L27" s="66"/>
      <c r="M27" s="65"/>
      <c r="N27" s="66"/>
      <c r="O27" s="65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>
      <c r="A28" s="67"/>
      <c r="B28" s="62">
        <v>2500.0</v>
      </c>
      <c r="C28" s="17" t="s">
        <v>154</v>
      </c>
      <c r="D28" s="68" t="s">
        <v>110</v>
      </c>
      <c r="E28" s="17" t="s">
        <v>172</v>
      </c>
      <c r="F28" s="64" t="s">
        <v>149</v>
      </c>
      <c r="G28" s="66"/>
      <c r="H28" s="18"/>
      <c r="I28" s="18"/>
      <c r="J28" s="18"/>
      <c r="K28" s="65"/>
      <c r="L28" s="66"/>
      <c r="M28" s="65"/>
      <c r="N28" s="66"/>
      <c r="O28" s="65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>
      <c r="A29" s="67"/>
      <c r="B29" s="62">
        <v>1000.0</v>
      </c>
      <c r="C29" s="17" t="s">
        <v>154</v>
      </c>
      <c r="D29" s="68" t="s">
        <v>110</v>
      </c>
      <c r="E29" s="69" t="s">
        <v>173</v>
      </c>
      <c r="F29" s="64" t="s">
        <v>149</v>
      </c>
      <c r="G29" s="66"/>
      <c r="H29" s="18"/>
      <c r="I29" s="18"/>
      <c r="J29" s="18"/>
      <c r="K29" s="65"/>
      <c r="L29" s="66"/>
      <c r="M29" s="65"/>
      <c r="N29" s="66"/>
      <c r="O29" s="65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>
      <c r="A30" s="63">
        <v>45684.0</v>
      </c>
      <c r="B30" s="62">
        <v>4011.0</v>
      </c>
      <c r="C30" s="17" t="s">
        <v>154</v>
      </c>
      <c r="D30" s="68" t="s">
        <v>141</v>
      </c>
      <c r="E30" s="18"/>
      <c r="F30" s="64" t="s">
        <v>155</v>
      </c>
      <c r="G30" s="66"/>
      <c r="H30" s="18"/>
      <c r="I30" s="18"/>
      <c r="J30" s="18"/>
      <c r="K30" s="65"/>
      <c r="L30" s="62">
        <v>4000.0</v>
      </c>
      <c r="M30" s="65"/>
      <c r="N30" s="66"/>
      <c r="O30" s="65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>
      <c r="A31" s="67"/>
      <c r="B31" s="69">
        <v>0.51</v>
      </c>
      <c r="C31" s="17" t="s">
        <v>154</v>
      </c>
      <c r="D31" s="68" t="s">
        <v>139</v>
      </c>
      <c r="E31" s="17"/>
      <c r="F31" s="64" t="s">
        <v>155</v>
      </c>
      <c r="G31" s="66"/>
      <c r="H31" s="18"/>
      <c r="I31" s="18"/>
      <c r="J31" s="18"/>
      <c r="K31" s="65"/>
      <c r="L31" s="34"/>
      <c r="M31" s="65"/>
      <c r="N31" s="66"/>
      <c r="O31" s="65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>
      <c r="A32" s="67"/>
      <c r="B32" s="69">
        <v>231.0</v>
      </c>
      <c r="C32" s="17" t="s">
        <v>154</v>
      </c>
      <c r="D32" s="68" t="s">
        <v>141</v>
      </c>
      <c r="E32" s="18"/>
      <c r="F32" s="64" t="s">
        <v>155</v>
      </c>
      <c r="G32" s="66"/>
      <c r="H32" s="18"/>
      <c r="I32" s="18"/>
      <c r="J32" s="18"/>
      <c r="K32" s="65"/>
      <c r="L32" s="66"/>
      <c r="M32" s="65"/>
      <c r="N32" s="66"/>
      <c r="O32" s="65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>
      <c r="A33" s="67"/>
      <c r="B33" s="69">
        <v>0.51</v>
      </c>
      <c r="C33" s="17" t="s">
        <v>154</v>
      </c>
      <c r="D33" s="68" t="s">
        <v>139</v>
      </c>
      <c r="E33" s="17"/>
      <c r="F33" s="64" t="s">
        <v>155</v>
      </c>
      <c r="G33" s="66"/>
      <c r="H33" s="18"/>
      <c r="I33" s="18"/>
      <c r="J33" s="18"/>
      <c r="K33" s="65"/>
      <c r="L33" s="66"/>
      <c r="M33" s="65"/>
      <c r="N33" s="66"/>
      <c r="O33" s="65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>
      <c r="A34" s="67"/>
      <c r="B34" s="62">
        <v>13.0</v>
      </c>
      <c r="C34" s="17" t="s">
        <v>154</v>
      </c>
      <c r="D34" s="68" t="s">
        <v>143</v>
      </c>
      <c r="E34" s="18"/>
      <c r="F34" s="64" t="s">
        <v>155</v>
      </c>
      <c r="G34" s="66"/>
      <c r="H34" s="18"/>
      <c r="I34" s="18"/>
      <c r="J34" s="18"/>
      <c r="K34" s="65"/>
      <c r="L34" s="66"/>
      <c r="M34" s="65"/>
      <c r="N34" s="66"/>
      <c r="O34" s="65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>
      <c r="A35" s="67"/>
      <c r="B35" s="69">
        <v>0.51</v>
      </c>
      <c r="C35" s="17" t="s">
        <v>154</v>
      </c>
      <c r="D35" s="68" t="s">
        <v>139</v>
      </c>
      <c r="E35" s="17"/>
      <c r="F35" s="64" t="s">
        <v>155</v>
      </c>
      <c r="G35" s="66"/>
      <c r="H35" s="18"/>
      <c r="I35" s="18"/>
      <c r="J35" s="18"/>
      <c r="K35" s="65"/>
      <c r="L35" s="66"/>
      <c r="M35" s="65"/>
      <c r="N35" s="66"/>
      <c r="O35" s="65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>
      <c r="A36" s="67"/>
      <c r="B36" s="62">
        <v>16.0</v>
      </c>
      <c r="C36" s="17" t="s">
        <v>154</v>
      </c>
      <c r="D36" s="68" t="s">
        <v>138</v>
      </c>
      <c r="E36" s="17"/>
      <c r="F36" s="64" t="s">
        <v>155</v>
      </c>
      <c r="G36" s="66"/>
      <c r="H36" s="18"/>
      <c r="I36" s="18"/>
      <c r="J36" s="18"/>
      <c r="K36" s="65"/>
      <c r="L36" s="66"/>
      <c r="M36" s="65"/>
      <c r="N36" s="66"/>
      <c r="O36" s="65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>
      <c r="A37" s="63">
        <v>45686.0</v>
      </c>
      <c r="B37" s="62">
        <v>12.0</v>
      </c>
      <c r="C37" s="17" t="s">
        <v>154</v>
      </c>
      <c r="D37" s="68" t="s">
        <v>138</v>
      </c>
      <c r="E37" s="17"/>
      <c r="F37" s="64" t="s">
        <v>155</v>
      </c>
      <c r="G37" s="66"/>
      <c r="H37" s="18"/>
      <c r="I37" s="18"/>
      <c r="J37" s="18"/>
      <c r="K37" s="65"/>
      <c r="L37" s="62">
        <v>3000.0</v>
      </c>
      <c r="M37" s="65"/>
      <c r="N37" s="66"/>
      <c r="O37" s="65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>
      <c r="A38" s="63">
        <v>45687.0</v>
      </c>
      <c r="B38" s="62">
        <v>4200.0</v>
      </c>
      <c r="C38" s="17" t="s">
        <v>154</v>
      </c>
      <c r="D38" s="68" t="s">
        <v>174</v>
      </c>
      <c r="E38" s="18"/>
      <c r="F38" s="64" t="s">
        <v>155</v>
      </c>
      <c r="G38" s="66"/>
      <c r="H38" s="18"/>
      <c r="I38" s="18"/>
      <c r="J38" s="18"/>
      <c r="K38" s="65"/>
      <c r="L38" s="66"/>
      <c r="M38" s="65"/>
      <c r="N38" s="66"/>
      <c r="O38" s="65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>
      <c r="A39" s="63">
        <v>45688.0</v>
      </c>
      <c r="B39" s="62">
        <v>40.0</v>
      </c>
      <c r="C39" s="17" t="s">
        <v>154</v>
      </c>
      <c r="D39" s="17" t="s">
        <v>145</v>
      </c>
      <c r="E39" s="17"/>
      <c r="F39" s="64" t="s">
        <v>155</v>
      </c>
      <c r="G39" s="66"/>
      <c r="H39" s="18"/>
      <c r="I39" s="18"/>
      <c r="J39" s="18"/>
      <c r="K39" s="65"/>
      <c r="L39" s="66"/>
      <c r="M39" s="65"/>
      <c r="N39" s="66"/>
      <c r="O39" s="65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>
      <c r="A40" s="63"/>
      <c r="B40" s="62">
        <v>500.0</v>
      </c>
      <c r="C40" s="17" t="s">
        <v>154</v>
      </c>
      <c r="D40" s="17" t="s">
        <v>24</v>
      </c>
      <c r="E40" s="18"/>
      <c r="F40" s="64" t="s">
        <v>149</v>
      </c>
      <c r="G40" s="66"/>
      <c r="H40" s="18"/>
      <c r="I40" s="18"/>
      <c r="J40" s="18"/>
      <c r="K40" s="65"/>
      <c r="L40" s="66"/>
      <c r="M40" s="65"/>
      <c r="N40" s="66"/>
      <c r="O40" s="65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>
      <c r="A41" s="67"/>
      <c r="B41" s="62">
        <v>500.0</v>
      </c>
      <c r="C41" s="17" t="s">
        <v>154</v>
      </c>
      <c r="D41" s="17" t="s">
        <v>24</v>
      </c>
      <c r="E41" s="18"/>
      <c r="F41" s="64" t="s">
        <v>149</v>
      </c>
      <c r="G41" s="66"/>
      <c r="H41" s="18"/>
      <c r="I41" s="18"/>
      <c r="J41" s="18"/>
      <c r="K41" s="65"/>
      <c r="L41" s="66"/>
      <c r="M41" s="65"/>
      <c r="N41" s="66"/>
      <c r="O41" s="65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>
      <c r="A42" s="67"/>
      <c r="B42" s="62">
        <v>50.0</v>
      </c>
      <c r="C42" s="17" t="s">
        <v>154</v>
      </c>
      <c r="D42" s="17" t="s">
        <v>24</v>
      </c>
      <c r="E42" s="18"/>
      <c r="F42" s="64" t="s">
        <v>149</v>
      </c>
      <c r="G42" s="66"/>
      <c r="H42" s="18"/>
      <c r="I42" s="18"/>
      <c r="J42" s="18"/>
      <c r="K42" s="65"/>
      <c r="L42" s="66"/>
      <c r="M42" s="65"/>
      <c r="N42" s="66"/>
      <c r="O42" s="65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>
      <c r="A43" s="70"/>
      <c r="B43" s="71"/>
      <c r="C43" s="14"/>
      <c r="D43" s="14"/>
      <c r="E43" s="14"/>
      <c r="F43" s="72"/>
      <c r="G43" s="71"/>
      <c r="H43" s="14"/>
      <c r="I43" s="14"/>
      <c r="J43" s="14"/>
      <c r="K43" s="72"/>
      <c r="L43" s="71"/>
      <c r="M43" s="72"/>
      <c r="N43" s="71"/>
      <c r="O43" s="72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>
      <c r="A44" s="70"/>
      <c r="B44" s="71"/>
      <c r="C44" s="14"/>
      <c r="D44" s="14"/>
      <c r="E44" s="14"/>
      <c r="F44" s="72"/>
      <c r="G44" s="71"/>
      <c r="H44" s="14"/>
      <c r="I44" s="14"/>
      <c r="J44" s="14"/>
      <c r="K44" s="72"/>
      <c r="L44" s="71"/>
      <c r="M44" s="72"/>
      <c r="N44" s="71"/>
      <c r="O44" s="72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>
      <c r="A45" s="63">
        <v>45691.0</v>
      </c>
      <c r="B45" s="62">
        <v>71.07</v>
      </c>
      <c r="C45" s="17" t="s">
        <v>154</v>
      </c>
      <c r="D45" s="17" t="s">
        <v>146</v>
      </c>
      <c r="E45" s="17"/>
      <c r="F45" s="64" t="s">
        <v>155</v>
      </c>
      <c r="G45" s="66"/>
      <c r="H45" s="18"/>
      <c r="I45" s="18"/>
      <c r="J45" s="18"/>
      <c r="K45" s="65"/>
      <c r="L45" s="62">
        <v>2500.0</v>
      </c>
      <c r="M45" s="65"/>
      <c r="N45" s="66"/>
      <c r="O45" s="65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>
      <c r="A46" s="63">
        <v>45693.0</v>
      </c>
      <c r="B46" s="66"/>
      <c r="C46" s="18"/>
      <c r="D46" s="18"/>
      <c r="E46" s="18"/>
      <c r="F46" s="65"/>
      <c r="G46" s="66"/>
      <c r="H46" s="18"/>
      <c r="I46" s="18"/>
      <c r="J46" s="18"/>
      <c r="K46" s="65"/>
      <c r="L46" s="62">
        <v>2000.0</v>
      </c>
      <c r="M46" s="65"/>
      <c r="N46" s="66"/>
      <c r="O46" s="65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>
      <c r="A47" s="63">
        <v>45698.0</v>
      </c>
      <c r="B47" s="62">
        <v>700.0</v>
      </c>
      <c r="C47" s="17" t="s">
        <v>154</v>
      </c>
      <c r="D47" s="68" t="s">
        <v>109</v>
      </c>
      <c r="E47" s="17" t="s">
        <v>175</v>
      </c>
      <c r="F47" s="64" t="s">
        <v>149</v>
      </c>
      <c r="G47" s="66"/>
      <c r="H47" s="18"/>
      <c r="I47" s="18"/>
      <c r="J47" s="18"/>
      <c r="K47" s="65"/>
      <c r="L47" s="62">
        <v>4500.0</v>
      </c>
      <c r="M47" s="65"/>
      <c r="N47" s="66"/>
      <c r="O47" s="65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>
      <c r="A48" s="67"/>
      <c r="B48" s="62">
        <v>1400.0</v>
      </c>
      <c r="C48" s="17" t="s">
        <v>154</v>
      </c>
      <c r="D48" s="68" t="s">
        <v>109</v>
      </c>
      <c r="E48" s="17" t="s">
        <v>176</v>
      </c>
      <c r="F48" s="64" t="s">
        <v>149</v>
      </c>
      <c r="G48" s="66"/>
      <c r="H48" s="18"/>
      <c r="I48" s="18"/>
      <c r="J48" s="18"/>
      <c r="K48" s="65"/>
      <c r="L48" s="66"/>
      <c r="M48" s="65"/>
      <c r="N48" s="66"/>
      <c r="O48" s="65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>
      <c r="A49" s="67"/>
      <c r="B49" s="62">
        <v>2500.0</v>
      </c>
      <c r="C49" s="17" t="s">
        <v>154</v>
      </c>
      <c r="D49" s="68" t="s">
        <v>109</v>
      </c>
      <c r="E49" s="17" t="s">
        <v>177</v>
      </c>
      <c r="F49" s="64" t="s">
        <v>149</v>
      </c>
      <c r="G49" s="66"/>
      <c r="H49" s="18"/>
      <c r="I49" s="18"/>
      <c r="J49" s="18"/>
      <c r="K49" s="65"/>
      <c r="L49" s="66"/>
      <c r="M49" s="65"/>
      <c r="N49" s="66"/>
      <c r="O49" s="65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>
      <c r="A50" s="67"/>
      <c r="B50" s="62">
        <v>18.0</v>
      </c>
      <c r="C50" s="17" t="s">
        <v>154</v>
      </c>
      <c r="D50" s="68" t="s">
        <v>138</v>
      </c>
      <c r="E50" s="17"/>
      <c r="F50" s="64" t="s">
        <v>155</v>
      </c>
      <c r="G50" s="66"/>
      <c r="H50" s="18"/>
      <c r="I50" s="18"/>
      <c r="J50" s="18"/>
      <c r="K50" s="65"/>
      <c r="L50" s="66"/>
      <c r="M50" s="65"/>
      <c r="N50" s="66"/>
      <c r="O50" s="65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>
      <c r="A51" s="63">
        <v>45701.0</v>
      </c>
      <c r="B51" s="62">
        <v>1500.0</v>
      </c>
      <c r="C51" s="17" t="s">
        <v>154</v>
      </c>
      <c r="D51" s="68" t="s">
        <v>110</v>
      </c>
      <c r="E51" s="69" t="s">
        <v>173</v>
      </c>
      <c r="F51" s="64" t="s">
        <v>149</v>
      </c>
      <c r="G51" s="66"/>
      <c r="H51" s="18"/>
      <c r="I51" s="18"/>
      <c r="J51" s="18"/>
      <c r="K51" s="65"/>
      <c r="L51" s="62">
        <v>3000.0</v>
      </c>
      <c r="M51" s="65"/>
      <c r="N51" s="66"/>
      <c r="O51" s="65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>
      <c r="A52" s="67"/>
      <c r="B52" s="62">
        <v>300.0</v>
      </c>
      <c r="C52" s="17" t="s">
        <v>154</v>
      </c>
      <c r="D52" s="68" t="s">
        <v>110</v>
      </c>
      <c r="E52" s="17" t="s">
        <v>178</v>
      </c>
      <c r="F52" s="64" t="s">
        <v>149</v>
      </c>
      <c r="G52" s="66"/>
      <c r="H52" s="18"/>
      <c r="I52" s="18"/>
      <c r="J52" s="18"/>
      <c r="K52" s="65"/>
      <c r="L52" s="66"/>
      <c r="M52" s="65"/>
      <c r="N52" s="66"/>
      <c r="O52" s="65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>
      <c r="A53" s="67"/>
      <c r="B53" s="62">
        <v>200.0</v>
      </c>
      <c r="C53" s="17" t="s">
        <v>154</v>
      </c>
      <c r="D53" s="68" t="s">
        <v>110</v>
      </c>
      <c r="E53" s="17" t="s">
        <v>179</v>
      </c>
      <c r="F53" s="64" t="s">
        <v>149</v>
      </c>
      <c r="G53" s="66"/>
      <c r="H53" s="18"/>
      <c r="I53" s="18"/>
      <c r="J53" s="18"/>
      <c r="K53" s="65"/>
      <c r="L53" s="66"/>
      <c r="M53" s="65"/>
      <c r="N53" s="66"/>
      <c r="O53" s="65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>
      <c r="A54" s="67"/>
      <c r="B54" s="62">
        <v>2500.0</v>
      </c>
      <c r="C54" s="17" t="s">
        <v>154</v>
      </c>
      <c r="D54" s="68" t="s">
        <v>113</v>
      </c>
      <c r="E54" s="17" t="s">
        <v>180</v>
      </c>
      <c r="F54" s="64" t="s">
        <v>149</v>
      </c>
      <c r="G54" s="66"/>
      <c r="H54" s="18"/>
      <c r="I54" s="18"/>
      <c r="J54" s="18"/>
      <c r="K54" s="65"/>
      <c r="L54" s="66"/>
      <c r="M54" s="65"/>
      <c r="N54" s="66"/>
      <c r="O54" s="65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>
      <c r="A55" s="67"/>
      <c r="B55" s="62">
        <v>2500.0</v>
      </c>
      <c r="C55" s="17" t="s">
        <v>154</v>
      </c>
      <c r="D55" s="68" t="s">
        <v>113</v>
      </c>
      <c r="E55" s="17" t="s">
        <v>181</v>
      </c>
      <c r="F55" s="64" t="s">
        <v>149</v>
      </c>
      <c r="G55" s="66"/>
      <c r="H55" s="18"/>
      <c r="I55" s="18"/>
      <c r="J55" s="18"/>
      <c r="K55" s="65"/>
      <c r="L55" s="66"/>
      <c r="M55" s="65"/>
      <c r="N55" s="66"/>
      <c r="O55" s="65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>
      <c r="A56" s="67"/>
      <c r="B56" s="62">
        <v>2500.0</v>
      </c>
      <c r="C56" s="17" t="s">
        <v>154</v>
      </c>
      <c r="D56" s="68" t="s">
        <v>113</v>
      </c>
      <c r="E56" s="17" t="s">
        <v>182</v>
      </c>
      <c r="F56" s="64" t="s">
        <v>149</v>
      </c>
      <c r="G56" s="66"/>
      <c r="H56" s="18"/>
      <c r="I56" s="18"/>
      <c r="J56" s="18"/>
      <c r="K56" s="65"/>
      <c r="L56" s="66"/>
      <c r="M56" s="65"/>
      <c r="N56" s="66"/>
      <c r="O56" s="65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>
      <c r="A57" s="67"/>
      <c r="B57" s="62">
        <v>500.0</v>
      </c>
      <c r="C57" s="17" t="s">
        <v>154</v>
      </c>
      <c r="D57" s="68" t="s">
        <v>113</v>
      </c>
      <c r="E57" s="17" t="s">
        <v>183</v>
      </c>
      <c r="F57" s="64" t="s">
        <v>149</v>
      </c>
      <c r="G57" s="66"/>
      <c r="H57" s="18"/>
      <c r="I57" s="18"/>
      <c r="J57" s="18"/>
      <c r="K57" s="65"/>
      <c r="L57" s="66"/>
      <c r="M57" s="65"/>
      <c r="N57" s="66"/>
      <c r="O57" s="65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>
      <c r="A58" s="67"/>
      <c r="B58" s="62">
        <v>50.0</v>
      </c>
      <c r="C58" s="17" t="s">
        <v>154</v>
      </c>
      <c r="D58" s="68" t="s">
        <v>113</v>
      </c>
      <c r="E58" s="17" t="s">
        <v>184</v>
      </c>
      <c r="F58" s="64" t="s">
        <v>149</v>
      </c>
      <c r="G58" s="66"/>
      <c r="H58" s="18"/>
      <c r="I58" s="18"/>
      <c r="J58" s="18"/>
      <c r="K58" s="65"/>
      <c r="L58" s="66"/>
      <c r="M58" s="65"/>
      <c r="N58" s="66"/>
      <c r="O58" s="65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>
      <c r="A59" s="67"/>
      <c r="B59" s="62">
        <v>700.0</v>
      </c>
      <c r="C59" s="17" t="s">
        <v>154</v>
      </c>
      <c r="D59" s="68" t="s">
        <v>113</v>
      </c>
      <c r="E59" s="17" t="s">
        <v>185</v>
      </c>
      <c r="F59" s="64" t="s">
        <v>149</v>
      </c>
      <c r="G59" s="66"/>
      <c r="H59" s="18"/>
      <c r="I59" s="18"/>
      <c r="J59" s="18"/>
      <c r="K59" s="65"/>
      <c r="L59" s="66"/>
      <c r="M59" s="65"/>
      <c r="N59" s="66"/>
      <c r="O59" s="65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>
      <c r="A60" s="67"/>
      <c r="B60" s="62">
        <v>12.0</v>
      </c>
      <c r="C60" s="17" t="s">
        <v>154</v>
      </c>
      <c r="D60" s="68" t="s">
        <v>138</v>
      </c>
      <c r="E60" s="17"/>
      <c r="F60" s="64" t="s">
        <v>155</v>
      </c>
      <c r="G60" s="66"/>
      <c r="H60" s="18"/>
      <c r="I60" s="18"/>
      <c r="J60" s="18"/>
      <c r="K60" s="65"/>
      <c r="L60" s="66"/>
      <c r="M60" s="65"/>
      <c r="N60" s="66"/>
      <c r="O60" s="65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>
      <c r="A61" s="63">
        <v>45702.0</v>
      </c>
      <c r="B61" s="62">
        <v>24.0</v>
      </c>
      <c r="C61" s="17" t="s">
        <v>154</v>
      </c>
      <c r="D61" s="68" t="s">
        <v>138</v>
      </c>
      <c r="E61" s="17"/>
      <c r="F61" s="64" t="s">
        <v>155</v>
      </c>
      <c r="G61" s="62">
        <v>6000.0</v>
      </c>
      <c r="H61" s="17" t="s">
        <v>154</v>
      </c>
      <c r="I61" s="17" t="s">
        <v>160</v>
      </c>
      <c r="J61" s="17" t="s">
        <v>186</v>
      </c>
      <c r="K61" s="64" t="s">
        <v>155</v>
      </c>
      <c r="L61" s="62">
        <v>6000.0</v>
      </c>
      <c r="M61" s="65"/>
      <c r="N61" s="66"/>
      <c r="O61" s="65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>
      <c r="A62" s="63">
        <v>45703.0</v>
      </c>
      <c r="B62" s="17">
        <v>1250.0</v>
      </c>
      <c r="C62" s="17" t="s">
        <v>154</v>
      </c>
      <c r="D62" s="68" t="s">
        <v>112</v>
      </c>
      <c r="E62" s="17" t="s">
        <v>187</v>
      </c>
      <c r="F62" s="64" t="s">
        <v>149</v>
      </c>
      <c r="G62" s="66"/>
      <c r="H62" s="18"/>
      <c r="I62" s="18"/>
      <c r="J62" s="18"/>
      <c r="K62" s="65"/>
      <c r="L62" s="66"/>
      <c r="M62" s="65"/>
      <c r="N62" s="66"/>
      <c r="O62" s="65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>
      <c r="A63" s="67"/>
      <c r="B63" s="19">
        <v>700.0</v>
      </c>
      <c r="C63" s="17" t="s">
        <v>154</v>
      </c>
      <c r="D63" s="68" t="s">
        <v>112</v>
      </c>
      <c r="E63" s="17" t="s">
        <v>185</v>
      </c>
      <c r="F63" s="64" t="s">
        <v>149</v>
      </c>
      <c r="G63" s="66"/>
      <c r="H63" s="18"/>
      <c r="I63" s="18"/>
      <c r="J63" s="18"/>
      <c r="K63" s="65"/>
      <c r="L63" s="66"/>
      <c r="M63" s="65"/>
      <c r="N63" s="66"/>
      <c r="O63" s="65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>
      <c r="A64" s="67"/>
      <c r="B64" s="17">
        <v>2000.0</v>
      </c>
      <c r="C64" s="17" t="s">
        <v>154</v>
      </c>
      <c r="D64" s="68" t="s">
        <v>112</v>
      </c>
      <c r="E64" s="17" t="s">
        <v>188</v>
      </c>
      <c r="F64" s="64" t="s">
        <v>149</v>
      </c>
      <c r="G64" s="66"/>
      <c r="H64" s="18"/>
      <c r="I64" s="18"/>
      <c r="J64" s="18"/>
      <c r="K64" s="65"/>
      <c r="L64" s="66"/>
      <c r="M64" s="65"/>
      <c r="N64" s="66"/>
      <c r="O64" s="65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>
      <c r="A65" s="67"/>
      <c r="B65" s="19">
        <v>700.0</v>
      </c>
      <c r="C65" s="17" t="s">
        <v>154</v>
      </c>
      <c r="D65" s="68" t="s">
        <v>112</v>
      </c>
      <c r="E65" s="17" t="s">
        <v>189</v>
      </c>
      <c r="F65" s="64" t="s">
        <v>149</v>
      </c>
      <c r="G65" s="66"/>
      <c r="H65" s="18"/>
      <c r="I65" s="18"/>
      <c r="J65" s="18"/>
      <c r="K65" s="65"/>
      <c r="L65" s="66"/>
      <c r="M65" s="65"/>
      <c r="N65" s="66"/>
      <c r="O65" s="65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>
      <c r="A66" s="67"/>
      <c r="B66" s="19">
        <v>700.0</v>
      </c>
      <c r="C66" s="17" t="s">
        <v>154</v>
      </c>
      <c r="D66" s="68" t="s">
        <v>112</v>
      </c>
      <c r="E66" s="17" t="s">
        <v>190</v>
      </c>
      <c r="F66" s="64" t="s">
        <v>149</v>
      </c>
      <c r="G66" s="66"/>
      <c r="H66" s="18"/>
      <c r="I66" s="18"/>
      <c r="J66" s="18"/>
      <c r="K66" s="65"/>
      <c r="L66" s="66"/>
      <c r="M66" s="65"/>
      <c r="N66" s="66"/>
      <c r="O66" s="65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>
      <c r="A67" s="67"/>
      <c r="B67" s="62">
        <v>200.0</v>
      </c>
      <c r="C67" s="17" t="s">
        <v>154</v>
      </c>
      <c r="D67" s="68" t="s">
        <v>191</v>
      </c>
      <c r="E67" s="18"/>
      <c r="F67" s="64" t="s">
        <v>149</v>
      </c>
      <c r="G67" s="66"/>
      <c r="H67" s="18"/>
      <c r="I67" s="18"/>
      <c r="J67" s="18"/>
      <c r="K67" s="65"/>
      <c r="L67" s="66"/>
      <c r="M67" s="65"/>
      <c r="N67" s="66"/>
      <c r="O67" s="65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>
      <c r="A68" s="63">
        <v>45704.0</v>
      </c>
      <c r="B68" s="62">
        <v>1250.0</v>
      </c>
      <c r="C68" s="17" t="s">
        <v>154</v>
      </c>
      <c r="D68" s="68" t="s">
        <v>109</v>
      </c>
      <c r="E68" s="17" t="s">
        <v>187</v>
      </c>
      <c r="F68" s="64" t="s">
        <v>149</v>
      </c>
      <c r="G68" s="66"/>
      <c r="H68" s="18"/>
      <c r="I68" s="18"/>
      <c r="J68" s="18"/>
      <c r="K68" s="65"/>
      <c r="L68" s="66"/>
      <c r="M68" s="65"/>
      <c r="N68" s="66"/>
      <c r="O68" s="65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>
      <c r="A69" s="67"/>
      <c r="B69" s="62">
        <v>300.0</v>
      </c>
      <c r="C69" s="17" t="s">
        <v>154</v>
      </c>
      <c r="D69" s="68" t="s">
        <v>111</v>
      </c>
      <c r="E69" s="17" t="s">
        <v>192</v>
      </c>
      <c r="F69" s="64" t="s">
        <v>149</v>
      </c>
      <c r="G69" s="66"/>
      <c r="H69" s="18"/>
      <c r="I69" s="18"/>
      <c r="J69" s="18"/>
      <c r="K69" s="65"/>
      <c r="L69" s="66"/>
      <c r="M69" s="65"/>
      <c r="N69" s="66"/>
      <c r="O69" s="65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>
      <c r="A70" s="67"/>
      <c r="B70" s="66"/>
      <c r="C70" s="18"/>
      <c r="D70" s="18"/>
      <c r="E70" s="18"/>
      <c r="F70" s="65"/>
      <c r="G70" s="66"/>
      <c r="H70" s="18"/>
      <c r="I70" s="18"/>
      <c r="J70" s="18"/>
      <c r="K70" s="65"/>
      <c r="L70" s="66"/>
      <c r="M70" s="65"/>
      <c r="N70" s="66"/>
      <c r="O70" s="65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>
      <c r="A71" s="67"/>
      <c r="B71" s="62">
        <v>2000.0</v>
      </c>
      <c r="C71" s="17" t="s">
        <v>154</v>
      </c>
      <c r="D71" s="68" t="s">
        <v>109</v>
      </c>
      <c r="E71" s="17" t="s">
        <v>193</v>
      </c>
      <c r="F71" s="64" t="s">
        <v>149</v>
      </c>
      <c r="G71" s="66"/>
      <c r="H71" s="18"/>
      <c r="I71" s="18"/>
      <c r="J71" s="18"/>
      <c r="K71" s="65"/>
      <c r="L71" s="66"/>
      <c r="M71" s="65"/>
      <c r="N71" s="66"/>
      <c r="O71" s="65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>
      <c r="A72" s="67"/>
      <c r="B72" s="62">
        <v>2500.0</v>
      </c>
      <c r="C72" s="17" t="s">
        <v>154</v>
      </c>
      <c r="D72" s="68" t="s">
        <v>109</v>
      </c>
      <c r="E72" s="17" t="s">
        <v>194</v>
      </c>
      <c r="F72" s="64" t="s">
        <v>149</v>
      </c>
      <c r="G72" s="66"/>
      <c r="H72" s="18"/>
      <c r="I72" s="18"/>
      <c r="J72" s="18"/>
      <c r="K72" s="65"/>
      <c r="L72" s="66"/>
      <c r="M72" s="65"/>
      <c r="N72" s="66"/>
      <c r="O72" s="65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>
      <c r="A73" s="67"/>
      <c r="B73" s="62">
        <v>2000.0</v>
      </c>
      <c r="C73" s="17" t="s">
        <v>154</v>
      </c>
      <c r="D73" s="68" t="s">
        <v>109</v>
      </c>
      <c r="E73" s="17" t="s">
        <v>169</v>
      </c>
      <c r="F73" s="64" t="s">
        <v>149</v>
      </c>
      <c r="G73" s="66"/>
      <c r="H73" s="18"/>
      <c r="I73" s="18"/>
      <c r="J73" s="18"/>
      <c r="K73" s="65"/>
      <c r="L73" s="66"/>
      <c r="M73" s="65"/>
      <c r="N73" s="66"/>
      <c r="O73" s="65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>
      <c r="A74" s="63">
        <v>45705.0</v>
      </c>
      <c r="B74" s="62">
        <v>1.2</v>
      </c>
      <c r="C74" s="17" t="s">
        <v>154</v>
      </c>
      <c r="D74" s="68" t="s">
        <v>138</v>
      </c>
      <c r="E74" s="17"/>
      <c r="F74" s="64" t="s">
        <v>155</v>
      </c>
      <c r="G74" s="66"/>
      <c r="H74" s="18"/>
      <c r="I74" s="18"/>
      <c r="J74" s="18"/>
      <c r="K74" s="65"/>
      <c r="L74" s="62">
        <v>300.0</v>
      </c>
      <c r="M74" s="65"/>
      <c r="N74" s="66"/>
      <c r="O74" s="65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>
      <c r="A75" s="63">
        <v>45712.0</v>
      </c>
      <c r="B75" s="62">
        <v>20.0</v>
      </c>
      <c r="C75" s="17" t="s">
        <v>154</v>
      </c>
      <c r="D75" s="68" t="s">
        <v>138</v>
      </c>
      <c r="E75" s="17"/>
      <c r="F75" s="64" t="s">
        <v>155</v>
      </c>
      <c r="G75" s="62">
        <v>16552.0</v>
      </c>
      <c r="H75" s="17" t="s">
        <v>154</v>
      </c>
      <c r="I75" s="17" t="s">
        <v>160</v>
      </c>
      <c r="J75" s="17" t="s">
        <v>195</v>
      </c>
      <c r="K75" s="65"/>
      <c r="L75" s="62">
        <v>5000.0</v>
      </c>
      <c r="M75" s="65"/>
      <c r="N75" s="66"/>
      <c r="O75" s="65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>
      <c r="A76" s="67"/>
      <c r="B76" s="62">
        <v>16.0</v>
      </c>
      <c r="C76" s="17" t="s">
        <v>154</v>
      </c>
      <c r="D76" s="68" t="s">
        <v>138</v>
      </c>
      <c r="E76" s="17"/>
      <c r="F76" s="64" t="s">
        <v>155</v>
      </c>
      <c r="G76" s="66"/>
      <c r="H76" s="18"/>
      <c r="I76" s="18"/>
      <c r="J76" s="18"/>
      <c r="K76" s="65"/>
      <c r="L76" s="62">
        <v>4000.0</v>
      </c>
      <c r="M76" s="65"/>
      <c r="N76" s="66"/>
      <c r="O76" s="65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>
      <c r="A77" s="63">
        <v>45713.0</v>
      </c>
      <c r="B77" s="62">
        <v>20.0</v>
      </c>
      <c r="C77" s="17" t="s">
        <v>154</v>
      </c>
      <c r="D77" s="68" t="s">
        <v>138</v>
      </c>
      <c r="E77" s="17"/>
      <c r="F77" s="64" t="s">
        <v>155</v>
      </c>
      <c r="G77" s="66"/>
      <c r="H77" s="18"/>
      <c r="I77" s="18"/>
      <c r="J77" s="18"/>
      <c r="K77" s="65"/>
      <c r="L77" s="62">
        <v>5000.0</v>
      </c>
      <c r="M77" s="65"/>
      <c r="N77" s="66"/>
      <c r="O77" s="65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>
      <c r="A78" s="63">
        <v>45715.0</v>
      </c>
      <c r="B78" s="34"/>
      <c r="C78" s="34"/>
      <c r="D78" s="34"/>
      <c r="E78" s="34"/>
      <c r="F78" s="73"/>
      <c r="G78" s="62">
        <v>1742.0</v>
      </c>
      <c r="H78" s="17" t="s">
        <v>154</v>
      </c>
      <c r="I78" s="17" t="s">
        <v>9</v>
      </c>
      <c r="J78" s="17" t="s">
        <v>196</v>
      </c>
      <c r="K78" s="65"/>
      <c r="L78" s="66"/>
      <c r="M78" s="65"/>
      <c r="N78" s="66"/>
      <c r="O78" s="65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>
      <c r="A79" s="63">
        <v>45716.0</v>
      </c>
      <c r="B79" s="62">
        <v>40.0</v>
      </c>
      <c r="C79" s="17" t="s">
        <v>154</v>
      </c>
      <c r="D79" s="17" t="s">
        <v>145</v>
      </c>
      <c r="E79" s="17"/>
      <c r="F79" s="64" t="s">
        <v>155</v>
      </c>
      <c r="G79" s="66"/>
      <c r="H79" s="18"/>
      <c r="I79" s="18"/>
      <c r="J79" s="18"/>
      <c r="K79" s="65"/>
      <c r="L79" s="66"/>
      <c r="M79" s="65"/>
      <c r="N79" s="66"/>
      <c r="O79" s="65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>
      <c r="A80" s="63"/>
      <c r="B80" s="62">
        <v>150.0</v>
      </c>
      <c r="C80" s="17" t="s">
        <v>154</v>
      </c>
      <c r="D80" s="17" t="s">
        <v>157</v>
      </c>
      <c r="E80" s="17" t="s">
        <v>197</v>
      </c>
      <c r="F80" s="64" t="s">
        <v>155</v>
      </c>
      <c r="G80" s="66"/>
      <c r="H80" s="18"/>
      <c r="I80" s="18"/>
      <c r="J80" s="18"/>
      <c r="K80" s="65"/>
      <c r="L80" s="66"/>
      <c r="M80" s="65"/>
      <c r="N80" s="66"/>
      <c r="O80" s="65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>
      <c r="A81" s="70"/>
      <c r="B81" s="71"/>
      <c r="C81" s="14"/>
      <c r="D81" s="14"/>
      <c r="E81" s="14"/>
      <c r="F81" s="72"/>
      <c r="G81" s="71"/>
      <c r="H81" s="14"/>
      <c r="I81" s="14"/>
      <c r="J81" s="14"/>
      <c r="K81" s="72"/>
      <c r="L81" s="71"/>
      <c r="M81" s="72"/>
      <c r="N81" s="71"/>
      <c r="O81" s="72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>
      <c r="A82" s="70"/>
      <c r="B82" s="71"/>
      <c r="C82" s="14"/>
      <c r="D82" s="14"/>
      <c r="E82" s="14"/>
      <c r="F82" s="72"/>
      <c r="G82" s="71"/>
      <c r="H82" s="14"/>
      <c r="I82" s="14"/>
      <c r="J82" s="14"/>
      <c r="K82" s="72"/>
      <c r="L82" s="71"/>
      <c r="M82" s="72"/>
      <c r="N82" s="71"/>
      <c r="O82" s="72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>
      <c r="A83" s="63">
        <v>45719.0</v>
      </c>
      <c r="B83" s="69">
        <v>71.07</v>
      </c>
      <c r="C83" s="17" t="s">
        <v>154</v>
      </c>
      <c r="D83" s="17" t="s">
        <v>146</v>
      </c>
      <c r="E83" s="17"/>
      <c r="F83" s="64" t="s">
        <v>155</v>
      </c>
      <c r="G83" s="66"/>
      <c r="H83" s="18"/>
      <c r="I83" s="18"/>
      <c r="J83" s="18"/>
      <c r="K83" s="65"/>
      <c r="L83" s="66"/>
      <c r="M83" s="65"/>
      <c r="N83" s="66"/>
      <c r="O83" s="65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>
      <c r="A84" s="63">
        <v>45721.0</v>
      </c>
      <c r="B84" s="69">
        <v>13.0</v>
      </c>
      <c r="C84" s="17" t="s">
        <v>154</v>
      </c>
      <c r="D84" s="17" t="s">
        <v>143</v>
      </c>
      <c r="E84" s="34"/>
      <c r="F84" s="64" t="s">
        <v>155</v>
      </c>
      <c r="G84" s="66"/>
      <c r="H84" s="18"/>
      <c r="I84" s="18"/>
      <c r="J84" s="18"/>
      <c r="K84" s="65"/>
      <c r="L84" s="66"/>
      <c r="M84" s="65"/>
      <c r="N84" s="66"/>
      <c r="O84" s="65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>
      <c r="A85" s="67"/>
      <c r="B85" s="69">
        <v>0.51</v>
      </c>
      <c r="C85" s="17" t="s">
        <v>154</v>
      </c>
      <c r="D85" s="68" t="s">
        <v>139</v>
      </c>
      <c r="E85" s="17"/>
      <c r="F85" s="64" t="s">
        <v>155</v>
      </c>
      <c r="G85" s="66"/>
      <c r="H85" s="18"/>
      <c r="I85" s="18"/>
      <c r="J85" s="18"/>
      <c r="K85" s="65"/>
      <c r="L85" s="66"/>
      <c r="M85" s="65"/>
      <c r="N85" s="66"/>
      <c r="O85" s="65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>
      <c r="A86" s="63">
        <v>45724.0</v>
      </c>
      <c r="B86" s="34"/>
      <c r="C86" s="34"/>
      <c r="D86" s="34"/>
      <c r="E86" s="34"/>
      <c r="F86" s="73"/>
      <c r="G86" s="62">
        <v>1742.0</v>
      </c>
      <c r="H86" s="17" t="s">
        <v>154</v>
      </c>
      <c r="I86" s="17" t="s">
        <v>9</v>
      </c>
      <c r="J86" s="17" t="s">
        <v>198</v>
      </c>
      <c r="K86" s="65"/>
      <c r="L86" s="62">
        <v>3500.0</v>
      </c>
      <c r="M86" s="65"/>
      <c r="N86" s="66"/>
      <c r="O86" s="65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>
      <c r="A87" s="63">
        <v>45730.0</v>
      </c>
      <c r="B87" s="69">
        <v>8.8</v>
      </c>
      <c r="C87" s="17" t="s">
        <v>154</v>
      </c>
      <c r="D87" s="68" t="s">
        <v>138</v>
      </c>
      <c r="E87" s="17"/>
      <c r="F87" s="64" t="s">
        <v>155</v>
      </c>
      <c r="G87" s="66"/>
      <c r="H87" s="18"/>
      <c r="I87" s="18"/>
      <c r="J87" s="18"/>
      <c r="K87" s="65"/>
      <c r="L87" s="62">
        <v>2200.0</v>
      </c>
      <c r="M87" s="65"/>
      <c r="N87" s="66"/>
      <c r="O87" s="65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>
      <c r="A88" s="63">
        <v>45734.0</v>
      </c>
      <c r="B88" s="34"/>
      <c r="C88" s="34"/>
      <c r="D88" s="34"/>
      <c r="E88" s="34"/>
      <c r="F88" s="73"/>
      <c r="G88" s="62">
        <v>6000.0</v>
      </c>
      <c r="H88" s="17" t="s">
        <v>154</v>
      </c>
      <c r="I88" s="17" t="s">
        <v>160</v>
      </c>
      <c r="J88" s="17" t="s">
        <v>199</v>
      </c>
      <c r="K88" s="65"/>
      <c r="L88" s="66"/>
      <c r="M88" s="65"/>
      <c r="N88" s="66"/>
      <c r="O88" s="65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>
      <c r="A89" s="63">
        <v>45735.0</v>
      </c>
      <c r="B89" s="69">
        <v>24.0</v>
      </c>
      <c r="C89" s="17" t="s">
        <v>154</v>
      </c>
      <c r="D89" s="68" t="s">
        <v>138</v>
      </c>
      <c r="E89" s="17"/>
      <c r="F89" s="64" t="s">
        <v>155</v>
      </c>
      <c r="G89" s="66"/>
      <c r="H89" s="18"/>
      <c r="I89" s="18"/>
      <c r="J89" s="18"/>
      <c r="K89" s="65"/>
      <c r="L89" s="62">
        <v>6000.0</v>
      </c>
      <c r="M89" s="65"/>
      <c r="N89" s="66"/>
      <c r="O89" s="65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>
      <c r="A90" s="63">
        <v>45737.0</v>
      </c>
      <c r="B90" s="69">
        <v>4400.0</v>
      </c>
      <c r="C90" s="17" t="s">
        <v>154</v>
      </c>
      <c r="D90" s="68" t="s">
        <v>110</v>
      </c>
      <c r="E90" s="69" t="s">
        <v>200</v>
      </c>
      <c r="F90" s="64" t="s">
        <v>149</v>
      </c>
      <c r="G90" s="62">
        <v>1741.0</v>
      </c>
      <c r="H90" s="17" t="s">
        <v>154</v>
      </c>
      <c r="I90" s="17" t="s">
        <v>9</v>
      </c>
      <c r="J90" s="17" t="s">
        <v>201</v>
      </c>
      <c r="K90" s="65"/>
      <c r="L90" s="66"/>
      <c r="M90" s="65"/>
      <c r="N90" s="66"/>
      <c r="O90" s="65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>
      <c r="A91" s="67"/>
      <c r="B91" s="69">
        <v>100.0</v>
      </c>
      <c r="C91" s="17" t="s">
        <v>154</v>
      </c>
      <c r="D91" s="68" t="s">
        <v>110</v>
      </c>
      <c r="E91" s="69" t="s">
        <v>202</v>
      </c>
      <c r="F91" s="73"/>
      <c r="G91" s="62">
        <v>2200.0</v>
      </c>
      <c r="H91" s="17" t="s">
        <v>154</v>
      </c>
      <c r="I91" s="17" t="s">
        <v>157</v>
      </c>
      <c r="J91" s="17" t="s">
        <v>203</v>
      </c>
      <c r="K91" s="65"/>
      <c r="L91" s="66"/>
      <c r="M91" s="65"/>
      <c r="N91" s="66"/>
      <c r="O91" s="65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>
      <c r="A92" s="67"/>
      <c r="B92" s="62">
        <v>700.0</v>
      </c>
      <c r="C92" s="17" t="s">
        <v>154</v>
      </c>
      <c r="D92" s="68" t="s">
        <v>113</v>
      </c>
      <c r="E92" s="17" t="s">
        <v>190</v>
      </c>
      <c r="F92" s="64" t="s">
        <v>149</v>
      </c>
      <c r="G92" s="66"/>
      <c r="H92" s="18"/>
      <c r="I92" s="18"/>
      <c r="J92" s="18"/>
      <c r="K92" s="65"/>
      <c r="L92" s="66"/>
      <c r="M92" s="65"/>
      <c r="N92" s="66"/>
      <c r="O92" s="65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>
      <c r="A93" s="67"/>
      <c r="B93" s="62">
        <v>700.0</v>
      </c>
      <c r="C93" s="17" t="s">
        <v>154</v>
      </c>
      <c r="D93" s="68" t="s">
        <v>109</v>
      </c>
      <c r="E93" s="17" t="s">
        <v>190</v>
      </c>
      <c r="F93" s="64" t="s">
        <v>149</v>
      </c>
      <c r="G93" s="66"/>
      <c r="H93" s="18"/>
      <c r="I93" s="18"/>
      <c r="J93" s="18"/>
      <c r="K93" s="65"/>
      <c r="L93" s="66"/>
      <c r="M93" s="65"/>
      <c r="N93" s="66"/>
      <c r="O93" s="65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>
      <c r="A94" s="63">
        <v>45744.0</v>
      </c>
      <c r="B94" s="69">
        <v>0.45</v>
      </c>
      <c r="C94" s="17" t="s">
        <v>154</v>
      </c>
      <c r="D94" s="68" t="s">
        <v>139</v>
      </c>
      <c r="E94" s="17"/>
      <c r="F94" s="64" t="s">
        <v>155</v>
      </c>
      <c r="G94" s="66"/>
      <c r="H94" s="18"/>
      <c r="I94" s="18"/>
      <c r="J94" s="18"/>
      <c r="K94" s="65"/>
      <c r="L94" s="62">
        <v>1500.0</v>
      </c>
      <c r="M94" s="65"/>
      <c r="N94" s="66"/>
      <c r="O94" s="65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>
      <c r="A95" s="63">
        <v>45747.0</v>
      </c>
      <c r="B95" s="69">
        <v>13.0</v>
      </c>
      <c r="C95" s="17" t="s">
        <v>154</v>
      </c>
      <c r="D95" s="17" t="s">
        <v>143</v>
      </c>
      <c r="E95" s="34"/>
      <c r="F95" s="64" t="s">
        <v>155</v>
      </c>
      <c r="G95" s="62">
        <v>1400.0</v>
      </c>
      <c r="H95" s="17" t="s">
        <v>204</v>
      </c>
      <c r="I95" s="17" t="s">
        <v>160</v>
      </c>
      <c r="J95" s="17" t="s">
        <v>205</v>
      </c>
      <c r="K95" s="65"/>
      <c r="L95" s="66"/>
      <c r="M95" s="65"/>
      <c r="N95" s="66"/>
      <c r="O95" s="65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>
      <c r="A96" s="67"/>
      <c r="B96" s="69">
        <v>0.51</v>
      </c>
      <c r="C96" s="17" t="s">
        <v>154</v>
      </c>
      <c r="D96" s="68" t="s">
        <v>139</v>
      </c>
      <c r="E96" s="17"/>
      <c r="F96" s="64" t="s">
        <v>155</v>
      </c>
      <c r="G96" s="66"/>
      <c r="H96" s="18"/>
      <c r="I96" s="18"/>
      <c r="J96" s="18"/>
      <c r="K96" s="65"/>
      <c r="L96" s="66"/>
      <c r="M96" s="65"/>
      <c r="N96" s="66"/>
      <c r="O96" s="65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>
      <c r="A97" s="67"/>
      <c r="B97" s="62">
        <v>40.0</v>
      </c>
      <c r="C97" s="17" t="s">
        <v>154</v>
      </c>
      <c r="D97" s="17" t="s">
        <v>145</v>
      </c>
      <c r="E97" s="17"/>
      <c r="F97" s="64" t="s">
        <v>155</v>
      </c>
      <c r="G97" s="66"/>
      <c r="H97" s="18"/>
      <c r="I97" s="18"/>
      <c r="J97" s="18"/>
      <c r="K97" s="65"/>
      <c r="L97" s="66"/>
      <c r="M97" s="65"/>
      <c r="N97" s="66"/>
      <c r="O97" s="65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>
      <c r="A98" s="67"/>
      <c r="B98" s="69">
        <v>400.0</v>
      </c>
      <c r="C98" s="17" t="s">
        <v>204</v>
      </c>
      <c r="D98" s="68" t="s">
        <v>112</v>
      </c>
      <c r="E98" s="69" t="s">
        <v>206</v>
      </c>
      <c r="F98" s="73"/>
      <c r="G98" s="66"/>
      <c r="H98" s="18"/>
      <c r="I98" s="18"/>
      <c r="J98" s="18"/>
      <c r="K98" s="65"/>
      <c r="L98" s="66"/>
      <c r="M98" s="65"/>
      <c r="N98" s="66"/>
      <c r="O98" s="65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>
      <c r="A99" s="67"/>
      <c r="B99" s="62">
        <v>300.0</v>
      </c>
      <c r="C99" s="17" t="s">
        <v>204</v>
      </c>
      <c r="D99" s="68" t="s">
        <v>110</v>
      </c>
      <c r="E99" s="69" t="s">
        <v>206</v>
      </c>
      <c r="F99" s="73"/>
      <c r="G99" s="66"/>
      <c r="H99" s="18"/>
      <c r="I99" s="18"/>
      <c r="J99" s="18"/>
      <c r="K99" s="65"/>
      <c r="L99" s="66"/>
      <c r="M99" s="65"/>
      <c r="N99" s="66"/>
      <c r="O99" s="65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>
      <c r="A100" s="67"/>
      <c r="B100" s="62">
        <v>300.0</v>
      </c>
      <c r="C100" s="17" t="s">
        <v>204</v>
      </c>
      <c r="D100" s="68" t="s">
        <v>111</v>
      </c>
      <c r="E100" s="69" t="s">
        <v>206</v>
      </c>
      <c r="F100" s="65"/>
      <c r="G100" s="66"/>
      <c r="H100" s="18"/>
      <c r="I100" s="18"/>
      <c r="J100" s="18"/>
      <c r="K100" s="65"/>
      <c r="L100" s="66"/>
      <c r="M100" s="65"/>
      <c r="N100" s="66"/>
      <c r="O100" s="65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>
      <c r="A101" s="67"/>
      <c r="B101" s="62">
        <v>200.0</v>
      </c>
      <c r="C101" s="17" t="s">
        <v>204</v>
      </c>
      <c r="D101" s="68" t="s">
        <v>113</v>
      </c>
      <c r="E101" s="69" t="s">
        <v>206</v>
      </c>
      <c r="F101" s="65"/>
      <c r="G101" s="66"/>
      <c r="H101" s="18"/>
      <c r="I101" s="18"/>
      <c r="J101" s="18"/>
      <c r="K101" s="65"/>
      <c r="L101" s="66"/>
      <c r="M101" s="65"/>
      <c r="N101" s="66"/>
      <c r="O101" s="65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>
      <c r="A102" s="67"/>
      <c r="B102" s="62">
        <v>200.0</v>
      </c>
      <c r="C102" s="17" t="s">
        <v>204</v>
      </c>
      <c r="D102" s="68" t="s">
        <v>109</v>
      </c>
      <c r="E102" s="69" t="s">
        <v>206</v>
      </c>
      <c r="F102" s="65"/>
      <c r="G102" s="66"/>
      <c r="H102" s="18"/>
      <c r="I102" s="18"/>
      <c r="J102" s="18"/>
      <c r="K102" s="65"/>
      <c r="L102" s="66"/>
      <c r="M102" s="65"/>
      <c r="N102" s="66"/>
      <c r="O102" s="65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>
      <c r="A103" s="67"/>
      <c r="B103" s="62">
        <v>700.0</v>
      </c>
      <c r="C103" s="17" t="s">
        <v>154</v>
      </c>
      <c r="D103" s="68" t="s">
        <v>111</v>
      </c>
      <c r="E103" s="17" t="s">
        <v>190</v>
      </c>
      <c r="F103" s="64" t="s">
        <v>149</v>
      </c>
      <c r="G103" s="66"/>
      <c r="H103" s="18"/>
      <c r="I103" s="18"/>
      <c r="J103" s="18"/>
      <c r="K103" s="65"/>
      <c r="L103" s="66"/>
      <c r="M103" s="65"/>
      <c r="N103" s="66"/>
      <c r="O103" s="65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>
      <c r="A104" s="67"/>
      <c r="B104" s="62">
        <v>400.0</v>
      </c>
      <c r="C104" s="17" t="s">
        <v>154</v>
      </c>
      <c r="D104" s="68" t="s">
        <v>111</v>
      </c>
      <c r="E104" s="17" t="s">
        <v>207</v>
      </c>
      <c r="F104" s="64" t="s">
        <v>149</v>
      </c>
      <c r="G104" s="66"/>
      <c r="H104" s="18"/>
      <c r="I104" s="18"/>
      <c r="J104" s="18"/>
      <c r="K104" s="65"/>
      <c r="L104" s="66"/>
      <c r="M104" s="65"/>
      <c r="N104" s="66"/>
      <c r="O104" s="65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>
      <c r="A105" s="67"/>
      <c r="B105" s="19">
        <v>700.0</v>
      </c>
      <c r="C105" s="17" t="s">
        <v>154</v>
      </c>
      <c r="D105" s="68" t="s">
        <v>111</v>
      </c>
      <c r="E105" s="17" t="s">
        <v>185</v>
      </c>
      <c r="F105" s="64" t="s">
        <v>149</v>
      </c>
      <c r="G105" s="66"/>
      <c r="H105" s="18"/>
      <c r="I105" s="18"/>
      <c r="J105" s="18"/>
      <c r="K105" s="65"/>
      <c r="L105" s="66"/>
      <c r="M105" s="65"/>
      <c r="N105" s="66"/>
      <c r="O105" s="65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>
      <c r="A106" s="67"/>
      <c r="B106" s="17">
        <v>2000.0</v>
      </c>
      <c r="C106" s="17" t="s">
        <v>154</v>
      </c>
      <c r="D106" s="68" t="s">
        <v>111</v>
      </c>
      <c r="E106" s="17" t="s">
        <v>188</v>
      </c>
      <c r="F106" s="64" t="s">
        <v>149</v>
      </c>
      <c r="G106" s="66"/>
      <c r="H106" s="18"/>
      <c r="I106" s="18"/>
      <c r="J106" s="18"/>
      <c r="K106" s="65"/>
      <c r="L106" s="66"/>
      <c r="M106" s="65"/>
      <c r="N106" s="66"/>
      <c r="O106" s="65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>
      <c r="A107" s="67"/>
      <c r="B107" s="62">
        <v>2500.0</v>
      </c>
      <c r="C107" s="17" t="s">
        <v>154</v>
      </c>
      <c r="D107" s="68" t="s">
        <v>111</v>
      </c>
      <c r="E107" s="17" t="s">
        <v>194</v>
      </c>
      <c r="F107" s="64" t="s">
        <v>149</v>
      </c>
      <c r="G107" s="66"/>
      <c r="H107" s="18"/>
      <c r="I107" s="18"/>
      <c r="J107" s="18"/>
      <c r="K107" s="65"/>
      <c r="L107" s="66"/>
      <c r="M107" s="65"/>
      <c r="N107" s="66"/>
      <c r="O107" s="65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>
      <c r="A108" s="67"/>
      <c r="B108" s="62">
        <v>2000.0</v>
      </c>
      <c r="C108" s="17" t="s">
        <v>154</v>
      </c>
      <c r="D108" s="68" t="s">
        <v>111</v>
      </c>
      <c r="E108" s="17" t="s">
        <v>169</v>
      </c>
      <c r="F108" s="64" t="s">
        <v>149</v>
      </c>
      <c r="G108" s="66"/>
      <c r="H108" s="18"/>
      <c r="I108" s="18"/>
      <c r="J108" s="18"/>
      <c r="K108" s="65"/>
      <c r="L108" s="66"/>
      <c r="M108" s="65"/>
      <c r="N108" s="66"/>
      <c r="O108" s="65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>
      <c r="A109" s="70"/>
      <c r="B109" s="71"/>
      <c r="C109" s="14"/>
      <c r="D109" s="14"/>
      <c r="E109" s="14"/>
      <c r="F109" s="72"/>
      <c r="G109" s="71"/>
      <c r="H109" s="14"/>
      <c r="I109" s="14"/>
      <c r="J109" s="14"/>
      <c r="K109" s="72"/>
      <c r="L109" s="71"/>
      <c r="M109" s="72"/>
      <c r="N109" s="71"/>
      <c r="O109" s="72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>
      <c r="A110" s="70"/>
      <c r="B110" s="71"/>
      <c r="C110" s="14"/>
      <c r="D110" s="14"/>
      <c r="E110" s="14"/>
      <c r="F110" s="72"/>
      <c r="G110" s="71"/>
      <c r="H110" s="14"/>
      <c r="I110" s="14"/>
      <c r="J110" s="14"/>
      <c r="K110" s="72"/>
      <c r="L110" s="71"/>
      <c r="M110" s="72"/>
      <c r="N110" s="71"/>
      <c r="O110" s="72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>
      <c r="A111" s="63">
        <v>45750.0</v>
      </c>
      <c r="B111" s="69">
        <v>71.08</v>
      </c>
      <c r="C111" s="17" t="s">
        <v>154</v>
      </c>
      <c r="D111" s="17" t="s">
        <v>146</v>
      </c>
      <c r="E111" s="17"/>
      <c r="F111" s="64" t="s">
        <v>155</v>
      </c>
      <c r="K111" s="65"/>
      <c r="L111" s="62">
        <v>400.0</v>
      </c>
      <c r="M111" s="65"/>
      <c r="N111" s="66"/>
      <c r="O111" s="65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>
      <c r="A112" s="67"/>
      <c r="B112" s="62">
        <v>0.45</v>
      </c>
      <c r="C112" s="17" t="s">
        <v>154</v>
      </c>
      <c r="D112" s="68" t="s">
        <v>139</v>
      </c>
      <c r="E112" s="17"/>
      <c r="F112" s="64" t="s">
        <v>155</v>
      </c>
      <c r="G112" s="66"/>
      <c r="H112" s="18"/>
      <c r="I112" s="18"/>
      <c r="J112" s="18"/>
      <c r="K112" s="65"/>
      <c r="L112" s="66"/>
      <c r="M112" s="65"/>
      <c r="N112" s="66"/>
      <c r="O112" s="65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>
      <c r="A113" s="63">
        <v>45761.0</v>
      </c>
      <c r="B113" s="62">
        <v>1200.0</v>
      </c>
      <c r="C113" s="17" t="s">
        <v>154</v>
      </c>
      <c r="D113" s="68" t="s">
        <v>111</v>
      </c>
      <c r="E113" s="17" t="s">
        <v>208</v>
      </c>
      <c r="F113" s="65"/>
      <c r="G113" s="62">
        <v>6719.0</v>
      </c>
      <c r="H113" s="17" t="s">
        <v>154</v>
      </c>
      <c r="I113" s="17" t="s">
        <v>9</v>
      </c>
      <c r="J113" s="17" t="s">
        <v>209</v>
      </c>
      <c r="K113" s="65"/>
      <c r="L113" s="62">
        <v>6500.0</v>
      </c>
      <c r="M113" s="65"/>
      <c r="N113" s="66"/>
      <c r="O113" s="65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>
      <c r="A114" s="67"/>
      <c r="B114" s="62">
        <v>1200.0</v>
      </c>
      <c r="C114" s="17" t="s">
        <v>154</v>
      </c>
      <c r="D114" s="68" t="s">
        <v>113</v>
      </c>
      <c r="E114" s="17" t="s">
        <v>208</v>
      </c>
      <c r="F114" s="65"/>
      <c r="G114" s="66"/>
      <c r="H114" s="18"/>
      <c r="I114" s="18"/>
      <c r="J114" s="18"/>
      <c r="K114" s="65"/>
      <c r="L114" s="66"/>
      <c r="M114" s="65"/>
      <c r="N114" s="66"/>
      <c r="O114" s="65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>
      <c r="A115" s="67"/>
      <c r="B115" s="62">
        <v>1200.0</v>
      </c>
      <c r="C115" s="17" t="s">
        <v>154</v>
      </c>
      <c r="D115" s="68" t="s">
        <v>109</v>
      </c>
      <c r="E115" s="17" t="s">
        <v>208</v>
      </c>
      <c r="F115" s="65"/>
      <c r="G115" s="66"/>
      <c r="H115" s="18"/>
      <c r="I115" s="18"/>
      <c r="J115" s="18"/>
      <c r="K115" s="65"/>
      <c r="L115" s="66"/>
      <c r="M115" s="65"/>
      <c r="N115" s="66"/>
      <c r="O115" s="65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>
      <c r="A116" s="67"/>
      <c r="B116" s="69">
        <v>26.0</v>
      </c>
      <c r="C116" s="17" t="s">
        <v>154</v>
      </c>
      <c r="D116" s="68" t="s">
        <v>138</v>
      </c>
      <c r="E116" s="17"/>
      <c r="F116" s="64" t="s">
        <v>155</v>
      </c>
      <c r="G116" s="66"/>
      <c r="H116" s="18"/>
      <c r="I116" s="18"/>
      <c r="J116" s="18"/>
      <c r="K116" s="65"/>
      <c r="L116" s="66"/>
      <c r="M116" s="65"/>
      <c r="N116" s="66"/>
      <c r="O116" s="65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>
      <c r="A117" s="63">
        <v>45762.0</v>
      </c>
      <c r="B117" s="62">
        <v>750.0</v>
      </c>
      <c r="C117" s="17" t="s">
        <v>154</v>
      </c>
      <c r="D117" s="68" t="s">
        <v>24</v>
      </c>
      <c r="E117" s="17" t="s">
        <v>210</v>
      </c>
      <c r="F117" s="64" t="s">
        <v>149</v>
      </c>
      <c r="G117" s="66"/>
      <c r="H117" s="18"/>
      <c r="I117" s="18"/>
      <c r="J117" s="18"/>
      <c r="K117" s="65"/>
      <c r="L117" s="66"/>
      <c r="M117" s="65"/>
      <c r="N117" s="66"/>
      <c r="O117" s="65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>
      <c r="A118" s="63">
        <v>45764.0</v>
      </c>
      <c r="B118" s="62">
        <v>1200.0</v>
      </c>
      <c r="C118" s="17" t="s">
        <v>154</v>
      </c>
      <c r="D118" s="68" t="s">
        <v>110</v>
      </c>
      <c r="E118" s="17" t="s">
        <v>208</v>
      </c>
      <c r="F118" s="64" t="s">
        <v>149</v>
      </c>
      <c r="G118" s="66"/>
      <c r="H118" s="18"/>
      <c r="I118" s="18"/>
      <c r="J118" s="18"/>
      <c r="K118" s="65"/>
      <c r="L118" s="66"/>
      <c r="M118" s="65"/>
      <c r="N118" s="66"/>
      <c r="O118" s="65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>
      <c r="A119" s="63">
        <v>45770.0</v>
      </c>
      <c r="B119" s="62">
        <v>13.0</v>
      </c>
      <c r="C119" s="17" t="s">
        <v>154</v>
      </c>
      <c r="D119" s="17" t="s">
        <v>143</v>
      </c>
      <c r="E119" s="34"/>
      <c r="F119" s="64" t="s">
        <v>155</v>
      </c>
      <c r="G119" s="66"/>
      <c r="H119" s="18"/>
      <c r="I119" s="18"/>
      <c r="J119" s="18"/>
      <c r="K119" s="65"/>
      <c r="L119" s="66"/>
      <c r="M119" s="65"/>
      <c r="N119" s="66"/>
      <c r="O119" s="65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>
      <c r="A120" s="67"/>
      <c r="B120" s="69">
        <v>0.51</v>
      </c>
      <c r="C120" s="17" t="s">
        <v>154</v>
      </c>
      <c r="D120" s="68" t="s">
        <v>139</v>
      </c>
      <c r="E120" s="17"/>
      <c r="F120" s="64" t="s">
        <v>155</v>
      </c>
      <c r="G120" s="66"/>
      <c r="H120" s="18"/>
      <c r="I120" s="18"/>
      <c r="J120" s="18"/>
      <c r="K120" s="65"/>
      <c r="L120" s="66"/>
      <c r="M120" s="65"/>
      <c r="N120" s="66"/>
      <c r="O120" s="65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>
      <c r="A121" s="63">
        <v>45772.0</v>
      </c>
      <c r="B121" s="69">
        <v>0.45</v>
      </c>
      <c r="C121" s="17" t="s">
        <v>154</v>
      </c>
      <c r="D121" s="68" t="s">
        <v>138</v>
      </c>
      <c r="E121" s="17"/>
      <c r="F121" s="64" t="s">
        <v>155</v>
      </c>
      <c r="G121" s="66"/>
      <c r="H121" s="18"/>
      <c r="I121" s="18"/>
      <c r="J121" s="18"/>
      <c r="K121" s="65"/>
      <c r="L121" s="62">
        <v>200.0</v>
      </c>
      <c r="M121" s="65"/>
      <c r="N121" s="66"/>
      <c r="O121" s="65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>
      <c r="A122" s="63">
        <v>45777.0</v>
      </c>
      <c r="B122" s="62">
        <v>40.0</v>
      </c>
      <c r="C122" s="17" t="s">
        <v>154</v>
      </c>
      <c r="D122" s="17" t="s">
        <v>145</v>
      </c>
      <c r="E122" s="17"/>
      <c r="F122" s="64" t="s">
        <v>155</v>
      </c>
      <c r="G122" s="66"/>
      <c r="H122" s="18"/>
      <c r="I122" s="18"/>
      <c r="J122" s="18"/>
      <c r="K122" s="65"/>
      <c r="L122" s="66"/>
      <c r="M122" s="65"/>
      <c r="N122" s="66"/>
      <c r="O122" s="65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>
      <c r="A123" s="67"/>
      <c r="B123" s="62">
        <v>0.01</v>
      </c>
      <c r="C123" s="17" t="s">
        <v>154</v>
      </c>
      <c r="D123" s="68" t="s">
        <v>139</v>
      </c>
      <c r="E123" s="17"/>
      <c r="F123" s="64" t="s">
        <v>155</v>
      </c>
      <c r="G123" s="66"/>
      <c r="H123" s="18"/>
      <c r="I123" s="18"/>
      <c r="J123" s="18"/>
      <c r="K123" s="65"/>
      <c r="L123" s="66"/>
      <c r="M123" s="65"/>
      <c r="N123" s="66"/>
      <c r="O123" s="65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>
      <c r="A124" s="70"/>
      <c r="B124" s="71"/>
      <c r="C124" s="14"/>
      <c r="D124" s="14"/>
      <c r="E124" s="14"/>
      <c r="F124" s="72"/>
      <c r="G124" s="71"/>
      <c r="H124" s="14"/>
      <c r="I124" s="14"/>
      <c r="J124" s="14"/>
      <c r="K124" s="72"/>
      <c r="L124" s="71"/>
      <c r="M124" s="72"/>
      <c r="N124" s="71"/>
      <c r="O124" s="72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>
      <c r="A125" s="70"/>
      <c r="B125" s="71"/>
      <c r="C125" s="14"/>
      <c r="D125" s="14"/>
      <c r="E125" s="14"/>
      <c r="F125" s="72"/>
      <c r="G125" s="71"/>
      <c r="H125" s="14"/>
      <c r="I125" s="14"/>
      <c r="J125" s="14"/>
      <c r="K125" s="72"/>
      <c r="L125" s="71"/>
      <c r="M125" s="72"/>
      <c r="N125" s="71"/>
      <c r="O125" s="72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>
      <c r="A126" s="63">
        <v>45780.0</v>
      </c>
      <c r="B126" s="62">
        <v>2500.0</v>
      </c>
      <c r="C126" s="17" t="s">
        <v>154</v>
      </c>
      <c r="D126" s="68" t="s">
        <v>113</v>
      </c>
      <c r="E126" s="17" t="s">
        <v>211</v>
      </c>
      <c r="F126" s="64" t="s">
        <v>149</v>
      </c>
      <c r="G126" s="62">
        <v>21868.0</v>
      </c>
      <c r="H126" s="17" t="s">
        <v>154</v>
      </c>
      <c r="I126" s="17" t="s">
        <v>160</v>
      </c>
      <c r="J126" s="17" t="s">
        <v>211</v>
      </c>
      <c r="K126" s="64" t="s">
        <v>149</v>
      </c>
      <c r="L126" s="62"/>
      <c r="M126" s="65"/>
      <c r="N126" s="66"/>
      <c r="O126" s="65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>
      <c r="A127" s="63"/>
      <c r="B127" s="17">
        <v>2500.0</v>
      </c>
      <c r="C127" s="17" t="s">
        <v>154</v>
      </c>
      <c r="D127" s="68" t="s">
        <v>110</v>
      </c>
      <c r="E127" s="17" t="s">
        <v>211</v>
      </c>
      <c r="F127" s="64" t="s">
        <v>149</v>
      </c>
      <c r="G127" s="62"/>
      <c r="H127" s="17"/>
      <c r="I127" s="17"/>
      <c r="J127" s="17"/>
      <c r="K127" s="64"/>
      <c r="L127" s="62"/>
      <c r="M127" s="65"/>
      <c r="N127" s="66"/>
      <c r="O127" s="65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>
      <c r="A128" s="63"/>
      <c r="B128" s="17">
        <v>2500.0</v>
      </c>
      <c r="C128" s="17" t="s">
        <v>154</v>
      </c>
      <c r="D128" s="68" t="s">
        <v>109</v>
      </c>
      <c r="E128" s="17" t="s">
        <v>211</v>
      </c>
      <c r="F128" s="64" t="s">
        <v>149</v>
      </c>
      <c r="G128" s="62"/>
      <c r="H128" s="17"/>
      <c r="I128" s="17"/>
      <c r="J128" s="17"/>
      <c r="K128" s="64"/>
      <c r="L128" s="62"/>
      <c r="M128" s="65"/>
      <c r="N128" s="66"/>
      <c r="O128" s="65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>
      <c r="A129" s="63"/>
      <c r="B129" s="17">
        <v>2500.0</v>
      </c>
      <c r="C129" s="17" t="s">
        <v>154</v>
      </c>
      <c r="D129" s="68" t="s">
        <v>111</v>
      </c>
      <c r="E129" s="17" t="s">
        <v>211</v>
      </c>
      <c r="F129" s="64" t="s">
        <v>149</v>
      </c>
      <c r="G129" s="62"/>
      <c r="H129" s="17"/>
      <c r="I129" s="17"/>
      <c r="J129" s="17"/>
      <c r="K129" s="64"/>
      <c r="L129" s="62"/>
      <c r="M129" s="65"/>
      <c r="N129" s="66"/>
      <c r="O129" s="65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>
      <c r="A130" s="63"/>
      <c r="B130" s="17">
        <v>2500.0</v>
      </c>
      <c r="C130" s="17" t="s">
        <v>154</v>
      </c>
      <c r="D130" s="68" t="s">
        <v>112</v>
      </c>
      <c r="E130" s="17" t="s">
        <v>211</v>
      </c>
      <c r="F130" s="64" t="s">
        <v>149</v>
      </c>
      <c r="G130" s="62"/>
      <c r="H130" s="17"/>
      <c r="I130" s="17"/>
      <c r="J130" s="17"/>
      <c r="K130" s="64"/>
      <c r="L130" s="62"/>
      <c r="M130" s="65"/>
      <c r="N130" s="66"/>
      <c r="O130" s="65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>
      <c r="A131" s="63"/>
      <c r="B131" s="17">
        <v>1000.0</v>
      </c>
      <c r="C131" s="17" t="s">
        <v>154</v>
      </c>
      <c r="D131" s="68" t="s">
        <v>24</v>
      </c>
      <c r="E131" s="17" t="s">
        <v>211</v>
      </c>
      <c r="F131" s="64" t="s">
        <v>149</v>
      </c>
      <c r="G131" s="62"/>
      <c r="H131" s="17"/>
      <c r="I131" s="17"/>
      <c r="J131" s="17"/>
      <c r="K131" s="64"/>
      <c r="L131" s="62"/>
      <c r="M131" s="65"/>
      <c r="N131" s="66"/>
      <c r="O131" s="65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>
      <c r="A132" s="63">
        <v>45784.0</v>
      </c>
      <c r="C132" s="18"/>
      <c r="D132" s="18"/>
      <c r="E132" s="18"/>
      <c r="F132" s="65"/>
      <c r="G132" s="66"/>
      <c r="H132" s="18"/>
      <c r="I132" s="18"/>
      <c r="J132" s="18"/>
      <c r="K132" s="65"/>
      <c r="L132" s="62">
        <v>4900.0</v>
      </c>
      <c r="M132" s="65"/>
      <c r="N132" s="66"/>
      <c r="O132" s="65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>
      <c r="A133" s="63">
        <v>45785.0</v>
      </c>
      <c r="B133" s="62">
        <v>835.0</v>
      </c>
      <c r="C133" s="17" t="s">
        <v>154</v>
      </c>
      <c r="D133" s="68" t="s">
        <v>212</v>
      </c>
      <c r="E133" s="18"/>
      <c r="F133" s="64" t="s">
        <v>155</v>
      </c>
      <c r="G133" s="62">
        <v>2240.0</v>
      </c>
      <c r="H133" s="17" t="s">
        <v>154</v>
      </c>
      <c r="I133" s="17" t="s">
        <v>9</v>
      </c>
      <c r="J133" s="17" t="s">
        <v>213</v>
      </c>
      <c r="K133" s="64" t="s">
        <v>155</v>
      </c>
      <c r="L133" s="66"/>
      <c r="M133" s="65"/>
      <c r="N133" s="66"/>
      <c r="O133" s="65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>
      <c r="A134" s="67"/>
      <c r="B134" s="69">
        <v>0.51</v>
      </c>
      <c r="C134" s="17" t="s">
        <v>154</v>
      </c>
      <c r="D134" s="68" t="s">
        <v>139</v>
      </c>
      <c r="E134" s="17"/>
      <c r="F134" s="64" t="s">
        <v>155</v>
      </c>
      <c r="G134" s="66"/>
      <c r="H134" s="18"/>
      <c r="I134" s="18"/>
      <c r="J134" s="18"/>
      <c r="K134" s="65"/>
      <c r="L134" s="66"/>
      <c r="M134" s="65"/>
      <c r="N134" s="66"/>
      <c r="O134" s="65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>
      <c r="A135" s="63">
        <v>45786.0</v>
      </c>
      <c r="B135" s="62">
        <v>5408.0</v>
      </c>
      <c r="C135" s="17" t="s">
        <v>154</v>
      </c>
      <c r="D135" s="68" t="s">
        <v>141</v>
      </c>
      <c r="E135" s="18"/>
      <c r="F135" s="64" t="s">
        <v>155</v>
      </c>
      <c r="G135" s="66"/>
      <c r="H135" s="18"/>
      <c r="I135" s="18"/>
      <c r="J135" s="18"/>
      <c r="K135" s="65"/>
      <c r="L135" s="66"/>
      <c r="M135" s="65"/>
      <c r="N135" s="66"/>
      <c r="O135" s="65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>
      <c r="A136" s="67"/>
      <c r="B136" s="69">
        <v>0.51</v>
      </c>
      <c r="C136" s="17" t="s">
        <v>154</v>
      </c>
      <c r="D136" s="68" t="s">
        <v>139</v>
      </c>
      <c r="E136" s="17"/>
      <c r="F136" s="64" t="s">
        <v>155</v>
      </c>
      <c r="G136" s="66"/>
      <c r="H136" s="18"/>
      <c r="I136" s="18"/>
      <c r="J136" s="18"/>
      <c r="K136" s="65"/>
      <c r="L136" s="66"/>
      <c r="M136" s="65"/>
      <c r="N136" s="66"/>
      <c r="O136" s="65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>
      <c r="A137" s="59"/>
      <c r="B137" s="62">
        <v>501.0</v>
      </c>
      <c r="C137" s="17" t="s">
        <v>154</v>
      </c>
      <c r="D137" s="68" t="s">
        <v>141</v>
      </c>
      <c r="E137" s="18"/>
      <c r="F137" s="64" t="s">
        <v>155</v>
      </c>
      <c r="G137" s="66"/>
      <c r="H137" s="18"/>
      <c r="I137" s="18"/>
      <c r="J137" s="18"/>
      <c r="K137" s="65"/>
      <c r="L137" s="66"/>
      <c r="M137" s="65"/>
      <c r="N137" s="66"/>
      <c r="O137" s="65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>
      <c r="A138" s="67"/>
      <c r="B138" s="69">
        <v>0.51</v>
      </c>
      <c r="C138" s="17" t="s">
        <v>154</v>
      </c>
      <c r="D138" s="68" t="s">
        <v>139</v>
      </c>
      <c r="E138" s="17"/>
      <c r="F138" s="64" t="s">
        <v>155</v>
      </c>
      <c r="G138" s="66"/>
      <c r="H138" s="18"/>
      <c r="I138" s="18"/>
      <c r="J138" s="18"/>
      <c r="K138" s="65"/>
      <c r="L138" s="66"/>
      <c r="M138" s="65"/>
      <c r="N138" s="66"/>
      <c r="O138" s="65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>
      <c r="A139" s="63">
        <v>45789.0</v>
      </c>
      <c r="B139" s="62">
        <v>2500.0</v>
      </c>
      <c r="C139" s="17" t="s">
        <v>154</v>
      </c>
      <c r="D139" s="68" t="s">
        <v>113</v>
      </c>
      <c r="E139" s="17" t="s">
        <v>214</v>
      </c>
      <c r="F139" s="64" t="s">
        <v>149</v>
      </c>
      <c r="G139" s="62">
        <v>16000.0</v>
      </c>
      <c r="H139" s="17" t="s">
        <v>154</v>
      </c>
      <c r="I139" s="17" t="s">
        <v>160</v>
      </c>
      <c r="J139" s="17" t="s">
        <v>211</v>
      </c>
      <c r="K139" s="64" t="s">
        <v>149</v>
      </c>
      <c r="L139" s="66"/>
      <c r="M139" s="65"/>
      <c r="N139" s="66"/>
      <c r="O139" s="65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>
      <c r="A140" s="67"/>
      <c r="B140" s="17">
        <v>2500.0</v>
      </c>
      <c r="C140" s="17" t="s">
        <v>154</v>
      </c>
      <c r="D140" s="68" t="s">
        <v>110</v>
      </c>
      <c r="E140" s="17" t="s">
        <v>214</v>
      </c>
      <c r="F140" s="64" t="s">
        <v>149</v>
      </c>
      <c r="G140" s="66"/>
      <c r="H140" s="18"/>
      <c r="I140" s="18"/>
      <c r="J140" s="18"/>
      <c r="K140" s="65"/>
      <c r="L140" s="66"/>
      <c r="M140" s="65"/>
      <c r="N140" s="66"/>
      <c r="O140" s="65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>
      <c r="A141" s="67"/>
      <c r="B141" s="17">
        <v>2500.0</v>
      </c>
      <c r="C141" s="17" t="s">
        <v>154</v>
      </c>
      <c r="D141" s="68" t="s">
        <v>109</v>
      </c>
      <c r="E141" s="17" t="s">
        <v>214</v>
      </c>
      <c r="F141" s="64" t="s">
        <v>149</v>
      </c>
      <c r="G141" s="66"/>
      <c r="H141" s="18"/>
      <c r="I141" s="18"/>
      <c r="J141" s="18"/>
      <c r="K141" s="65"/>
      <c r="L141" s="66"/>
      <c r="M141" s="65"/>
      <c r="N141" s="66"/>
      <c r="O141" s="65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>
      <c r="A142" s="67"/>
      <c r="B142" s="17">
        <v>2500.0</v>
      </c>
      <c r="C142" s="17" t="s">
        <v>154</v>
      </c>
      <c r="D142" s="68" t="s">
        <v>111</v>
      </c>
      <c r="E142" s="17" t="s">
        <v>214</v>
      </c>
      <c r="F142" s="64" t="s">
        <v>149</v>
      </c>
      <c r="G142" s="66"/>
      <c r="H142" s="18"/>
      <c r="I142" s="18"/>
      <c r="J142" s="18"/>
      <c r="K142" s="65"/>
      <c r="L142" s="66"/>
      <c r="M142" s="65"/>
      <c r="N142" s="66"/>
      <c r="O142" s="65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>
      <c r="A143" s="67"/>
      <c r="B143" s="17">
        <v>2500.0</v>
      </c>
      <c r="C143" s="17" t="s">
        <v>154</v>
      </c>
      <c r="D143" s="68" t="s">
        <v>112</v>
      </c>
      <c r="E143" s="17" t="s">
        <v>214</v>
      </c>
      <c r="F143" s="64" t="s">
        <v>149</v>
      </c>
      <c r="G143" s="66"/>
      <c r="H143" s="18"/>
      <c r="I143" s="18"/>
      <c r="J143" s="18"/>
      <c r="K143" s="65"/>
      <c r="L143" s="66"/>
      <c r="M143" s="65"/>
      <c r="N143" s="66"/>
      <c r="O143" s="65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>
      <c r="A144" s="67"/>
      <c r="B144" s="17">
        <v>1000.0</v>
      </c>
      <c r="C144" s="17" t="s">
        <v>154</v>
      </c>
      <c r="D144" s="68" t="s">
        <v>24</v>
      </c>
      <c r="E144" s="17" t="s">
        <v>214</v>
      </c>
      <c r="F144" s="64" t="s">
        <v>149</v>
      </c>
      <c r="G144" s="66"/>
      <c r="H144" s="18"/>
      <c r="I144" s="18"/>
      <c r="J144" s="18"/>
      <c r="K144" s="65"/>
      <c r="L144" s="66"/>
      <c r="M144" s="65"/>
      <c r="N144" s="66"/>
      <c r="O144" s="65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>
      <c r="A145" s="63">
        <v>45796.0</v>
      </c>
      <c r="B145" s="69">
        <v>2.5</v>
      </c>
      <c r="C145" s="17" t="s">
        <v>154</v>
      </c>
      <c r="D145" s="68" t="s">
        <v>138</v>
      </c>
      <c r="E145" s="17"/>
      <c r="F145" s="64" t="s">
        <v>155</v>
      </c>
      <c r="G145" s="66"/>
      <c r="H145" s="18"/>
      <c r="I145" s="18"/>
      <c r="J145" s="18"/>
      <c r="K145" s="65"/>
      <c r="L145" s="62">
        <v>100.0</v>
      </c>
      <c r="M145" s="65"/>
      <c r="N145" s="66"/>
      <c r="O145" s="65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>
      <c r="A146" s="67"/>
      <c r="B146" s="69">
        <v>1.0</v>
      </c>
      <c r="C146" s="17" t="s">
        <v>154</v>
      </c>
      <c r="D146" s="68" t="s">
        <v>138</v>
      </c>
      <c r="E146" s="17"/>
      <c r="F146" s="64" t="s">
        <v>155</v>
      </c>
      <c r="G146" s="66"/>
      <c r="H146" s="18"/>
      <c r="I146" s="18"/>
      <c r="J146" s="18"/>
      <c r="K146" s="65"/>
      <c r="L146" s="62">
        <v>200.0</v>
      </c>
      <c r="M146" s="65"/>
      <c r="N146" s="66"/>
      <c r="O146" s="65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>
      <c r="A147" s="67"/>
      <c r="B147" s="69">
        <v>2.5</v>
      </c>
      <c r="C147" s="17" t="s">
        <v>154</v>
      </c>
      <c r="D147" s="68" t="s">
        <v>138</v>
      </c>
      <c r="E147" s="17"/>
      <c r="F147" s="64" t="s">
        <v>155</v>
      </c>
      <c r="G147" s="66"/>
      <c r="H147" s="18"/>
      <c r="I147" s="18"/>
      <c r="J147" s="18"/>
      <c r="K147" s="65"/>
      <c r="L147" s="66"/>
      <c r="M147" s="65"/>
      <c r="N147" s="66"/>
      <c r="O147" s="65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>
      <c r="A148" s="67"/>
      <c r="B148" s="69">
        <v>2.0</v>
      </c>
      <c r="C148" s="17" t="s">
        <v>154</v>
      </c>
      <c r="D148" s="68" t="s">
        <v>138</v>
      </c>
      <c r="E148" s="17"/>
      <c r="F148" s="64" t="s">
        <v>155</v>
      </c>
      <c r="G148" s="66"/>
      <c r="H148" s="18"/>
      <c r="I148" s="18"/>
      <c r="J148" s="18"/>
      <c r="K148" s="65"/>
      <c r="L148" s="66"/>
      <c r="M148" s="65"/>
      <c r="N148" s="66"/>
      <c r="O148" s="65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>
      <c r="A149" s="63">
        <v>45799.0</v>
      </c>
      <c r="B149" s="62">
        <v>550.0</v>
      </c>
      <c r="C149" s="17" t="s">
        <v>204</v>
      </c>
      <c r="D149" s="68" t="s">
        <v>110</v>
      </c>
      <c r="E149" s="17" t="s">
        <v>215</v>
      </c>
      <c r="F149" s="64" t="s">
        <v>149</v>
      </c>
      <c r="G149" s="62">
        <v>4312.0</v>
      </c>
      <c r="H149" s="17" t="s">
        <v>154</v>
      </c>
      <c r="I149" s="17" t="s">
        <v>9</v>
      </c>
      <c r="J149" s="17" t="s">
        <v>216</v>
      </c>
      <c r="K149" s="64" t="s">
        <v>155</v>
      </c>
      <c r="L149" s="62">
        <v>4300.0</v>
      </c>
      <c r="M149" s="65"/>
      <c r="N149" s="66"/>
      <c r="O149" s="65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>
      <c r="A150" s="63"/>
      <c r="B150" s="62">
        <v>550.0</v>
      </c>
      <c r="C150" s="17" t="s">
        <v>204</v>
      </c>
      <c r="D150" s="68" t="s">
        <v>111</v>
      </c>
      <c r="E150" s="17" t="s">
        <v>215</v>
      </c>
      <c r="F150" s="64" t="s">
        <v>149</v>
      </c>
      <c r="G150" s="62">
        <v>3800.0</v>
      </c>
      <c r="H150" s="17" t="s">
        <v>204</v>
      </c>
      <c r="I150" s="17" t="s">
        <v>160</v>
      </c>
      <c r="J150" s="17" t="s">
        <v>215</v>
      </c>
      <c r="K150" s="64" t="s">
        <v>149</v>
      </c>
      <c r="L150" s="62"/>
      <c r="M150" s="65"/>
      <c r="N150" s="66"/>
      <c r="O150" s="65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>
      <c r="A151" s="63"/>
      <c r="B151" s="62">
        <v>550.0</v>
      </c>
      <c r="C151" s="17" t="s">
        <v>204</v>
      </c>
      <c r="D151" s="68" t="s">
        <v>109</v>
      </c>
      <c r="E151" s="17" t="s">
        <v>215</v>
      </c>
      <c r="F151" s="64" t="s">
        <v>149</v>
      </c>
      <c r="G151" s="62"/>
      <c r="H151" s="17"/>
      <c r="I151" s="17"/>
      <c r="J151" s="17"/>
      <c r="K151" s="64"/>
      <c r="L151" s="62"/>
      <c r="M151" s="65"/>
      <c r="N151" s="66"/>
      <c r="O151" s="65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>
      <c r="A152" s="63"/>
      <c r="B152" s="62">
        <v>200.0</v>
      </c>
      <c r="C152" s="17" t="s">
        <v>204</v>
      </c>
      <c r="D152" s="68" t="s">
        <v>24</v>
      </c>
      <c r="E152" s="17" t="s">
        <v>215</v>
      </c>
      <c r="F152" s="64" t="s">
        <v>149</v>
      </c>
      <c r="G152" s="62"/>
      <c r="H152" s="17"/>
      <c r="I152" s="17"/>
      <c r="J152" s="17"/>
      <c r="K152" s="64"/>
      <c r="L152" s="62"/>
      <c r="M152" s="65"/>
      <c r="N152" s="66"/>
      <c r="O152" s="65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>
      <c r="A153" s="63">
        <v>45802.0</v>
      </c>
      <c r="B153" s="17">
        <v>1000.0</v>
      </c>
      <c r="C153" s="17" t="s">
        <v>154</v>
      </c>
      <c r="D153" s="68" t="s">
        <v>24</v>
      </c>
      <c r="E153" s="17" t="s">
        <v>217</v>
      </c>
      <c r="F153" s="64" t="s">
        <v>149</v>
      </c>
      <c r="G153" s="62">
        <v>17714.0</v>
      </c>
      <c r="H153" s="17" t="s">
        <v>154</v>
      </c>
      <c r="I153" s="17" t="s">
        <v>160</v>
      </c>
      <c r="J153" s="17" t="s">
        <v>217</v>
      </c>
      <c r="K153" s="64" t="s">
        <v>155</v>
      </c>
      <c r="L153" s="62"/>
      <c r="M153" s="65"/>
      <c r="N153" s="66"/>
      <c r="O153" s="65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>
      <c r="A154" s="63"/>
      <c r="B154" s="62">
        <v>2500.0</v>
      </c>
      <c r="C154" s="17" t="s">
        <v>154</v>
      </c>
      <c r="D154" s="68" t="s">
        <v>109</v>
      </c>
      <c r="E154" s="17" t="s">
        <v>217</v>
      </c>
      <c r="F154" s="64" t="s">
        <v>149</v>
      </c>
      <c r="G154" s="62"/>
      <c r="H154" s="17"/>
      <c r="I154" s="17"/>
      <c r="J154" s="17"/>
      <c r="K154" s="64"/>
      <c r="L154" s="62"/>
      <c r="M154" s="65"/>
      <c r="N154" s="66"/>
      <c r="O154" s="65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>
      <c r="A155" s="63"/>
      <c r="B155" s="62">
        <v>2500.0</v>
      </c>
      <c r="C155" s="17" t="s">
        <v>154</v>
      </c>
      <c r="D155" s="68" t="s">
        <v>111</v>
      </c>
      <c r="E155" s="17" t="s">
        <v>217</v>
      </c>
      <c r="F155" s="64" t="s">
        <v>149</v>
      </c>
      <c r="G155" s="62"/>
      <c r="H155" s="17"/>
      <c r="I155" s="17"/>
      <c r="J155" s="17"/>
      <c r="K155" s="64"/>
      <c r="L155" s="62"/>
      <c r="M155" s="65"/>
      <c r="N155" s="66"/>
      <c r="O155" s="65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>
      <c r="A156" s="63">
        <v>45805.0</v>
      </c>
      <c r="B156" s="62">
        <v>13.0</v>
      </c>
      <c r="C156" s="17" t="s">
        <v>154</v>
      </c>
      <c r="D156" s="17" t="s">
        <v>143</v>
      </c>
      <c r="E156" s="34"/>
      <c r="F156" s="64" t="s">
        <v>155</v>
      </c>
      <c r="G156" s="62">
        <v>1800.0</v>
      </c>
      <c r="H156" s="17" t="s">
        <v>154</v>
      </c>
      <c r="I156" s="17" t="s">
        <v>9</v>
      </c>
      <c r="J156" s="17" t="s">
        <v>218</v>
      </c>
      <c r="K156" s="64" t="s">
        <v>155</v>
      </c>
      <c r="L156" s="66"/>
      <c r="M156" s="65"/>
      <c r="N156" s="66"/>
      <c r="O156" s="65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>
      <c r="A157" s="67"/>
      <c r="B157" s="69">
        <v>0.51</v>
      </c>
      <c r="C157" s="17" t="s">
        <v>154</v>
      </c>
      <c r="D157" s="68" t="s">
        <v>139</v>
      </c>
      <c r="E157" s="17"/>
      <c r="F157" s="64" t="s">
        <v>155</v>
      </c>
      <c r="G157" s="66"/>
      <c r="H157" s="18"/>
      <c r="I157" s="18"/>
      <c r="J157" s="18"/>
      <c r="K157" s="65"/>
      <c r="L157" s="66"/>
      <c r="M157" s="65"/>
      <c r="N157" s="66"/>
      <c r="O157" s="65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>
      <c r="A158" s="63">
        <v>45806.0</v>
      </c>
      <c r="B158" s="62">
        <v>550.0</v>
      </c>
      <c r="C158" s="17"/>
      <c r="D158" s="68" t="s">
        <v>113</v>
      </c>
      <c r="E158" s="17" t="s">
        <v>215</v>
      </c>
      <c r="F158" s="64" t="s">
        <v>149</v>
      </c>
      <c r="G158" s="66"/>
      <c r="H158" s="18"/>
      <c r="I158" s="18"/>
      <c r="J158" s="18"/>
      <c r="K158" s="65"/>
      <c r="L158" s="66"/>
      <c r="M158" s="65"/>
      <c r="N158" s="66"/>
      <c r="O158" s="65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>
      <c r="A159" s="67"/>
      <c r="B159" s="62">
        <v>550.0</v>
      </c>
      <c r="C159" s="18"/>
      <c r="D159" s="68" t="s">
        <v>112</v>
      </c>
      <c r="E159" s="17" t="s">
        <v>215</v>
      </c>
      <c r="F159" s="64" t="s">
        <v>149</v>
      </c>
      <c r="G159" s="66"/>
      <c r="H159" s="18"/>
      <c r="I159" s="18"/>
      <c r="J159" s="18"/>
      <c r="K159" s="65"/>
      <c r="L159" s="66"/>
      <c r="M159" s="65"/>
      <c r="N159" s="66"/>
      <c r="O159" s="65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>
      <c r="A160" s="67"/>
      <c r="B160" s="62">
        <v>1200.0</v>
      </c>
      <c r="C160" s="17" t="s">
        <v>154</v>
      </c>
      <c r="D160" s="68" t="s">
        <v>112</v>
      </c>
      <c r="E160" s="17" t="s">
        <v>208</v>
      </c>
      <c r="F160" s="64" t="s">
        <v>149</v>
      </c>
      <c r="G160" s="66"/>
      <c r="H160" s="18"/>
      <c r="I160" s="18"/>
      <c r="J160" s="18"/>
      <c r="K160" s="65"/>
      <c r="L160" s="66"/>
      <c r="M160" s="65"/>
      <c r="N160" s="66"/>
      <c r="O160" s="65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>
      <c r="A161" s="67"/>
      <c r="B161" s="62">
        <v>2500.0</v>
      </c>
      <c r="C161" s="17" t="s">
        <v>154</v>
      </c>
      <c r="D161" s="68" t="s">
        <v>110</v>
      </c>
      <c r="E161" s="17" t="s">
        <v>217</v>
      </c>
      <c r="F161" s="64" t="s">
        <v>149</v>
      </c>
      <c r="G161" s="66"/>
      <c r="H161" s="18"/>
      <c r="I161" s="18"/>
      <c r="J161" s="18"/>
      <c r="K161" s="65"/>
      <c r="L161" s="66"/>
      <c r="M161" s="65"/>
      <c r="N161" s="66"/>
      <c r="O161" s="65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>
      <c r="A162" s="67"/>
      <c r="B162" s="62">
        <v>2500.0</v>
      </c>
      <c r="C162" s="17" t="s">
        <v>154</v>
      </c>
      <c r="D162" s="68" t="s">
        <v>112</v>
      </c>
      <c r="E162" s="17" t="s">
        <v>217</v>
      </c>
      <c r="F162" s="64" t="s">
        <v>149</v>
      </c>
      <c r="G162" s="66"/>
      <c r="H162" s="18"/>
      <c r="I162" s="18"/>
      <c r="J162" s="18"/>
      <c r="K162" s="65"/>
      <c r="L162" s="66"/>
      <c r="M162" s="65"/>
      <c r="N162" s="66"/>
      <c r="O162" s="65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>
      <c r="A163" s="63">
        <v>45807.0</v>
      </c>
      <c r="B163" s="69">
        <v>24.0</v>
      </c>
      <c r="C163" s="17" t="s">
        <v>154</v>
      </c>
      <c r="D163" s="68" t="s">
        <v>138</v>
      </c>
      <c r="E163" s="17"/>
      <c r="F163" s="64" t="s">
        <v>155</v>
      </c>
      <c r="G163" s="66"/>
      <c r="H163" s="18"/>
      <c r="I163" s="18"/>
      <c r="J163" s="18"/>
      <c r="K163" s="65"/>
      <c r="L163" s="62">
        <v>6000.0</v>
      </c>
      <c r="M163" s="65"/>
      <c r="N163" s="66"/>
      <c r="O163" s="65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>
      <c r="A164" s="67"/>
      <c r="B164" s="69">
        <v>16.0</v>
      </c>
      <c r="C164" s="17" t="s">
        <v>154</v>
      </c>
      <c r="D164" s="68" t="s">
        <v>138</v>
      </c>
      <c r="E164" s="17"/>
      <c r="F164" s="64" t="s">
        <v>155</v>
      </c>
      <c r="G164" s="66"/>
      <c r="H164" s="18"/>
      <c r="I164" s="18"/>
      <c r="J164" s="18"/>
      <c r="K164" s="65"/>
      <c r="L164" s="62">
        <v>4000.0</v>
      </c>
      <c r="M164" s="65"/>
      <c r="N164" s="66"/>
      <c r="O164" s="65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>
      <c r="A165" s="67"/>
      <c r="B165" s="69">
        <v>72.28</v>
      </c>
      <c r="C165" s="17" t="s">
        <v>154</v>
      </c>
      <c r="D165" s="17" t="s">
        <v>146</v>
      </c>
      <c r="E165" s="17"/>
      <c r="F165" s="64" t="s">
        <v>155</v>
      </c>
      <c r="G165" s="66"/>
      <c r="H165" s="18"/>
      <c r="I165" s="18"/>
      <c r="J165" s="18"/>
      <c r="K165" s="65"/>
      <c r="L165" s="66"/>
      <c r="M165" s="65"/>
      <c r="N165" s="66"/>
      <c r="O165" s="65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>
      <c r="A166" s="63">
        <v>45808.0</v>
      </c>
      <c r="B166" s="62">
        <v>40.0</v>
      </c>
      <c r="C166" s="17" t="s">
        <v>154</v>
      </c>
      <c r="D166" s="17" t="s">
        <v>145</v>
      </c>
      <c r="E166" s="17"/>
      <c r="F166" s="64" t="s">
        <v>155</v>
      </c>
      <c r="G166" s="66"/>
      <c r="H166" s="18"/>
      <c r="I166" s="18"/>
      <c r="J166" s="18"/>
      <c r="K166" s="65"/>
      <c r="L166" s="66"/>
      <c r="M166" s="65"/>
      <c r="N166" s="66"/>
      <c r="O166" s="65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>
      <c r="A167" s="67"/>
      <c r="B167" s="62">
        <v>0.01</v>
      </c>
      <c r="C167" s="17" t="s">
        <v>154</v>
      </c>
      <c r="D167" s="68" t="s">
        <v>139</v>
      </c>
      <c r="E167" s="17"/>
      <c r="F167" s="64" t="s">
        <v>155</v>
      </c>
      <c r="G167" s="66"/>
      <c r="H167" s="18"/>
      <c r="I167" s="18"/>
      <c r="J167" s="18"/>
      <c r="K167" s="65"/>
      <c r="L167" s="66"/>
      <c r="M167" s="65"/>
      <c r="N167" s="66"/>
      <c r="O167" s="65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>
      <c r="A168" s="70"/>
      <c r="B168" s="71"/>
      <c r="C168" s="14"/>
      <c r="D168" s="14"/>
      <c r="E168" s="14"/>
      <c r="F168" s="72"/>
      <c r="G168" s="71"/>
      <c r="H168" s="14"/>
      <c r="I168" s="14"/>
      <c r="J168" s="14"/>
      <c r="K168" s="72"/>
      <c r="L168" s="71"/>
      <c r="M168" s="72"/>
      <c r="N168" s="71"/>
      <c r="O168" s="72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>
      <c r="A169" s="70"/>
      <c r="B169" s="71"/>
      <c r="C169" s="14"/>
      <c r="D169" s="14"/>
      <c r="E169" s="14"/>
      <c r="F169" s="72"/>
      <c r="G169" s="71"/>
      <c r="H169" s="14"/>
      <c r="I169" s="14"/>
      <c r="J169" s="14"/>
      <c r="K169" s="72"/>
      <c r="L169" s="71"/>
      <c r="M169" s="72"/>
      <c r="N169" s="71"/>
      <c r="O169" s="72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>
      <c r="A170" s="63">
        <v>45809.0</v>
      </c>
      <c r="B170" s="62">
        <v>1950.0</v>
      </c>
      <c r="C170" s="17" t="s">
        <v>204</v>
      </c>
      <c r="D170" s="68" t="s">
        <v>219</v>
      </c>
      <c r="E170" s="17"/>
      <c r="F170" s="64" t="s">
        <v>149</v>
      </c>
      <c r="G170" s="62">
        <v>9750.0</v>
      </c>
      <c r="H170" s="17" t="s">
        <v>154</v>
      </c>
      <c r="I170" s="68" t="s">
        <v>219</v>
      </c>
      <c r="J170" s="17"/>
      <c r="K170" s="64" t="s">
        <v>149</v>
      </c>
      <c r="L170" s="66"/>
      <c r="M170" s="65"/>
      <c r="N170" s="66"/>
      <c r="O170" s="65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>
      <c r="A171" s="67"/>
      <c r="B171" s="62">
        <v>1500.0</v>
      </c>
      <c r="C171" s="17" t="s">
        <v>154</v>
      </c>
      <c r="D171" s="68" t="s">
        <v>24</v>
      </c>
      <c r="E171" s="18"/>
      <c r="F171" s="64" t="s">
        <v>149</v>
      </c>
      <c r="G171" s="62">
        <v>4300.0</v>
      </c>
      <c r="H171" s="17" t="s">
        <v>204</v>
      </c>
      <c r="I171" s="17" t="s">
        <v>160</v>
      </c>
      <c r="J171" s="17" t="s">
        <v>220</v>
      </c>
      <c r="K171" s="64" t="s">
        <v>149</v>
      </c>
      <c r="L171" s="66"/>
      <c r="M171" s="65"/>
      <c r="N171" s="66"/>
      <c r="O171" s="65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>
      <c r="A172" s="67"/>
      <c r="B172" s="62">
        <v>500.0</v>
      </c>
      <c r="C172" s="17" t="s">
        <v>204</v>
      </c>
      <c r="D172" s="68" t="s">
        <v>112</v>
      </c>
      <c r="E172" s="17" t="s">
        <v>220</v>
      </c>
      <c r="F172" s="64" t="s">
        <v>149</v>
      </c>
      <c r="G172" s="62">
        <v>3150.0</v>
      </c>
      <c r="H172" s="17" t="s">
        <v>204</v>
      </c>
      <c r="I172" s="17" t="s">
        <v>160</v>
      </c>
      <c r="J172" s="17" t="s">
        <v>221</v>
      </c>
      <c r="K172" s="64" t="s">
        <v>149</v>
      </c>
      <c r="L172" s="66"/>
      <c r="M172" s="65"/>
      <c r="N172" s="66"/>
      <c r="O172" s="65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>
      <c r="A173" s="67"/>
      <c r="B173" s="62">
        <v>500.0</v>
      </c>
      <c r="C173" s="17" t="s">
        <v>204</v>
      </c>
      <c r="D173" s="68" t="s">
        <v>109</v>
      </c>
      <c r="E173" s="17" t="s">
        <v>220</v>
      </c>
      <c r="F173" s="64" t="s">
        <v>149</v>
      </c>
      <c r="K173" s="59"/>
      <c r="L173" s="66"/>
      <c r="M173" s="65"/>
      <c r="N173" s="66"/>
      <c r="O173" s="65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>
      <c r="A174" s="67"/>
      <c r="B174" s="62">
        <v>500.0</v>
      </c>
      <c r="C174" s="17" t="s">
        <v>204</v>
      </c>
      <c r="D174" s="68" t="s">
        <v>111</v>
      </c>
      <c r="E174" s="17" t="s">
        <v>220</v>
      </c>
      <c r="F174" s="64" t="s">
        <v>149</v>
      </c>
      <c r="K174" s="59"/>
      <c r="L174" s="66"/>
      <c r="M174" s="65"/>
      <c r="N174" s="66"/>
      <c r="O174" s="65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>
      <c r="A175" s="67"/>
      <c r="B175" s="62">
        <v>500.0</v>
      </c>
      <c r="C175" s="17" t="s">
        <v>204</v>
      </c>
      <c r="D175" s="68" t="s">
        <v>110</v>
      </c>
      <c r="E175" s="17" t="s">
        <v>220</v>
      </c>
      <c r="F175" s="64" t="s">
        <v>149</v>
      </c>
      <c r="G175" s="66"/>
      <c r="H175" s="18"/>
      <c r="I175" s="18"/>
      <c r="J175" s="18"/>
      <c r="K175" s="65"/>
      <c r="L175" s="66"/>
      <c r="M175" s="65"/>
      <c r="N175" s="66"/>
      <c r="O175" s="65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>
      <c r="A176" s="67"/>
      <c r="B176" s="62">
        <v>500.0</v>
      </c>
      <c r="C176" s="17" t="s">
        <v>204</v>
      </c>
      <c r="D176" s="68" t="s">
        <v>113</v>
      </c>
      <c r="E176" s="17" t="s">
        <v>220</v>
      </c>
      <c r="F176" s="64" t="s">
        <v>149</v>
      </c>
      <c r="G176" s="66"/>
      <c r="H176" s="18"/>
      <c r="I176" s="18"/>
      <c r="J176" s="18"/>
      <c r="K176" s="65"/>
      <c r="L176" s="66"/>
      <c r="M176" s="65"/>
      <c r="N176" s="66"/>
      <c r="O176" s="65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>
      <c r="A177" s="67"/>
      <c r="B177" s="62">
        <v>500.0</v>
      </c>
      <c r="C177" s="17" t="s">
        <v>204</v>
      </c>
      <c r="D177" s="68" t="s">
        <v>112</v>
      </c>
      <c r="E177" s="17" t="s">
        <v>221</v>
      </c>
      <c r="F177" s="64" t="s">
        <v>149</v>
      </c>
      <c r="G177" s="66"/>
      <c r="H177" s="18"/>
      <c r="I177" s="18"/>
      <c r="J177" s="18"/>
      <c r="K177" s="65"/>
      <c r="L177" s="66"/>
      <c r="M177" s="65"/>
      <c r="N177" s="66"/>
      <c r="O177" s="65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>
      <c r="A178" s="67"/>
      <c r="B178" s="62">
        <v>500.0</v>
      </c>
      <c r="C178" s="17" t="s">
        <v>204</v>
      </c>
      <c r="D178" s="68" t="s">
        <v>109</v>
      </c>
      <c r="E178" s="17" t="s">
        <v>221</v>
      </c>
      <c r="F178" s="64" t="s">
        <v>149</v>
      </c>
      <c r="G178" s="66"/>
      <c r="H178" s="18"/>
      <c r="I178" s="18"/>
      <c r="J178" s="18"/>
      <c r="K178" s="65"/>
      <c r="L178" s="66"/>
      <c r="M178" s="65"/>
      <c r="N178" s="66"/>
      <c r="O178" s="65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>
      <c r="A179" s="67"/>
      <c r="B179" s="62">
        <v>500.0</v>
      </c>
      <c r="C179" s="17" t="s">
        <v>204</v>
      </c>
      <c r="D179" s="68" t="s">
        <v>111</v>
      </c>
      <c r="E179" s="17" t="s">
        <v>221</v>
      </c>
      <c r="F179" s="64" t="s">
        <v>149</v>
      </c>
      <c r="G179" s="66"/>
      <c r="H179" s="18"/>
      <c r="I179" s="18"/>
      <c r="J179" s="18"/>
      <c r="K179" s="65"/>
      <c r="L179" s="66"/>
      <c r="M179" s="65"/>
      <c r="N179" s="66"/>
      <c r="O179" s="65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>
      <c r="A180" s="67"/>
      <c r="B180" s="62">
        <v>500.0</v>
      </c>
      <c r="C180" s="17" t="s">
        <v>204</v>
      </c>
      <c r="D180" s="68" t="s">
        <v>110</v>
      </c>
      <c r="E180" s="17" t="s">
        <v>221</v>
      </c>
      <c r="F180" s="64" t="s">
        <v>149</v>
      </c>
      <c r="G180" s="66"/>
      <c r="H180" s="18"/>
      <c r="I180" s="18"/>
      <c r="J180" s="18"/>
      <c r="K180" s="65"/>
      <c r="L180" s="66"/>
      <c r="M180" s="65"/>
      <c r="N180" s="66"/>
      <c r="O180" s="65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>
      <c r="A181" s="67"/>
      <c r="B181" s="62">
        <v>500.0</v>
      </c>
      <c r="C181" s="17" t="s">
        <v>204</v>
      </c>
      <c r="D181" s="68" t="s">
        <v>113</v>
      </c>
      <c r="E181" s="17" t="s">
        <v>221</v>
      </c>
      <c r="F181" s="64" t="s">
        <v>149</v>
      </c>
      <c r="G181" s="66"/>
      <c r="H181" s="18"/>
      <c r="I181" s="18"/>
      <c r="J181" s="18"/>
      <c r="K181" s="65"/>
      <c r="L181" s="66"/>
      <c r="M181" s="65"/>
      <c r="N181" s="66"/>
      <c r="O181" s="65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>
      <c r="A182" s="67"/>
      <c r="B182" s="62">
        <v>400.0</v>
      </c>
      <c r="C182" s="17" t="s">
        <v>204</v>
      </c>
      <c r="D182" s="68" t="s">
        <v>222</v>
      </c>
      <c r="E182" s="17" t="s">
        <v>223</v>
      </c>
      <c r="F182" s="64" t="s">
        <v>149</v>
      </c>
      <c r="G182" s="66"/>
      <c r="H182" s="18"/>
      <c r="I182" s="18"/>
      <c r="J182" s="18"/>
      <c r="K182" s="65"/>
      <c r="L182" s="66"/>
      <c r="M182" s="65"/>
      <c r="N182" s="66"/>
      <c r="O182" s="65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>
      <c r="A183" s="67"/>
      <c r="B183" s="62">
        <v>400.0</v>
      </c>
      <c r="C183" s="17" t="s">
        <v>204</v>
      </c>
      <c r="D183" s="68" t="s">
        <v>24</v>
      </c>
      <c r="E183" s="17"/>
      <c r="F183" s="64" t="s">
        <v>149</v>
      </c>
      <c r="G183" s="66"/>
      <c r="H183" s="18"/>
      <c r="I183" s="18"/>
      <c r="J183" s="18"/>
      <c r="K183" s="65"/>
      <c r="L183" s="66"/>
      <c r="M183" s="65"/>
      <c r="N183" s="66"/>
      <c r="O183" s="65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>
      <c r="A184" s="63">
        <v>45810.0</v>
      </c>
      <c r="B184" s="50">
        <v>106.87</v>
      </c>
      <c r="C184" s="17" t="s">
        <v>154</v>
      </c>
      <c r="D184" s="68" t="s">
        <v>191</v>
      </c>
      <c r="F184" s="64" t="s">
        <v>155</v>
      </c>
      <c r="G184" s="62">
        <v>2026.0</v>
      </c>
      <c r="H184" s="17" t="s">
        <v>154</v>
      </c>
      <c r="I184" s="17" t="s">
        <v>9</v>
      </c>
      <c r="J184" s="17" t="s">
        <v>224</v>
      </c>
      <c r="K184" s="64" t="s">
        <v>155</v>
      </c>
      <c r="L184" s="62">
        <v>6000.0</v>
      </c>
      <c r="M184" s="65"/>
      <c r="N184" s="66"/>
      <c r="O184" s="65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>
      <c r="A185" s="67"/>
      <c r="B185" s="69">
        <v>24.0</v>
      </c>
      <c r="C185" s="17" t="s">
        <v>154</v>
      </c>
      <c r="D185" s="68" t="s">
        <v>138</v>
      </c>
      <c r="E185" s="17"/>
      <c r="F185" s="64" t="s">
        <v>155</v>
      </c>
      <c r="G185" s="66"/>
      <c r="H185" s="18"/>
      <c r="I185" s="18"/>
      <c r="J185" s="18"/>
      <c r="K185" s="65"/>
      <c r="L185" s="62">
        <v>4000.0</v>
      </c>
      <c r="M185" s="65"/>
      <c r="N185" s="66"/>
      <c r="O185" s="65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>
      <c r="A186" s="67"/>
      <c r="B186" s="69">
        <v>16.0</v>
      </c>
      <c r="C186" s="17" t="s">
        <v>154</v>
      </c>
      <c r="D186" s="68" t="s">
        <v>138</v>
      </c>
      <c r="E186" s="17"/>
      <c r="F186" s="64" t="s">
        <v>155</v>
      </c>
      <c r="G186" s="66"/>
      <c r="H186" s="18"/>
      <c r="I186" s="18"/>
      <c r="J186" s="18"/>
      <c r="K186" s="65"/>
      <c r="L186" s="66"/>
      <c r="M186" s="65"/>
      <c r="N186" s="66"/>
      <c r="O186" s="65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>
      <c r="A187" s="63">
        <v>45811.0</v>
      </c>
      <c r="B187" s="62">
        <v>72.21</v>
      </c>
      <c r="C187" s="17" t="s">
        <v>154</v>
      </c>
      <c r="D187" s="17" t="s">
        <v>146</v>
      </c>
      <c r="E187" s="17"/>
      <c r="F187" s="64" t="s">
        <v>155</v>
      </c>
      <c r="G187" s="66"/>
      <c r="H187" s="18"/>
      <c r="I187" s="18"/>
      <c r="J187" s="18"/>
      <c r="K187" s="65"/>
      <c r="L187" s="66"/>
      <c r="M187" s="65"/>
      <c r="N187" s="66"/>
      <c r="O187" s="65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>
      <c r="A188" s="63">
        <v>45818.0</v>
      </c>
      <c r="B188" s="62">
        <v>1323.0</v>
      </c>
      <c r="C188" s="17" t="s">
        <v>154</v>
      </c>
      <c r="D188" s="68" t="s">
        <v>222</v>
      </c>
      <c r="E188" s="17" t="s">
        <v>225</v>
      </c>
      <c r="F188" s="64" t="s">
        <v>155</v>
      </c>
      <c r="G188" s="66"/>
      <c r="H188" s="18"/>
      <c r="I188" s="18"/>
      <c r="J188" s="18"/>
      <c r="K188" s="65"/>
      <c r="L188" s="62">
        <v>3500.0</v>
      </c>
      <c r="M188" s="65"/>
      <c r="N188" s="66"/>
      <c r="O188" s="65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>
      <c r="A189" s="67"/>
      <c r="B189" s="62">
        <v>600.0</v>
      </c>
      <c r="C189" s="17" t="s">
        <v>204</v>
      </c>
      <c r="D189" s="68" t="s">
        <v>26</v>
      </c>
      <c r="E189" s="17" t="s">
        <v>220</v>
      </c>
      <c r="F189" s="64" t="s">
        <v>149</v>
      </c>
      <c r="G189" s="66"/>
      <c r="H189" s="18"/>
      <c r="I189" s="18"/>
      <c r="J189" s="18"/>
      <c r="K189" s="65"/>
      <c r="L189" s="66"/>
      <c r="M189" s="65"/>
      <c r="N189" s="66"/>
      <c r="O189" s="65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>
      <c r="A190" s="67"/>
      <c r="B190" s="62">
        <v>100.0</v>
      </c>
      <c r="C190" s="17" t="s">
        <v>204</v>
      </c>
      <c r="D190" s="68" t="s">
        <v>25</v>
      </c>
      <c r="E190" s="18"/>
      <c r="F190" s="64" t="s">
        <v>149</v>
      </c>
      <c r="G190" s="66"/>
      <c r="H190" s="18"/>
      <c r="I190" s="18"/>
      <c r="J190" s="18"/>
      <c r="K190" s="65"/>
      <c r="L190" s="66"/>
      <c r="M190" s="65"/>
      <c r="N190" s="66"/>
      <c r="O190" s="65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>
      <c r="A191" s="67"/>
      <c r="B191" s="62">
        <v>14.0</v>
      </c>
      <c r="C191" s="17" t="s">
        <v>154</v>
      </c>
      <c r="D191" s="68" t="s">
        <v>138</v>
      </c>
      <c r="E191" s="17"/>
      <c r="F191" s="64" t="s">
        <v>155</v>
      </c>
      <c r="G191" s="66"/>
      <c r="H191" s="18"/>
      <c r="I191" s="18"/>
      <c r="J191" s="18"/>
      <c r="K191" s="65"/>
      <c r="L191" s="66"/>
      <c r="M191" s="65"/>
      <c r="N191" s="66"/>
      <c r="O191" s="65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>
      <c r="A192" s="63">
        <v>45820.0</v>
      </c>
      <c r="B192" s="62">
        <v>285.0</v>
      </c>
      <c r="C192" s="17" t="s">
        <v>154</v>
      </c>
      <c r="D192" s="68" t="s">
        <v>222</v>
      </c>
      <c r="E192" s="17" t="s">
        <v>226</v>
      </c>
      <c r="F192" s="64" t="s">
        <v>155</v>
      </c>
      <c r="G192" s="66"/>
      <c r="H192" s="18"/>
      <c r="I192" s="18"/>
      <c r="J192" s="18"/>
      <c r="K192" s="65"/>
      <c r="L192" s="62">
        <v>900.0</v>
      </c>
      <c r="M192" s="65"/>
      <c r="N192" s="66"/>
      <c r="O192" s="65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>
      <c r="A193" s="67"/>
      <c r="B193" s="62">
        <v>2.5</v>
      </c>
      <c r="C193" s="17" t="s">
        <v>154</v>
      </c>
      <c r="D193" s="68" t="s">
        <v>138</v>
      </c>
      <c r="E193" s="17"/>
      <c r="F193" s="64" t="s">
        <v>155</v>
      </c>
      <c r="G193" s="66"/>
      <c r="H193" s="18"/>
      <c r="I193" s="18"/>
      <c r="J193" s="18"/>
      <c r="K193" s="65"/>
      <c r="L193" s="62">
        <v>500.0</v>
      </c>
      <c r="M193" s="65"/>
      <c r="N193" s="66"/>
      <c r="O193" s="65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>
      <c r="A194" s="67"/>
      <c r="B194" s="62">
        <v>9.0</v>
      </c>
      <c r="C194" s="17" t="s">
        <v>154</v>
      </c>
      <c r="D194" s="68" t="s">
        <v>138</v>
      </c>
      <c r="E194" s="17"/>
      <c r="F194" s="64" t="s">
        <v>155</v>
      </c>
      <c r="G194" s="66"/>
      <c r="H194" s="18"/>
      <c r="I194" s="18"/>
      <c r="J194" s="18"/>
      <c r="K194" s="65"/>
      <c r="L194" s="66"/>
      <c r="M194" s="65"/>
      <c r="N194" s="66"/>
      <c r="O194" s="65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>
      <c r="A195" s="67"/>
      <c r="B195" s="62">
        <v>0.45</v>
      </c>
      <c r="C195" s="17" t="s">
        <v>154</v>
      </c>
      <c r="D195" s="68" t="s">
        <v>138</v>
      </c>
      <c r="E195" s="17"/>
      <c r="F195" s="64" t="s">
        <v>155</v>
      </c>
      <c r="G195" s="66"/>
      <c r="H195" s="18"/>
      <c r="I195" s="18"/>
      <c r="J195" s="18"/>
      <c r="K195" s="65"/>
      <c r="L195" s="66"/>
      <c r="M195" s="65"/>
      <c r="N195" s="66"/>
      <c r="O195" s="65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>
      <c r="A196" s="59"/>
      <c r="B196" s="62">
        <v>2.5</v>
      </c>
      <c r="C196" s="17" t="s">
        <v>154</v>
      </c>
      <c r="D196" s="68" t="s">
        <v>138</v>
      </c>
      <c r="E196" s="17"/>
      <c r="F196" s="64" t="s">
        <v>155</v>
      </c>
      <c r="G196" s="66"/>
      <c r="H196" s="18"/>
      <c r="I196" s="18"/>
      <c r="J196" s="18"/>
      <c r="K196" s="65"/>
      <c r="L196" s="62">
        <v>900.0</v>
      </c>
      <c r="M196" s="65"/>
      <c r="N196" s="66"/>
      <c r="O196" s="65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>
      <c r="A197" s="67"/>
      <c r="B197" s="62">
        <v>9.0</v>
      </c>
      <c r="C197" s="17" t="s">
        <v>154</v>
      </c>
      <c r="D197" s="68" t="s">
        <v>138</v>
      </c>
      <c r="E197" s="17"/>
      <c r="F197" s="64" t="s">
        <v>155</v>
      </c>
      <c r="G197" s="66"/>
      <c r="H197" s="18"/>
      <c r="I197" s="18"/>
      <c r="J197" s="18"/>
      <c r="K197" s="65"/>
      <c r="L197" s="66"/>
      <c r="M197" s="65"/>
      <c r="N197" s="66"/>
      <c r="O197" s="65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>
      <c r="A198" s="67"/>
      <c r="B198" s="62">
        <v>2500.0</v>
      </c>
      <c r="C198" s="17" t="s">
        <v>154</v>
      </c>
      <c r="D198" s="68" t="s">
        <v>24</v>
      </c>
      <c r="E198" s="18"/>
      <c r="F198" s="64" t="s">
        <v>149</v>
      </c>
      <c r="G198" s="66"/>
      <c r="H198" s="18"/>
      <c r="I198" s="18"/>
      <c r="J198" s="18"/>
      <c r="K198" s="65"/>
      <c r="L198" s="66"/>
      <c r="M198" s="65"/>
      <c r="N198" s="66"/>
      <c r="O198" s="65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>
      <c r="A199" s="67"/>
      <c r="B199" s="62">
        <v>2400.0</v>
      </c>
      <c r="C199" s="17" t="s">
        <v>154</v>
      </c>
      <c r="D199" s="68" t="s">
        <v>157</v>
      </c>
      <c r="E199" s="17" t="s">
        <v>227</v>
      </c>
      <c r="F199" s="64" t="s">
        <v>149</v>
      </c>
      <c r="G199" s="66"/>
      <c r="H199" s="18"/>
      <c r="I199" s="18"/>
      <c r="J199" s="18"/>
      <c r="K199" s="65"/>
      <c r="L199" s="66"/>
      <c r="M199" s="65"/>
      <c r="N199" s="66"/>
      <c r="O199" s="65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>
      <c r="A200" s="63">
        <v>45824.0</v>
      </c>
      <c r="B200" s="62">
        <v>1000.0</v>
      </c>
      <c r="C200" s="17" t="s">
        <v>154</v>
      </c>
      <c r="D200" s="68" t="s">
        <v>24</v>
      </c>
      <c r="E200" s="17" t="s">
        <v>228</v>
      </c>
      <c r="F200" s="64" t="s">
        <v>149</v>
      </c>
      <c r="G200" s="62">
        <v>16350.0</v>
      </c>
      <c r="H200" s="17" t="s">
        <v>154</v>
      </c>
      <c r="I200" s="17" t="s">
        <v>160</v>
      </c>
      <c r="J200" s="17" t="s">
        <v>229</v>
      </c>
      <c r="K200" s="64" t="s">
        <v>149</v>
      </c>
      <c r="L200" s="66"/>
      <c r="M200" s="65"/>
      <c r="N200" s="66"/>
      <c r="O200" s="65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>
      <c r="A201" s="67"/>
      <c r="B201" s="62">
        <v>1000.0</v>
      </c>
      <c r="C201" s="17" t="s">
        <v>154</v>
      </c>
      <c r="D201" s="68" t="s">
        <v>24</v>
      </c>
      <c r="E201" s="17" t="s">
        <v>230</v>
      </c>
      <c r="F201" s="64" t="s">
        <v>149</v>
      </c>
      <c r="G201" s="66"/>
      <c r="H201" s="18"/>
      <c r="I201" s="18"/>
      <c r="J201" s="18"/>
      <c r="K201" s="65"/>
      <c r="L201" s="66"/>
      <c r="M201" s="65"/>
      <c r="N201" s="66"/>
      <c r="O201" s="65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>
      <c r="A202" s="67"/>
      <c r="B202" s="62">
        <v>2500.0</v>
      </c>
      <c r="C202" s="17" t="s">
        <v>154</v>
      </c>
      <c r="D202" s="68" t="s">
        <v>109</v>
      </c>
      <c r="E202" s="17" t="s">
        <v>229</v>
      </c>
      <c r="F202" s="64" t="s">
        <v>149</v>
      </c>
      <c r="G202" s="66"/>
      <c r="H202" s="18"/>
      <c r="I202" s="18"/>
      <c r="J202" s="18"/>
      <c r="K202" s="65"/>
      <c r="L202" s="66"/>
      <c r="M202" s="65"/>
      <c r="N202" s="66"/>
      <c r="O202" s="65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>
      <c r="A203" s="67"/>
      <c r="B203" s="62">
        <v>2500.0</v>
      </c>
      <c r="C203" s="17" t="s">
        <v>154</v>
      </c>
      <c r="D203" s="68" t="s">
        <v>111</v>
      </c>
      <c r="E203" s="17" t="s">
        <v>229</v>
      </c>
      <c r="F203" s="64" t="s">
        <v>149</v>
      </c>
      <c r="G203" s="66"/>
      <c r="H203" s="18"/>
      <c r="I203" s="18"/>
      <c r="J203" s="18"/>
      <c r="K203" s="65"/>
      <c r="L203" s="66"/>
      <c r="M203" s="65"/>
      <c r="N203" s="66"/>
      <c r="O203" s="65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>
      <c r="A204" s="67"/>
      <c r="B204" s="62">
        <v>2500.0</v>
      </c>
      <c r="C204" s="17" t="s">
        <v>154</v>
      </c>
      <c r="D204" s="68" t="s">
        <v>110</v>
      </c>
      <c r="E204" s="17" t="s">
        <v>229</v>
      </c>
      <c r="F204" s="64" t="s">
        <v>149</v>
      </c>
      <c r="G204" s="66"/>
      <c r="H204" s="18"/>
      <c r="I204" s="18"/>
      <c r="J204" s="18"/>
      <c r="K204" s="65"/>
      <c r="L204" s="66"/>
      <c r="M204" s="65"/>
      <c r="N204" s="66"/>
      <c r="O204" s="65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>
      <c r="A205" s="67"/>
      <c r="B205" s="62">
        <v>2500.0</v>
      </c>
      <c r="C205" s="17" t="s">
        <v>154</v>
      </c>
      <c r="D205" s="68" t="s">
        <v>112</v>
      </c>
      <c r="E205" s="17" t="s">
        <v>229</v>
      </c>
      <c r="F205" s="64" t="s">
        <v>149</v>
      </c>
      <c r="G205" s="66"/>
      <c r="H205" s="18"/>
      <c r="I205" s="18"/>
      <c r="J205" s="18"/>
      <c r="K205" s="65"/>
      <c r="L205" s="66"/>
      <c r="M205" s="65"/>
      <c r="N205" s="66"/>
      <c r="O205" s="65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>
      <c r="A206" s="63">
        <v>45825.0</v>
      </c>
      <c r="F206" s="59"/>
      <c r="G206" s="62">
        <v>1758.0</v>
      </c>
      <c r="H206" s="17" t="s">
        <v>154</v>
      </c>
      <c r="I206" s="17" t="s">
        <v>9</v>
      </c>
      <c r="J206" s="17" t="s">
        <v>231</v>
      </c>
      <c r="K206" s="64" t="s">
        <v>149</v>
      </c>
      <c r="L206" s="66"/>
      <c r="M206" s="65"/>
      <c r="N206" s="66"/>
      <c r="O206" s="65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>
      <c r="A207" s="63">
        <v>45828.0</v>
      </c>
      <c r="B207" s="62">
        <v>700.0</v>
      </c>
      <c r="C207" s="17" t="s">
        <v>154</v>
      </c>
      <c r="D207" s="68" t="s">
        <v>110</v>
      </c>
      <c r="E207" s="17" t="s">
        <v>115</v>
      </c>
      <c r="F207" s="64" t="s">
        <v>149</v>
      </c>
      <c r="G207" s="66"/>
      <c r="H207" s="18"/>
      <c r="I207" s="18"/>
      <c r="J207" s="18"/>
      <c r="K207" s="65"/>
      <c r="L207" s="66"/>
      <c r="M207" s="65"/>
      <c r="N207" s="62">
        <v>7400.0</v>
      </c>
      <c r="O207" s="65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>
      <c r="A208" s="63">
        <v>45829.0</v>
      </c>
      <c r="B208" s="66"/>
      <c r="C208" s="18"/>
      <c r="D208" s="18"/>
      <c r="E208" s="18"/>
      <c r="F208" s="65"/>
      <c r="G208" s="62">
        <v>2018.0</v>
      </c>
      <c r="H208" s="17" t="s">
        <v>154</v>
      </c>
      <c r="I208" s="17" t="s">
        <v>9</v>
      </c>
      <c r="J208" s="17" t="s">
        <v>232</v>
      </c>
      <c r="K208" s="64" t="s">
        <v>149</v>
      </c>
      <c r="L208" s="66"/>
      <c r="M208" s="65"/>
      <c r="N208" s="66"/>
      <c r="O208" s="65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>
      <c r="A209" s="63">
        <v>45832.0</v>
      </c>
      <c r="B209" s="62">
        <v>0.45</v>
      </c>
      <c r="C209" s="17" t="s">
        <v>154</v>
      </c>
      <c r="D209" s="68" t="s">
        <v>138</v>
      </c>
      <c r="E209" s="17"/>
      <c r="F209" s="64" t="s">
        <v>155</v>
      </c>
      <c r="G209" s="66"/>
      <c r="H209" s="18"/>
      <c r="I209" s="18"/>
      <c r="J209" s="18"/>
      <c r="K209" s="65"/>
      <c r="L209" s="62">
        <v>2500.0</v>
      </c>
      <c r="M209" s="65"/>
      <c r="N209" s="66"/>
      <c r="O209" s="65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>
      <c r="A210" s="63">
        <v>45833.0</v>
      </c>
      <c r="B210" s="62">
        <v>13700.0</v>
      </c>
      <c r="C210" s="17" t="s">
        <v>154</v>
      </c>
      <c r="D210" s="68" t="s">
        <v>22</v>
      </c>
      <c r="E210" s="18"/>
      <c r="F210" s="64" t="s">
        <v>155</v>
      </c>
      <c r="G210" s="62"/>
      <c r="H210" s="18"/>
      <c r="I210" s="18"/>
      <c r="J210" s="18"/>
      <c r="K210" s="65"/>
      <c r="L210" s="62">
        <v>2500.0</v>
      </c>
      <c r="M210" s="65"/>
      <c r="N210" s="66"/>
      <c r="O210" s="65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>
      <c r="A211" s="67"/>
      <c r="B211" s="50">
        <v>3000.0</v>
      </c>
      <c r="C211" s="17" t="s">
        <v>154</v>
      </c>
      <c r="D211" s="68" t="s">
        <v>22</v>
      </c>
      <c r="F211" s="64" t="s">
        <v>155</v>
      </c>
      <c r="G211" s="62"/>
      <c r="H211" s="18"/>
      <c r="I211" s="18"/>
      <c r="J211" s="18"/>
      <c r="K211" s="65"/>
      <c r="L211" s="66"/>
      <c r="M211" s="65"/>
      <c r="N211" s="66"/>
      <c r="O211" s="65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>
      <c r="A212" s="67"/>
      <c r="B212" s="50">
        <v>0.45</v>
      </c>
      <c r="C212" s="17" t="s">
        <v>154</v>
      </c>
      <c r="D212" s="68" t="s">
        <v>138</v>
      </c>
      <c r="E212" s="17"/>
      <c r="F212" s="64" t="s">
        <v>155</v>
      </c>
      <c r="G212" s="62"/>
      <c r="H212" s="18"/>
      <c r="I212" s="18"/>
      <c r="J212" s="18"/>
      <c r="K212" s="65"/>
      <c r="L212" s="66"/>
      <c r="M212" s="65"/>
      <c r="N212" s="66"/>
      <c r="O212" s="65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>
      <c r="A213" s="67"/>
      <c r="B213" s="50">
        <v>0.45</v>
      </c>
      <c r="C213" s="17" t="s">
        <v>154</v>
      </c>
      <c r="D213" s="68" t="s">
        <v>138</v>
      </c>
      <c r="E213" s="17"/>
      <c r="F213" s="64" t="s">
        <v>155</v>
      </c>
      <c r="G213" s="62"/>
      <c r="H213" s="18"/>
      <c r="I213" s="18"/>
      <c r="J213" s="18"/>
      <c r="K213" s="65"/>
      <c r="L213" s="66"/>
      <c r="M213" s="65"/>
      <c r="N213" s="66"/>
      <c r="O213" s="65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>
      <c r="A214" s="63">
        <v>46199.0</v>
      </c>
      <c r="B214" s="62">
        <v>1200.0</v>
      </c>
      <c r="C214" s="17" t="s">
        <v>154</v>
      </c>
      <c r="D214" s="68" t="s">
        <v>110</v>
      </c>
      <c r="E214" s="17" t="s">
        <v>233</v>
      </c>
      <c r="F214" s="64" t="s">
        <v>149</v>
      </c>
      <c r="G214" s="62">
        <v>10600.0</v>
      </c>
      <c r="H214" s="17" t="s">
        <v>154</v>
      </c>
      <c r="I214" s="17" t="s">
        <v>160</v>
      </c>
      <c r="J214" s="17" t="s">
        <v>234</v>
      </c>
      <c r="K214" s="64" t="s">
        <v>155</v>
      </c>
      <c r="L214" s="62">
        <v>4500.0</v>
      </c>
      <c r="M214" s="65"/>
      <c r="N214" s="66"/>
      <c r="O214" s="65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>
      <c r="A215" s="67"/>
      <c r="B215" s="62">
        <v>1000.0</v>
      </c>
      <c r="C215" s="17" t="s">
        <v>154</v>
      </c>
      <c r="D215" s="68" t="s">
        <v>164</v>
      </c>
      <c r="E215" s="17" t="s">
        <v>235</v>
      </c>
      <c r="F215" s="64" t="s">
        <v>149</v>
      </c>
      <c r="G215" s="66"/>
      <c r="H215" s="18"/>
      <c r="I215" s="18"/>
      <c r="J215" s="18"/>
      <c r="K215" s="65"/>
      <c r="L215" s="66"/>
      <c r="M215" s="65"/>
      <c r="N215" s="66"/>
      <c r="O215" s="65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>
      <c r="A216" s="67"/>
      <c r="B216" s="62">
        <v>1000.0</v>
      </c>
      <c r="C216" s="17" t="s">
        <v>154</v>
      </c>
      <c r="D216" s="68" t="s">
        <v>24</v>
      </c>
      <c r="E216" s="17" t="s">
        <v>236</v>
      </c>
      <c r="F216" s="64" t="s">
        <v>149</v>
      </c>
      <c r="G216" s="66"/>
      <c r="H216" s="18"/>
      <c r="I216" s="18"/>
      <c r="J216" s="18"/>
      <c r="K216" s="65"/>
      <c r="L216" s="66"/>
      <c r="M216" s="65"/>
      <c r="N216" s="66"/>
      <c r="O216" s="65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>
      <c r="A217" s="67"/>
      <c r="B217" s="62">
        <v>1900.0</v>
      </c>
      <c r="C217" s="17" t="s">
        <v>154</v>
      </c>
      <c r="D217" s="68" t="s">
        <v>24</v>
      </c>
      <c r="E217" s="17"/>
      <c r="F217" s="64" t="s">
        <v>149</v>
      </c>
      <c r="G217" s="66"/>
      <c r="H217" s="18"/>
      <c r="I217" s="18"/>
      <c r="J217" s="18"/>
      <c r="K217" s="65"/>
      <c r="L217" s="66"/>
      <c r="M217" s="65"/>
      <c r="N217" s="66"/>
      <c r="O217" s="65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>
      <c r="A218" s="67"/>
      <c r="B218" s="62">
        <v>1900.0</v>
      </c>
      <c r="C218" s="17" t="s">
        <v>154</v>
      </c>
      <c r="D218" s="68" t="s">
        <v>24</v>
      </c>
      <c r="E218" s="17"/>
      <c r="F218" s="64" t="s">
        <v>149</v>
      </c>
      <c r="G218" s="66"/>
      <c r="H218" s="18"/>
      <c r="I218" s="18"/>
      <c r="J218" s="18"/>
      <c r="K218" s="65"/>
      <c r="L218" s="66"/>
      <c r="M218" s="65"/>
      <c r="N218" s="66"/>
      <c r="O218" s="65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>
      <c r="A219" s="67"/>
      <c r="B219" s="62">
        <v>250.0</v>
      </c>
      <c r="C219" s="17" t="s">
        <v>154</v>
      </c>
      <c r="D219" s="68" t="s">
        <v>24</v>
      </c>
      <c r="E219" s="17"/>
      <c r="F219" s="64" t="s">
        <v>149</v>
      </c>
      <c r="G219" s="66"/>
      <c r="H219" s="18"/>
      <c r="I219" s="18"/>
      <c r="J219" s="18"/>
      <c r="K219" s="65"/>
      <c r="L219" s="66"/>
      <c r="M219" s="65"/>
      <c r="N219" s="66"/>
      <c r="O219" s="65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>
      <c r="A220" s="67"/>
      <c r="B220" s="50">
        <v>0.45</v>
      </c>
      <c r="C220" s="17" t="s">
        <v>154</v>
      </c>
      <c r="D220" s="68" t="s">
        <v>138</v>
      </c>
      <c r="E220" s="17"/>
      <c r="F220" s="64" t="s">
        <v>155</v>
      </c>
      <c r="G220" s="66"/>
      <c r="H220" s="18"/>
      <c r="I220" s="18"/>
      <c r="J220" s="18"/>
      <c r="K220" s="65"/>
      <c r="L220" s="66"/>
      <c r="M220" s="65"/>
      <c r="N220" s="66"/>
      <c r="O220" s="65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>
      <c r="A221" s="67"/>
      <c r="B221" s="62">
        <v>1500.0</v>
      </c>
      <c r="C221" s="17" t="s">
        <v>154</v>
      </c>
      <c r="D221" s="68" t="s">
        <v>25</v>
      </c>
      <c r="E221" s="18"/>
      <c r="F221" s="64" t="s">
        <v>149</v>
      </c>
      <c r="G221" s="66"/>
      <c r="H221" s="18"/>
      <c r="I221" s="18"/>
      <c r="J221" s="18"/>
      <c r="K221" s="65"/>
      <c r="L221" s="66"/>
      <c r="M221" s="65"/>
      <c r="N221" s="66"/>
      <c r="O221" s="65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>
      <c r="A222" s="67"/>
      <c r="B222" s="62">
        <v>5.0</v>
      </c>
      <c r="C222" s="17" t="s">
        <v>154</v>
      </c>
      <c r="D222" s="68" t="s">
        <v>138</v>
      </c>
      <c r="E222" s="17"/>
      <c r="F222" s="64" t="s">
        <v>155</v>
      </c>
      <c r="G222" s="66"/>
      <c r="H222" s="18"/>
      <c r="I222" s="18"/>
      <c r="J222" s="18"/>
      <c r="K222" s="65"/>
      <c r="L222" s="66"/>
      <c r="M222" s="65"/>
      <c r="N222" s="66"/>
      <c r="O222" s="65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>
      <c r="A223" s="63">
        <v>46199.0</v>
      </c>
      <c r="B223" s="66"/>
      <c r="C223" s="18"/>
      <c r="D223" s="18"/>
      <c r="E223" s="18"/>
      <c r="F223" s="65"/>
      <c r="G223" s="62">
        <v>1257.0</v>
      </c>
      <c r="H223" s="17" t="s">
        <v>154</v>
      </c>
      <c r="I223" s="17" t="s">
        <v>9</v>
      </c>
      <c r="J223" s="17" t="s">
        <v>237</v>
      </c>
      <c r="K223" s="64" t="s">
        <v>155</v>
      </c>
      <c r="L223" s="66"/>
      <c r="M223" s="65"/>
      <c r="N223" s="66"/>
      <c r="O223" s="65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>
      <c r="A224" s="63">
        <v>45837.0</v>
      </c>
      <c r="B224" s="62">
        <v>24.0</v>
      </c>
      <c r="C224" s="17" t="s">
        <v>154</v>
      </c>
      <c r="D224" s="68" t="s">
        <v>138</v>
      </c>
      <c r="E224" s="17"/>
      <c r="F224" s="64" t="s">
        <v>155</v>
      </c>
      <c r="G224" s="66"/>
      <c r="H224" s="18"/>
      <c r="I224" s="18"/>
      <c r="J224" s="18"/>
      <c r="K224" s="65"/>
      <c r="L224" s="62">
        <v>6000.0</v>
      </c>
      <c r="M224" s="65"/>
      <c r="N224" s="66"/>
      <c r="O224" s="65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>
      <c r="A225" s="67"/>
      <c r="B225" s="62">
        <v>14.0</v>
      </c>
      <c r="C225" s="17" t="s">
        <v>154</v>
      </c>
      <c r="D225" s="68" t="s">
        <v>138</v>
      </c>
      <c r="E225" s="17"/>
      <c r="F225" s="64" t="s">
        <v>155</v>
      </c>
      <c r="G225" s="66"/>
      <c r="H225" s="18"/>
      <c r="I225" s="18"/>
      <c r="J225" s="18"/>
      <c r="K225" s="65"/>
      <c r="L225" s="62">
        <v>3500.0</v>
      </c>
      <c r="M225" s="65"/>
      <c r="N225" s="66"/>
      <c r="O225" s="65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>
      <c r="A226" s="63">
        <v>45838.0</v>
      </c>
      <c r="B226" s="62">
        <v>40.0</v>
      </c>
      <c r="C226" s="17" t="s">
        <v>154</v>
      </c>
      <c r="D226" s="17" t="s">
        <v>145</v>
      </c>
      <c r="E226" s="17"/>
      <c r="F226" s="64" t="s">
        <v>155</v>
      </c>
      <c r="G226" s="66"/>
      <c r="H226" s="18"/>
      <c r="I226" s="18"/>
      <c r="J226" s="18"/>
      <c r="K226" s="65"/>
      <c r="L226" s="66"/>
      <c r="M226" s="65"/>
      <c r="N226" s="66"/>
      <c r="O226" s="65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>
      <c r="A227" s="70"/>
      <c r="B227" s="71"/>
      <c r="C227" s="14"/>
      <c r="D227" s="14"/>
      <c r="E227" s="14"/>
      <c r="F227" s="72"/>
      <c r="G227" s="71"/>
      <c r="H227" s="14"/>
      <c r="I227" s="14"/>
      <c r="J227" s="14"/>
      <c r="K227" s="72"/>
      <c r="L227" s="71"/>
      <c r="M227" s="72"/>
      <c r="N227" s="71"/>
      <c r="O227" s="72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>
      <c r="A228" s="70"/>
      <c r="B228" s="71"/>
      <c r="C228" s="14"/>
      <c r="D228" s="14"/>
      <c r="E228" s="14"/>
      <c r="F228" s="72"/>
      <c r="G228" s="71"/>
      <c r="H228" s="14"/>
      <c r="I228" s="14"/>
      <c r="J228" s="14"/>
      <c r="K228" s="72"/>
      <c r="L228" s="71"/>
      <c r="M228" s="72"/>
      <c r="N228" s="71"/>
      <c r="O228" s="72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>
      <c r="A229" s="63">
        <v>45840.0</v>
      </c>
      <c r="B229" s="62">
        <v>842.93</v>
      </c>
      <c r="C229" s="17" t="s">
        <v>154</v>
      </c>
      <c r="D229" s="68" t="s">
        <v>191</v>
      </c>
      <c r="F229" s="64" t="s">
        <v>155</v>
      </c>
      <c r="G229" s="62">
        <v>6000.0</v>
      </c>
      <c r="H229" s="17" t="s">
        <v>154</v>
      </c>
      <c r="I229" s="17" t="s">
        <v>160</v>
      </c>
      <c r="J229" s="17" t="s">
        <v>238</v>
      </c>
      <c r="K229" s="64" t="s">
        <v>149</v>
      </c>
      <c r="L229" s="66"/>
      <c r="M229" s="65"/>
      <c r="N229" s="66"/>
      <c r="O229" s="65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>
      <c r="A230" s="63">
        <v>45841.0</v>
      </c>
      <c r="B230" s="62">
        <v>72.28</v>
      </c>
      <c r="C230" s="17" t="s">
        <v>154</v>
      </c>
      <c r="D230" s="17" t="s">
        <v>146</v>
      </c>
      <c r="E230" s="17"/>
      <c r="F230" s="64" t="s">
        <v>155</v>
      </c>
      <c r="K230" s="59"/>
      <c r="L230" s="66"/>
      <c r="M230" s="65"/>
      <c r="N230" s="66"/>
      <c r="O230" s="65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>
      <c r="A231" s="63">
        <v>45847.0</v>
      </c>
      <c r="F231" s="59"/>
      <c r="G231" s="62">
        <v>1773.0</v>
      </c>
      <c r="H231" s="17" t="s">
        <v>154</v>
      </c>
      <c r="I231" s="17" t="s">
        <v>9</v>
      </c>
      <c r="J231" s="17"/>
      <c r="K231" s="64" t="s">
        <v>155</v>
      </c>
      <c r="L231" s="66"/>
      <c r="M231" s="65"/>
      <c r="N231" s="66"/>
      <c r="O231" s="65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>
      <c r="A232" s="63">
        <v>45848.0</v>
      </c>
      <c r="B232" s="50">
        <v>0.45</v>
      </c>
      <c r="C232" s="17" t="s">
        <v>154</v>
      </c>
      <c r="D232" s="68" t="s">
        <v>138</v>
      </c>
      <c r="E232" s="17"/>
      <c r="F232" s="64" t="s">
        <v>155</v>
      </c>
      <c r="G232" s="66"/>
      <c r="H232" s="18"/>
      <c r="I232" s="18"/>
      <c r="J232" s="18"/>
      <c r="K232" s="65"/>
      <c r="L232" s="62">
        <v>2500.0</v>
      </c>
      <c r="M232" s="65"/>
      <c r="N232" s="66"/>
      <c r="O232" s="65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>
      <c r="A233" s="63">
        <v>45849.0</v>
      </c>
      <c r="B233" s="62">
        <v>700.0</v>
      </c>
      <c r="C233" s="17" t="s">
        <v>154</v>
      </c>
      <c r="D233" s="68" t="s">
        <v>109</v>
      </c>
      <c r="E233" s="17" t="s">
        <v>115</v>
      </c>
      <c r="F233" s="64" t="s">
        <v>149</v>
      </c>
      <c r="G233" s="62">
        <v>4350.0</v>
      </c>
      <c r="H233" s="17" t="s">
        <v>204</v>
      </c>
      <c r="I233" s="17" t="s">
        <v>160</v>
      </c>
      <c r="J233" s="17" t="s">
        <v>239</v>
      </c>
      <c r="K233" s="64" t="s">
        <v>149</v>
      </c>
      <c r="L233" s="66"/>
      <c r="M233" s="65"/>
      <c r="N233" s="66"/>
      <c r="O233" s="65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>
      <c r="A234" s="67"/>
      <c r="B234" s="62">
        <v>1500.0</v>
      </c>
      <c r="C234" s="17" t="s">
        <v>154</v>
      </c>
      <c r="D234" s="68" t="s">
        <v>109</v>
      </c>
      <c r="E234" s="17" t="s">
        <v>240</v>
      </c>
      <c r="F234" s="64" t="s">
        <v>149</v>
      </c>
      <c r="G234" s="66"/>
      <c r="H234" s="18"/>
      <c r="I234" s="18"/>
      <c r="J234" s="18"/>
      <c r="K234" s="65"/>
      <c r="L234" s="66"/>
      <c r="M234" s="65"/>
      <c r="N234" s="66"/>
      <c r="O234" s="65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>
      <c r="A235" s="67"/>
      <c r="B235" s="62">
        <v>1200.0</v>
      </c>
      <c r="C235" s="17" t="s">
        <v>154</v>
      </c>
      <c r="D235" s="68" t="s">
        <v>109</v>
      </c>
      <c r="E235" s="17" t="s">
        <v>233</v>
      </c>
      <c r="F235" s="64" t="s">
        <v>149</v>
      </c>
      <c r="G235" s="66"/>
      <c r="H235" s="18"/>
      <c r="I235" s="18"/>
      <c r="J235" s="18"/>
      <c r="K235" s="65"/>
      <c r="L235" s="66"/>
      <c r="M235" s="65"/>
      <c r="N235" s="66"/>
      <c r="O235" s="65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>
      <c r="A236" s="67"/>
      <c r="B236" s="62">
        <v>600.0</v>
      </c>
      <c r="C236" s="17" t="s">
        <v>154</v>
      </c>
      <c r="D236" s="68" t="s">
        <v>109</v>
      </c>
      <c r="E236" s="17" t="s">
        <v>238</v>
      </c>
      <c r="F236" s="64" t="s">
        <v>149</v>
      </c>
      <c r="G236" s="66"/>
      <c r="H236" s="18"/>
      <c r="I236" s="18"/>
      <c r="J236" s="18"/>
      <c r="K236" s="65"/>
      <c r="L236" s="66"/>
      <c r="M236" s="65"/>
      <c r="N236" s="66"/>
      <c r="O236" s="65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>
      <c r="A237" s="67"/>
      <c r="B237" s="62">
        <v>1200.0</v>
      </c>
      <c r="C237" s="17" t="s">
        <v>154</v>
      </c>
      <c r="D237" s="68" t="s">
        <v>110</v>
      </c>
      <c r="E237" s="17" t="s">
        <v>233</v>
      </c>
      <c r="F237" s="64" t="s">
        <v>149</v>
      </c>
      <c r="G237" s="66"/>
      <c r="H237" s="18"/>
      <c r="I237" s="18"/>
      <c r="J237" s="18"/>
      <c r="K237" s="65"/>
      <c r="L237" s="66"/>
      <c r="M237" s="65"/>
      <c r="N237" s="66"/>
      <c r="O237" s="65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>
      <c r="A238" s="67"/>
      <c r="B238" s="62">
        <v>600.0</v>
      </c>
      <c r="C238" s="17" t="s">
        <v>154</v>
      </c>
      <c r="D238" s="68" t="s">
        <v>110</v>
      </c>
      <c r="E238" s="17" t="s">
        <v>238</v>
      </c>
      <c r="F238" s="64" t="s">
        <v>149</v>
      </c>
      <c r="G238" s="66"/>
      <c r="H238" s="18"/>
      <c r="I238" s="18"/>
      <c r="J238" s="18"/>
      <c r="K238" s="65"/>
      <c r="L238" s="66"/>
      <c r="M238" s="65"/>
      <c r="N238" s="66"/>
      <c r="O238" s="65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>
      <c r="A239" s="67"/>
      <c r="B239" s="62">
        <v>2500.0</v>
      </c>
      <c r="C239" s="17" t="s">
        <v>154</v>
      </c>
      <c r="D239" s="68" t="s">
        <v>113</v>
      </c>
      <c r="E239" s="17" t="s">
        <v>229</v>
      </c>
      <c r="F239" s="64" t="s">
        <v>149</v>
      </c>
      <c r="K239" s="59"/>
      <c r="L239" s="66"/>
      <c r="M239" s="65"/>
      <c r="N239" s="66"/>
      <c r="O239" s="65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>
      <c r="A240" s="67"/>
      <c r="B240" s="62">
        <v>1250.0</v>
      </c>
      <c r="C240" s="17" t="s">
        <v>154</v>
      </c>
      <c r="D240" s="68" t="s">
        <v>110</v>
      </c>
      <c r="E240" s="17" t="s">
        <v>237</v>
      </c>
      <c r="F240" s="64" t="s">
        <v>149</v>
      </c>
      <c r="G240" s="66"/>
      <c r="H240" s="18"/>
      <c r="I240" s="18"/>
      <c r="J240" s="18"/>
      <c r="K240" s="65"/>
      <c r="L240" s="66"/>
      <c r="M240" s="65"/>
      <c r="N240" s="66"/>
      <c r="O240" s="65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>
      <c r="A241" s="67"/>
      <c r="B241" s="62">
        <v>1500.0</v>
      </c>
      <c r="C241" s="17" t="s">
        <v>154</v>
      </c>
      <c r="D241" s="68" t="s">
        <v>113</v>
      </c>
      <c r="E241" s="17" t="s">
        <v>240</v>
      </c>
      <c r="F241" s="64" t="s">
        <v>149</v>
      </c>
      <c r="G241" s="66"/>
      <c r="H241" s="18"/>
      <c r="I241" s="18"/>
      <c r="J241" s="18"/>
      <c r="K241" s="65"/>
      <c r="L241" s="66"/>
      <c r="M241" s="65"/>
      <c r="N241" s="66"/>
      <c r="O241" s="65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>
      <c r="A242" s="67"/>
      <c r="B242" s="62">
        <v>1200.0</v>
      </c>
      <c r="C242" s="17" t="s">
        <v>154</v>
      </c>
      <c r="D242" s="68" t="s">
        <v>113</v>
      </c>
      <c r="E242" s="17" t="s">
        <v>233</v>
      </c>
      <c r="F242" s="64" t="s">
        <v>149</v>
      </c>
      <c r="G242" s="66"/>
      <c r="H242" s="18"/>
      <c r="I242" s="18"/>
      <c r="J242" s="18"/>
      <c r="K242" s="65"/>
      <c r="L242" s="66"/>
      <c r="M242" s="65"/>
      <c r="N242" s="66"/>
      <c r="O242" s="65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>
      <c r="A243" s="67"/>
      <c r="B243" s="62">
        <v>600.0</v>
      </c>
      <c r="C243" s="17" t="s">
        <v>154</v>
      </c>
      <c r="D243" s="68" t="s">
        <v>113</v>
      </c>
      <c r="E243" s="17" t="s">
        <v>238</v>
      </c>
      <c r="F243" s="64" t="s">
        <v>149</v>
      </c>
      <c r="G243" s="66"/>
      <c r="H243" s="18"/>
      <c r="I243" s="18"/>
      <c r="J243" s="18"/>
      <c r="K243" s="65"/>
      <c r="L243" s="66"/>
      <c r="M243" s="65"/>
      <c r="N243" s="66"/>
      <c r="O243" s="65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>
      <c r="A244" s="67"/>
      <c r="B244" s="62">
        <v>2500.0</v>
      </c>
      <c r="C244" s="17" t="s">
        <v>154</v>
      </c>
      <c r="D244" s="68" t="s">
        <v>113</v>
      </c>
      <c r="E244" s="17" t="s">
        <v>241</v>
      </c>
      <c r="F244" s="64" t="s">
        <v>149</v>
      </c>
      <c r="G244" s="66"/>
      <c r="H244" s="18"/>
      <c r="I244" s="18"/>
      <c r="J244" s="18"/>
      <c r="K244" s="65"/>
      <c r="L244" s="66"/>
      <c r="M244" s="65"/>
      <c r="N244" s="66"/>
      <c r="O244" s="65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>
      <c r="A245" s="67"/>
      <c r="B245" s="62">
        <v>500.0</v>
      </c>
      <c r="C245" s="17" t="s">
        <v>204</v>
      </c>
      <c r="D245" s="68" t="s">
        <v>113</v>
      </c>
      <c r="E245" s="17" t="s">
        <v>242</v>
      </c>
      <c r="F245" s="64" t="s">
        <v>149</v>
      </c>
      <c r="G245" s="66"/>
      <c r="H245" s="18"/>
      <c r="I245" s="18"/>
      <c r="J245" s="18"/>
      <c r="K245" s="65"/>
      <c r="L245" s="66"/>
      <c r="M245" s="65"/>
      <c r="N245" s="66"/>
      <c r="O245" s="65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>
      <c r="A246" s="67"/>
      <c r="B246" s="62">
        <v>250.0</v>
      </c>
      <c r="C246" s="17" t="s">
        <v>204</v>
      </c>
      <c r="D246" s="68" t="s">
        <v>113</v>
      </c>
      <c r="E246" s="17" t="s">
        <v>237</v>
      </c>
      <c r="F246" s="64" t="s">
        <v>149</v>
      </c>
      <c r="G246" s="66"/>
      <c r="H246" s="18"/>
      <c r="I246" s="18"/>
      <c r="J246" s="18"/>
      <c r="K246" s="65"/>
      <c r="L246" s="66"/>
      <c r="M246" s="65"/>
      <c r="N246" s="66"/>
      <c r="O246" s="65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>
      <c r="A247" s="67"/>
      <c r="B247" s="62">
        <v>500.0</v>
      </c>
      <c r="C247" s="17" t="s">
        <v>204</v>
      </c>
      <c r="D247" s="68" t="s">
        <v>112</v>
      </c>
      <c r="E247" s="17" t="s">
        <v>242</v>
      </c>
      <c r="F247" s="64" t="s">
        <v>149</v>
      </c>
      <c r="G247" s="66"/>
      <c r="H247" s="18"/>
      <c r="I247" s="18"/>
      <c r="J247" s="18"/>
      <c r="K247" s="65"/>
      <c r="L247" s="66"/>
      <c r="M247" s="65"/>
      <c r="N247" s="66"/>
      <c r="O247" s="65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>
      <c r="A248" s="67"/>
      <c r="B248" s="62">
        <v>500.0</v>
      </c>
      <c r="C248" s="17" t="s">
        <v>204</v>
      </c>
      <c r="D248" s="68" t="s">
        <v>111</v>
      </c>
      <c r="E248" s="17" t="s">
        <v>242</v>
      </c>
      <c r="F248" s="64" t="s">
        <v>149</v>
      </c>
      <c r="G248" s="66"/>
      <c r="H248" s="18"/>
      <c r="I248" s="18"/>
      <c r="J248" s="18"/>
      <c r="K248" s="65"/>
      <c r="L248" s="66"/>
      <c r="M248" s="65"/>
      <c r="N248" s="66"/>
      <c r="O248" s="65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>
      <c r="A249" s="67"/>
      <c r="B249" s="50">
        <v>1450.0</v>
      </c>
      <c r="C249" s="17" t="s">
        <v>154</v>
      </c>
      <c r="D249" s="68" t="s">
        <v>24</v>
      </c>
      <c r="E249" s="17"/>
      <c r="F249" s="64" t="s">
        <v>149</v>
      </c>
      <c r="G249" s="66"/>
      <c r="H249" s="18"/>
      <c r="I249" s="18"/>
      <c r="J249" s="18"/>
      <c r="K249" s="65"/>
      <c r="L249" s="66"/>
      <c r="M249" s="65"/>
      <c r="N249" s="66"/>
      <c r="O249" s="65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>
      <c r="A250" s="67"/>
      <c r="B250" s="62">
        <v>1250.0</v>
      </c>
      <c r="C250" s="17" t="s">
        <v>154</v>
      </c>
      <c r="D250" s="68" t="s">
        <v>24</v>
      </c>
      <c r="E250" s="17"/>
      <c r="F250" s="64" t="s">
        <v>149</v>
      </c>
      <c r="G250" s="66"/>
      <c r="H250" s="18"/>
      <c r="I250" s="18"/>
      <c r="J250" s="18"/>
      <c r="K250" s="65"/>
      <c r="L250" s="66"/>
      <c r="M250" s="65"/>
      <c r="N250" s="66"/>
      <c r="O250" s="65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>
      <c r="A251" s="67"/>
      <c r="B251" s="62">
        <v>500.0</v>
      </c>
      <c r="C251" s="17" t="s">
        <v>204</v>
      </c>
      <c r="D251" s="68" t="s">
        <v>26</v>
      </c>
      <c r="E251" s="17"/>
      <c r="F251" s="64" t="s">
        <v>149</v>
      </c>
      <c r="G251" s="66"/>
      <c r="H251" s="18"/>
      <c r="I251" s="18"/>
      <c r="J251" s="18"/>
      <c r="K251" s="65"/>
      <c r="L251" s="66"/>
      <c r="M251" s="65"/>
      <c r="N251" s="66"/>
      <c r="O251" s="65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>
      <c r="A252" s="67"/>
      <c r="B252" s="62">
        <v>100.0</v>
      </c>
      <c r="C252" s="17" t="s">
        <v>204</v>
      </c>
      <c r="D252" s="68" t="s">
        <v>85</v>
      </c>
      <c r="E252" s="17"/>
      <c r="F252" s="64" t="s">
        <v>149</v>
      </c>
      <c r="G252" s="66"/>
      <c r="H252" s="18"/>
      <c r="I252" s="18"/>
      <c r="J252" s="18"/>
      <c r="K252" s="65"/>
      <c r="L252" s="66"/>
      <c r="M252" s="65"/>
      <c r="N252" s="66"/>
      <c r="O252" s="65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>
      <c r="A253" s="67"/>
      <c r="B253" s="62">
        <v>500.0</v>
      </c>
      <c r="C253" s="17" t="s">
        <v>204</v>
      </c>
      <c r="D253" s="68" t="s">
        <v>110</v>
      </c>
      <c r="E253" s="17" t="s">
        <v>242</v>
      </c>
      <c r="F253" s="64" t="s">
        <v>149</v>
      </c>
      <c r="G253" s="66"/>
      <c r="H253" s="18"/>
      <c r="I253" s="18"/>
      <c r="J253" s="18"/>
      <c r="K253" s="65"/>
      <c r="L253" s="66"/>
      <c r="M253" s="65"/>
      <c r="N253" s="66"/>
      <c r="O253" s="65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>
      <c r="A254" s="67"/>
      <c r="B254" s="62">
        <v>250.0</v>
      </c>
      <c r="C254" s="17" t="s">
        <v>204</v>
      </c>
      <c r="D254" s="68" t="s">
        <v>111</v>
      </c>
      <c r="E254" s="17" t="s">
        <v>237</v>
      </c>
      <c r="F254" s="64" t="s">
        <v>149</v>
      </c>
      <c r="G254" s="66"/>
      <c r="H254" s="18"/>
      <c r="I254" s="18"/>
      <c r="J254" s="18"/>
      <c r="K254" s="65"/>
      <c r="L254" s="66"/>
      <c r="M254" s="65"/>
      <c r="N254" s="66"/>
      <c r="O254" s="65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>
      <c r="A255" s="67"/>
      <c r="F255" s="59"/>
      <c r="G255" s="66"/>
      <c r="H255" s="18"/>
      <c r="I255" s="18"/>
      <c r="J255" s="18"/>
      <c r="K255" s="65"/>
      <c r="L255" s="66"/>
      <c r="M255" s="65"/>
      <c r="N255" s="66"/>
      <c r="O255" s="65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>
      <c r="A256" s="67"/>
      <c r="B256" s="62">
        <v>500.0</v>
      </c>
      <c r="C256" s="17" t="s">
        <v>204</v>
      </c>
      <c r="D256" s="68" t="s">
        <v>109</v>
      </c>
      <c r="E256" s="17" t="s">
        <v>242</v>
      </c>
      <c r="F256" s="64" t="s">
        <v>149</v>
      </c>
      <c r="G256" s="62">
        <v>10000.0</v>
      </c>
      <c r="H256" s="17" t="s">
        <v>154</v>
      </c>
      <c r="I256" s="17" t="s">
        <v>160</v>
      </c>
      <c r="J256" s="17" t="s">
        <v>115</v>
      </c>
      <c r="K256" s="64" t="s">
        <v>155</v>
      </c>
      <c r="L256" s="66"/>
      <c r="M256" s="65"/>
      <c r="N256" s="66"/>
      <c r="O256" s="65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>
      <c r="A257" s="67"/>
      <c r="B257" s="62">
        <v>250.0</v>
      </c>
      <c r="C257" s="17" t="s">
        <v>204</v>
      </c>
      <c r="D257" s="68" t="s">
        <v>109</v>
      </c>
      <c r="E257" s="17" t="s">
        <v>237</v>
      </c>
      <c r="F257" s="64" t="s">
        <v>149</v>
      </c>
      <c r="G257" s="66"/>
      <c r="H257" s="18"/>
      <c r="I257" s="18"/>
      <c r="J257" s="18"/>
      <c r="K257" s="65"/>
      <c r="L257" s="66"/>
      <c r="M257" s="65"/>
      <c r="N257" s="66"/>
      <c r="O257" s="65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>
      <c r="A258" s="67"/>
      <c r="B258" s="50">
        <v>1500.0</v>
      </c>
      <c r="C258" s="17" t="s">
        <v>154</v>
      </c>
      <c r="D258" s="68" t="s">
        <v>25</v>
      </c>
      <c r="E258" s="50" t="s">
        <v>243</v>
      </c>
      <c r="F258" s="59"/>
      <c r="G258" s="66"/>
      <c r="H258" s="18"/>
      <c r="I258" s="18"/>
      <c r="J258" s="18"/>
      <c r="K258" s="65"/>
      <c r="L258" s="66"/>
      <c r="M258" s="65"/>
      <c r="N258" s="66"/>
      <c r="O258" s="65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>
      <c r="A259" s="67"/>
      <c r="B259" s="50">
        <v>1000.0</v>
      </c>
      <c r="C259" s="17" t="s">
        <v>154</v>
      </c>
      <c r="D259" s="68" t="s">
        <v>164</v>
      </c>
      <c r="E259" s="50" t="s">
        <v>243</v>
      </c>
      <c r="F259" s="59"/>
      <c r="G259" s="66"/>
      <c r="H259" s="18"/>
      <c r="I259" s="18"/>
      <c r="J259" s="18"/>
      <c r="K259" s="65"/>
      <c r="L259" s="66"/>
      <c r="M259" s="65"/>
      <c r="N259" s="66"/>
      <c r="O259" s="65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>
      <c r="A260" s="67"/>
      <c r="B260" s="50">
        <v>1000.0</v>
      </c>
      <c r="C260" s="17" t="s">
        <v>154</v>
      </c>
      <c r="D260" s="68" t="s">
        <v>157</v>
      </c>
      <c r="E260" s="50" t="s">
        <v>243</v>
      </c>
      <c r="F260" s="59"/>
      <c r="G260" s="66"/>
      <c r="H260" s="18"/>
      <c r="I260" s="18"/>
      <c r="J260" s="18"/>
      <c r="K260" s="65"/>
      <c r="L260" s="66"/>
      <c r="M260" s="65"/>
      <c r="N260" s="66"/>
      <c r="O260" s="65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>
      <c r="A261" s="67"/>
      <c r="B261" s="50">
        <v>1260.0</v>
      </c>
      <c r="C261" s="17" t="s">
        <v>154</v>
      </c>
      <c r="D261" s="68" t="s">
        <v>244</v>
      </c>
      <c r="F261" s="64" t="s">
        <v>149</v>
      </c>
      <c r="G261" s="66"/>
      <c r="H261" s="18"/>
      <c r="I261" s="18"/>
      <c r="J261" s="18"/>
      <c r="K261" s="65"/>
      <c r="L261" s="66"/>
      <c r="M261" s="65"/>
      <c r="N261" s="66"/>
      <c r="O261" s="65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>
      <c r="A262" s="67"/>
      <c r="B262" s="62">
        <v>1500.0</v>
      </c>
      <c r="C262" s="17" t="s">
        <v>154</v>
      </c>
      <c r="D262" s="68" t="s">
        <v>111</v>
      </c>
      <c r="E262" s="17" t="s">
        <v>240</v>
      </c>
      <c r="F262" s="64" t="s">
        <v>149</v>
      </c>
      <c r="G262" s="66"/>
      <c r="H262" s="18"/>
      <c r="I262" s="18"/>
      <c r="J262" s="18"/>
      <c r="K262" s="65"/>
      <c r="L262" s="66"/>
      <c r="M262" s="65"/>
      <c r="N262" s="66"/>
      <c r="O262" s="65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>
      <c r="A263" s="67"/>
      <c r="B263" s="62">
        <v>1200.0</v>
      </c>
      <c r="C263" s="17" t="s">
        <v>154</v>
      </c>
      <c r="D263" s="68" t="s">
        <v>111</v>
      </c>
      <c r="E263" s="17" t="s">
        <v>233</v>
      </c>
      <c r="F263" s="64" t="s">
        <v>149</v>
      </c>
      <c r="G263" s="66"/>
      <c r="H263" s="18"/>
      <c r="I263" s="18"/>
      <c r="J263" s="18"/>
      <c r="K263" s="65"/>
      <c r="L263" s="66"/>
      <c r="M263" s="65"/>
      <c r="N263" s="66"/>
      <c r="O263" s="65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>
      <c r="A264" s="67"/>
      <c r="B264" s="62">
        <v>600.0</v>
      </c>
      <c r="C264" s="17" t="s">
        <v>154</v>
      </c>
      <c r="D264" s="68" t="s">
        <v>111</v>
      </c>
      <c r="E264" s="17" t="s">
        <v>238</v>
      </c>
      <c r="F264" s="64" t="s">
        <v>149</v>
      </c>
      <c r="G264" s="66"/>
      <c r="H264" s="18"/>
      <c r="I264" s="18"/>
      <c r="J264" s="18"/>
      <c r="K264" s="65"/>
      <c r="L264" s="66"/>
      <c r="M264" s="65"/>
      <c r="N264" s="66"/>
      <c r="O264" s="65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>
      <c r="A265" s="67"/>
      <c r="B265" s="62">
        <v>2500.0</v>
      </c>
      <c r="C265" s="17" t="s">
        <v>154</v>
      </c>
      <c r="D265" s="68" t="s">
        <v>111</v>
      </c>
      <c r="E265" s="17" t="s">
        <v>241</v>
      </c>
      <c r="F265" s="64" t="s">
        <v>149</v>
      </c>
      <c r="G265" s="66"/>
      <c r="H265" s="18"/>
      <c r="I265" s="18"/>
      <c r="J265" s="18"/>
      <c r="K265" s="65"/>
      <c r="L265" s="66"/>
      <c r="M265" s="65"/>
      <c r="N265" s="66"/>
      <c r="O265" s="65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>
      <c r="A266" s="67"/>
      <c r="B266" s="62">
        <v>700.0</v>
      </c>
      <c r="C266" s="17" t="s">
        <v>154</v>
      </c>
      <c r="D266" s="68" t="s">
        <v>111</v>
      </c>
      <c r="E266" s="17" t="s">
        <v>227</v>
      </c>
      <c r="F266" s="64" t="s">
        <v>149</v>
      </c>
      <c r="G266" s="66"/>
      <c r="H266" s="18"/>
      <c r="I266" s="18"/>
      <c r="J266" s="18"/>
      <c r="K266" s="65"/>
      <c r="L266" s="66"/>
      <c r="M266" s="65"/>
      <c r="N266" s="66"/>
      <c r="O266" s="65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>
      <c r="A267" s="63">
        <v>45853.0</v>
      </c>
      <c r="F267" s="59"/>
      <c r="G267" s="66"/>
      <c r="H267" s="18"/>
      <c r="I267" s="18"/>
      <c r="J267" s="18"/>
      <c r="K267" s="65"/>
      <c r="L267" s="62">
        <v>700.0</v>
      </c>
      <c r="M267" s="65"/>
      <c r="N267" s="66"/>
      <c r="O267" s="65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>
      <c r="A268" s="67"/>
      <c r="B268" s="50">
        <v>1200.0</v>
      </c>
      <c r="C268" s="17" t="s">
        <v>154</v>
      </c>
      <c r="D268" s="68" t="s">
        <v>110</v>
      </c>
      <c r="E268" s="17" t="s">
        <v>245</v>
      </c>
      <c r="F268" s="64" t="s">
        <v>149</v>
      </c>
      <c r="G268" s="66"/>
      <c r="H268" s="18"/>
      <c r="I268" s="18"/>
      <c r="J268" s="18"/>
      <c r="K268" s="65"/>
      <c r="L268" s="66"/>
      <c r="M268" s="65"/>
      <c r="N268" s="66"/>
      <c r="O268" s="65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>
      <c r="A269" s="67"/>
      <c r="B269" s="66"/>
      <c r="C269" s="18"/>
      <c r="D269" s="18"/>
      <c r="E269" s="18"/>
      <c r="F269" s="65"/>
      <c r="G269" s="66"/>
      <c r="H269" s="18"/>
      <c r="I269" s="18"/>
      <c r="J269" s="18"/>
      <c r="K269" s="65"/>
      <c r="L269" s="66"/>
      <c r="M269" s="65"/>
      <c r="N269" s="66"/>
      <c r="O269" s="65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>
      <c r="A270" s="67"/>
      <c r="B270" s="62">
        <v>2500.0</v>
      </c>
      <c r="C270" s="17" t="s">
        <v>154</v>
      </c>
      <c r="D270" s="68" t="s">
        <v>112</v>
      </c>
      <c r="E270" s="17" t="s">
        <v>241</v>
      </c>
      <c r="F270" s="64" t="s">
        <v>149</v>
      </c>
      <c r="G270" s="66"/>
      <c r="H270" s="18"/>
      <c r="I270" s="18"/>
      <c r="J270" s="18"/>
      <c r="K270" s="65"/>
      <c r="L270" s="66"/>
      <c r="M270" s="65"/>
      <c r="N270" s="66"/>
      <c r="O270" s="65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>
      <c r="A271" s="67"/>
      <c r="B271" s="62">
        <v>700.0</v>
      </c>
      <c r="C271" s="17" t="s">
        <v>154</v>
      </c>
      <c r="D271" s="68" t="s">
        <v>112</v>
      </c>
      <c r="E271" s="17" t="s">
        <v>227</v>
      </c>
      <c r="F271" s="64" t="s">
        <v>149</v>
      </c>
      <c r="G271" s="66"/>
      <c r="H271" s="18"/>
      <c r="I271" s="18"/>
      <c r="J271" s="18"/>
      <c r="K271" s="65"/>
      <c r="L271" s="66"/>
      <c r="M271" s="65"/>
      <c r="N271" s="66"/>
      <c r="O271" s="65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>
      <c r="A272" s="67"/>
      <c r="B272" s="62">
        <v>1200.0</v>
      </c>
      <c r="C272" s="17" t="s">
        <v>154</v>
      </c>
      <c r="D272" s="68" t="s">
        <v>112</v>
      </c>
      <c r="E272" s="17" t="s">
        <v>233</v>
      </c>
      <c r="F272" s="64" t="s">
        <v>149</v>
      </c>
      <c r="G272" s="66"/>
      <c r="H272" s="18"/>
      <c r="I272" s="18"/>
      <c r="J272" s="18"/>
      <c r="K272" s="65"/>
      <c r="L272" s="66"/>
      <c r="M272" s="65"/>
      <c r="N272" s="66"/>
      <c r="O272" s="65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>
      <c r="A273" s="67"/>
      <c r="B273" s="62">
        <v>600.0</v>
      </c>
      <c r="C273" s="17" t="s">
        <v>154</v>
      </c>
      <c r="D273" s="68" t="s">
        <v>112</v>
      </c>
      <c r="E273" s="17" t="s">
        <v>238</v>
      </c>
      <c r="F273" s="64" t="s">
        <v>149</v>
      </c>
      <c r="G273" s="66"/>
      <c r="H273" s="18"/>
      <c r="I273" s="18"/>
      <c r="J273" s="18"/>
      <c r="K273" s="65"/>
      <c r="L273" s="66"/>
      <c r="M273" s="65"/>
      <c r="N273" s="66"/>
      <c r="O273" s="65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>
      <c r="A274" s="67"/>
      <c r="B274" s="62">
        <v>1500.0</v>
      </c>
      <c r="C274" s="17" t="s">
        <v>154</v>
      </c>
      <c r="D274" s="68" t="s">
        <v>112</v>
      </c>
      <c r="E274" s="17" t="s">
        <v>240</v>
      </c>
      <c r="F274" s="64" t="s">
        <v>149</v>
      </c>
      <c r="G274" s="66"/>
      <c r="H274" s="18"/>
      <c r="I274" s="18"/>
      <c r="J274" s="18"/>
      <c r="K274" s="65"/>
      <c r="L274" s="66"/>
      <c r="M274" s="65"/>
      <c r="N274" s="66"/>
      <c r="O274" s="65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>
      <c r="A275" s="63">
        <v>45856.0</v>
      </c>
      <c r="B275" s="66"/>
      <c r="C275" s="18"/>
      <c r="D275" s="18"/>
      <c r="E275" s="18"/>
      <c r="F275" s="65"/>
      <c r="G275" s="66"/>
      <c r="H275" s="18"/>
      <c r="I275" s="18"/>
      <c r="J275" s="18"/>
      <c r="K275" s="65"/>
      <c r="L275" s="62">
        <v>2500.0</v>
      </c>
      <c r="M275" s="65"/>
      <c r="N275" s="66"/>
      <c r="O275" s="65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>
      <c r="A276" s="63">
        <v>45861.0</v>
      </c>
      <c r="B276" s="18"/>
      <c r="C276" s="18"/>
      <c r="D276" s="18"/>
      <c r="E276" s="18"/>
      <c r="F276" s="65"/>
      <c r="G276" s="62">
        <v>12630.0</v>
      </c>
      <c r="H276" s="17" t="s">
        <v>154</v>
      </c>
      <c r="I276" s="17" t="s">
        <v>160</v>
      </c>
      <c r="J276" s="17" t="s">
        <v>246</v>
      </c>
      <c r="K276" s="64" t="s">
        <v>155</v>
      </c>
      <c r="L276" s="62"/>
      <c r="M276" s="65"/>
      <c r="N276" s="66"/>
      <c r="O276" s="65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>
      <c r="A277" s="63">
        <v>45863.0</v>
      </c>
      <c r="C277" s="18"/>
      <c r="D277" s="18"/>
      <c r="E277" s="18"/>
      <c r="F277" s="65"/>
      <c r="G277" s="66"/>
      <c r="H277" s="18"/>
      <c r="I277" s="18"/>
      <c r="J277" s="18"/>
      <c r="K277" s="65"/>
      <c r="L277" s="62">
        <v>2500.0</v>
      </c>
      <c r="M277" s="65"/>
      <c r="N277" s="66"/>
      <c r="O277" s="65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>
      <c r="A278" s="63">
        <v>45864.0</v>
      </c>
      <c r="B278" s="62">
        <v>4818.0</v>
      </c>
      <c r="C278" s="17" t="s">
        <v>154</v>
      </c>
      <c r="D278" s="68" t="s">
        <v>141</v>
      </c>
      <c r="E278" s="17"/>
      <c r="F278" s="64" t="s">
        <v>155</v>
      </c>
      <c r="G278" s="66"/>
      <c r="H278" s="18"/>
      <c r="I278" s="18"/>
      <c r="J278" s="18"/>
      <c r="K278" s="65"/>
      <c r="L278" s="62">
        <v>2500.0</v>
      </c>
      <c r="M278" s="65"/>
      <c r="N278" s="66"/>
      <c r="O278" s="65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>
      <c r="A279" s="67"/>
      <c r="B279" s="62">
        <v>273.0</v>
      </c>
      <c r="C279" s="17" t="s">
        <v>154</v>
      </c>
      <c r="D279" s="68" t="s">
        <v>141</v>
      </c>
      <c r="E279" s="17"/>
      <c r="F279" s="64" t="s">
        <v>155</v>
      </c>
      <c r="G279" s="66"/>
      <c r="H279" s="18"/>
      <c r="I279" s="18"/>
      <c r="J279" s="18"/>
      <c r="K279" s="65"/>
      <c r="L279" s="66"/>
      <c r="M279" s="65"/>
      <c r="N279" s="66"/>
      <c r="O279" s="65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>
      <c r="A280" s="67"/>
      <c r="B280" s="62">
        <v>963.0</v>
      </c>
      <c r="C280" s="17" t="s">
        <v>154</v>
      </c>
      <c r="D280" s="68" t="s">
        <v>212</v>
      </c>
      <c r="E280" s="17"/>
      <c r="F280" s="64" t="s">
        <v>155</v>
      </c>
      <c r="G280" s="66"/>
      <c r="H280" s="18"/>
      <c r="I280" s="18"/>
      <c r="J280" s="18"/>
      <c r="K280" s="65"/>
      <c r="L280" s="66"/>
      <c r="M280" s="65"/>
      <c r="N280" s="66"/>
      <c r="O280" s="65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>
      <c r="A281" s="67"/>
      <c r="B281" s="62">
        <v>194.0</v>
      </c>
      <c r="C281" s="17" t="s">
        <v>154</v>
      </c>
      <c r="D281" s="68" t="s">
        <v>143</v>
      </c>
      <c r="E281" s="17"/>
      <c r="F281" s="64" t="s">
        <v>155</v>
      </c>
      <c r="G281" s="66"/>
      <c r="H281" s="18"/>
      <c r="I281" s="18"/>
      <c r="J281" s="18"/>
      <c r="K281" s="65"/>
      <c r="L281" s="66"/>
      <c r="M281" s="65"/>
      <c r="N281" s="66"/>
      <c r="O281" s="65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>
      <c r="A282" s="67"/>
      <c r="B282" s="62">
        <v>5.0</v>
      </c>
      <c r="C282" s="17" t="s">
        <v>154</v>
      </c>
      <c r="D282" s="68" t="s">
        <v>139</v>
      </c>
      <c r="E282" s="17"/>
      <c r="F282" s="64" t="s">
        <v>155</v>
      </c>
      <c r="G282" s="66"/>
      <c r="H282" s="18"/>
      <c r="I282" s="18"/>
      <c r="J282" s="18"/>
      <c r="K282" s="65"/>
      <c r="L282" s="66"/>
      <c r="M282" s="65"/>
      <c r="N282" s="66"/>
      <c r="O282" s="65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>
      <c r="A283" s="67"/>
      <c r="B283" s="62">
        <v>5.0</v>
      </c>
      <c r="C283" s="17" t="s">
        <v>154</v>
      </c>
      <c r="D283" s="68" t="s">
        <v>139</v>
      </c>
      <c r="E283" s="17"/>
      <c r="F283" s="64" t="s">
        <v>155</v>
      </c>
      <c r="G283" s="66"/>
      <c r="H283" s="18"/>
      <c r="I283" s="18"/>
      <c r="J283" s="18"/>
      <c r="K283" s="65"/>
      <c r="L283" s="66"/>
      <c r="M283" s="65"/>
      <c r="N283" s="66"/>
      <c r="O283" s="65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>
      <c r="A284" s="67"/>
      <c r="B284" s="62">
        <v>5.0</v>
      </c>
      <c r="C284" s="17" t="s">
        <v>154</v>
      </c>
      <c r="D284" s="68" t="s">
        <v>139</v>
      </c>
      <c r="E284" s="17"/>
      <c r="F284" s="64" t="s">
        <v>155</v>
      </c>
      <c r="G284" s="66"/>
      <c r="H284" s="18"/>
      <c r="I284" s="18"/>
      <c r="J284" s="18"/>
      <c r="K284" s="65"/>
      <c r="L284" s="66"/>
      <c r="M284" s="65"/>
      <c r="N284" s="66"/>
      <c r="O284" s="65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>
      <c r="A285" s="67"/>
      <c r="B285" s="62">
        <v>5.0</v>
      </c>
      <c r="C285" s="17" t="s">
        <v>154</v>
      </c>
      <c r="D285" s="68" t="s">
        <v>139</v>
      </c>
      <c r="E285" s="17"/>
      <c r="F285" s="64" t="s">
        <v>155</v>
      </c>
      <c r="G285" s="66"/>
      <c r="H285" s="18"/>
      <c r="I285" s="18"/>
      <c r="J285" s="18"/>
      <c r="K285" s="65"/>
      <c r="L285" s="66"/>
      <c r="M285" s="65"/>
      <c r="N285" s="66"/>
      <c r="O285" s="65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>
      <c r="A286" s="63">
        <v>45867.0</v>
      </c>
      <c r="B286" s="62">
        <v>5.0</v>
      </c>
      <c r="C286" s="17" t="s">
        <v>154</v>
      </c>
      <c r="D286" s="68" t="s">
        <v>139</v>
      </c>
      <c r="E286" s="17"/>
      <c r="F286" s="64" t="s">
        <v>155</v>
      </c>
      <c r="G286" s="66"/>
      <c r="H286" s="18"/>
      <c r="I286" s="18"/>
      <c r="J286" s="18"/>
      <c r="K286" s="65"/>
      <c r="L286" s="62">
        <v>6500.0</v>
      </c>
      <c r="M286" s="65"/>
      <c r="N286" s="66"/>
      <c r="O286" s="65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>
      <c r="A287" s="74"/>
      <c r="B287" s="62">
        <v>5.0</v>
      </c>
      <c r="C287" s="17" t="s">
        <v>154</v>
      </c>
      <c r="D287" s="68" t="s">
        <v>139</v>
      </c>
      <c r="E287" s="17"/>
      <c r="F287" s="64" t="s">
        <v>155</v>
      </c>
      <c r="G287" s="18"/>
      <c r="H287" s="18"/>
      <c r="I287" s="18"/>
      <c r="J287" s="18"/>
      <c r="K287" s="74"/>
      <c r="L287" s="17">
        <v>2500.0</v>
      </c>
      <c r="M287" s="74"/>
      <c r="N287" s="18"/>
      <c r="O287" s="74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>
      <c r="A288" s="63">
        <v>45868.0</v>
      </c>
      <c r="B288" s="17">
        <v>300.0</v>
      </c>
      <c r="C288" s="17" t="s">
        <v>154</v>
      </c>
      <c r="D288" s="68" t="s">
        <v>110</v>
      </c>
      <c r="E288" s="17" t="s">
        <v>245</v>
      </c>
      <c r="F288" s="64" t="s">
        <v>149</v>
      </c>
      <c r="G288" s="17">
        <v>2030.0</v>
      </c>
      <c r="H288" s="17" t="s">
        <v>154</v>
      </c>
      <c r="I288" s="17" t="s">
        <v>9</v>
      </c>
      <c r="J288" s="17"/>
      <c r="K288" s="64" t="s">
        <v>155</v>
      </c>
      <c r="L288" s="17"/>
      <c r="M288" s="65"/>
      <c r="N288" s="18"/>
      <c r="O288" s="65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>
      <c r="A289" s="74"/>
      <c r="B289" s="17">
        <v>2500.0</v>
      </c>
      <c r="C289" s="17" t="s">
        <v>154</v>
      </c>
      <c r="D289" s="68" t="s">
        <v>110</v>
      </c>
      <c r="E289" s="17" t="s">
        <v>241</v>
      </c>
      <c r="F289" s="64" t="s">
        <v>149</v>
      </c>
      <c r="G289" s="18"/>
      <c r="H289" s="18"/>
      <c r="I289" s="18"/>
      <c r="J289" s="18"/>
      <c r="K289" s="65"/>
      <c r="L289" s="17"/>
      <c r="M289" s="65"/>
      <c r="N289" s="18"/>
      <c r="O289" s="65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>
      <c r="A290" s="63">
        <v>45869.0</v>
      </c>
      <c r="B290" s="62">
        <v>40.0</v>
      </c>
      <c r="C290" s="17" t="s">
        <v>154</v>
      </c>
      <c r="D290" s="17" t="s">
        <v>145</v>
      </c>
      <c r="E290" s="17"/>
      <c r="F290" s="64" t="s">
        <v>155</v>
      </c>
      <c r="G290" s="18"/>
      <c r="H290" s="18"/>
      <c r="I290" s="18"/>
      <c r="J290" s="18"/>
      <c r="K290" s="65"/>
      <c r="L290" s="17"/>
      <c r="M290" s="65"/>
      <c r="N290" s="18"/>
      <c r="O290" s="65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>
      <c r="A291" s="70"/>
      <c r="B291" s="71"/>
      <c r="C291" s="14"/>
      <c r="D291" s="14"/>
      <c r="E291" s="14"/>
      <c r="F291" s="72"/>
      <c r="G291" s="71"/>
      <c r="H291" s="14"/>
      <c r="I291" s="14"/>
      <c r="J291" s="14"/>
      <c r="K291" s="72"/>
      <c r="L291" s="71"/>
      <c r="M291" s="72"/>
      <c r="N291" s="71"/>
      <c r="O291" s="72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>
      <c r="A292" s="70"/>
      <c r="B292" s="71"/>
      <c r="C292" s="14"/>
      <c r="D292" s="14"/>
      <c r="E292" s="14"/>
      <c r="F292" s="72"/>
      <c r="G292" s="71"/>
      <c r="H292" s="14"/>
      <c r="I292" s="14"/>
      <c r="J292" s="14"/>
      <c r="K292" s="72"/>
      <c r="L292" s="71"/>
      <c r="M292" s="72"/>
      <c r="N292" s="71"/>
      <c r="O292" s="72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>
      <c r="A293" s="75">
        <v>45870.0</v>
      </c>
      <c r="B293" s="17">
        <v>0.45</v>
      </c>
      <c r="C293" s="17" t="s">
        <v>154</v>
      </c>
      <c r="D293" s="68" t="s">
        <v>138</v>
      </c>
      <c r="E293" s="17"/>
      <c r="F293" s="64" t="s">
        <v>155</v>
      </c>
      <c r="G293" s="18"/>
      <c r="H293" s="18"/>
      <c r="I293" s="18"/>
      <c r="J293" s="18"/>
      <c r="K293" s="65"/>
      <c r="L293" s="17">
        <v>3000.0</v>
      </c>
      <c r="M293" s="65"/>
      <c r="N293" s="18"/>
      <c r="O293" s="65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>
      <c r="A294" s="75">
        <v>45872.0</v>
      </c>
      <c r="B294" s="17">
        <v>82.41</v>
      </c>
      <c r="C294" s="17" t="s">
        <v>154</v>
      </c>
      <c r="D294" s="17" t="s">
        <v>146</v>
      </c>
      <c r="E294" s="17"/>
      <c r="F294" s="64" t="s">
        <v>155</v>
      </c>
      <c r="G294" s="18"/>
      <c r="H294" s="18"/>
      <c r="I294" s="18"/>
      <c r="J294" s="18"/>
      <c r="K294" s="65"/>
      <c r="L294" s="17"/>
      <c r="M294" s="65"/>
      <c r="N294" s="18"/>
      <c r="O294" s="65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>
      <c r="A295" s="75">
        <v>45875.0</v>
      </c>
      <c r="B295" s="17">
        <v>0.45</v>
      </c>
      <c r="C295" s="17" t="s">
        <v>154</v>
      </c>
      <c r="D295" s="68" t="s">
        <v>138</v>
      </c>
      <c r="E295" s="17"/>
      <c r="F295" s="64" t="s">
        <v>155</v>
      </c>
      <c r="G295" s="17"/>
      <c r="H295" s="17"/>
      <c r="I295" s="17"/>
      <c r="J295" s="17"/>
      <c r="K295" s="64"/>
      <c r="L295" s="17">
        <v>5500.0</v>
      </c>
      <c r="M295" s="65"/>
      <c r="N295" s="18"/>
      <c r="O295" s="65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>
      <c r="A296" s="75">
        <v>45881.0</v>
      </c>
      <c r="B296" s="18"/>
      <c r="C296" s="18"/>
      <c r="D296" s="18"/>
      <c r="E296" s="18"/>
      <c r="F296" s="65"/>
      <c r="G296" s="17">
        <v>10135.0</v>
      </c>
      <c r="H296" s="17" t="s">
        <v>154</v>
      </c>
      <c r="I296" s="17" t="s">
        <v>160</v>
      </c>
      <c r="J296" s="17" t="s">
        <v>247</v>
      </c>
      <c r="K296" s="64" t="s">
        <v>155</v>
      </c>
      <c r="L296" s="17"/>
      <c r="M296" s="65"/>
      <c r="N296" s="18"/>
      <c r="O296" s="65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>
      <c r="A297" s="75">
        <v>45882.0</v>
      </c>
      <c r="B297" s="17">
        <v>285.0</v>
      </c>
      <c r="C297" s="17" t="s">
        <v>154</v>
      </c>
      <c r="D297" s="68" t="s">
        <v>141</v>
      </c>
      <c r="E297" s="17"/>
      <c r="F297" s="64" t="s">
        <v>155</v>
      </c>
      <c r="G297" s="18"/>
      <c r="H297" s="18"/>
      <c r="I297" s="18"/>
      <c r="J297" s="18"/>
      <c r="K297" s="65"/>
      <c r="L297" s="17"/>
      <c r="M297" s="65"/>
      <c r="N297" s="18"/>
      <c r="O297" s="65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>
      <c r="A298" s="74"/>
      <c r="B298" s="17">
        <v>0.51</v>
      </c>
      <c r="C298" s="17" t="s">
        <v>154</v>
      </c>
      <c r="D298" s="68" t="s">
        <v>139</v>
      </c>
      <c r="E298" s="17"/>
      <c r="F298" s="64" t="s">
        <v>155</v>
      </c>
      <c r="G298" s="18"/>
      <c r="H298" s="18"/>
      <c r="I298" s="18"/>
      <c r="J298" s="18"/>
      <c r="K298" s="76"/>
      <c r="L298" s="17"/>
      <c r="M298" s="65"/>
      <c r="N298" s="18"/>
      <c r="O298" s="76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>
      <c r="A299" s="74"/>
      <c r="B299" s="17">
        <v>370.0</v>
      </c>
      <c r="C299" s="17" t="s">
        <v>154</v>
      </c>
      <c r="D299" s="68" t="s">
        <v>141</v>
      </c>
      <c r="E299" s="17"/>
      <c r="F299" s="64" t="s">
        <v>155</v>
      </c>
      <c r="G299" s="18"/>
      <c r="H299" s="18"/>
      <c r="I299" s="18"/>
      <c r="J299" s="18"/>
      <c r="K299" s="76"/>
      <c r="L299" s="17"/>
      <c r="M299" s="65"/>
      <c r="N299" s="18"/>
      <c r="O299" s="76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>
      <c r="A300" s="74"/>
      <c r="B300" s="17">
        <v>0.51</v>
      </c>
      <c r="C300" s="17" t="s">
        <v>154</v>
      </c>
      <c r="D300" s="68" t="s">
        <v>139</v>
      </c>
      <c r="E300" s="17"/>
      <c r="F300" s="64" t="s">
        <v>155</v>
      </c>
      <c r="G300" s="18"/>
      <c r="H300" s="18"/>
      <c r="I300" s="18"/>
      <c r="J300" s="18"/>
      <c r="K300" s="76"/>
      <c r="L300" s="17"/>
      <c r="M300" s="65"/>
      <c r="N300" s="18"/>
      <c r="O300" s="76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>
      <c r="A301" s="74"/>
      <c r="B301" s="17">
        <v>148.0</v>
      </c>
      <c r="C301" s="17" t="s">
        <v>154</v>
      </c>
      <c r="D301" s="68" t="s">
        <v>141</v>
      </c>
      <c r="E301" s="17"/>
      <c r="F301" s="64" t="s">
        <v>155</v>
      </c>
      <c r="G301" s="18"/>
      <c r="H301" s="18"/>
      <c r="I301" s="18"/>
      <c r="J301" s="18"/>
      <c r="K301" s="76"/>
      <c r="L301" s="17"/>
      <c r="M301" s="65"/>
      <c r="N301" s="18"/>
      <c r="O301" s="65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>
      <c r="A302" s="74"/>
      <c r="B302" s="17">
        <v>0.51</v>
      </c>
      <c r="C302" s="17" t="s">
        <v>154</v>
      </c>
      <c r="D302" s="68" t="s">
        <v>139</v>
      </c>
      <c r="E302" s="17"/>
      <c r="F302" s="64" t="s">
        <v>155</v>
      </c>
      <c r="G302" s="18"/>
      <c r="H302" s="18"/>
      <c r="I302" s="18"/>
      <c r="J302" s="18"/>
      <c r="K302" s="76"/>
      <c r="L302" s="17"/>
      <c r="M302" s="76"/>
      <c r="N302" s="18"/>
      <c r="O302" s="65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>
      <c r="A303" s="74"/>
      <c r="B303" s="17">
        <v>3.0</v>
      </c>
      <c r="C303" s="17" t="s">
        <v>154</v>
      </c>
      <c r="D303" s="68" t="s">
        <v>141</v>
      </c>
      <c r="E303" s="17"/>
      <c r="F303" s="64" t="s">
        <v>155</v>
      </c>
      <c r="G303" s="18"/>
      <c r="H303" s="18"/>
      <c r="I303" s="18"/>
      <c r="J303" s="18"/>
      <c r="K303" s="76"/>
      <c r="L303" s="17"/>
      <c r="M303" s="76"/>
      <c r="N303" s="18"/>
      <c r="O303" s="65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>
      <c r="A304" s="77"/>
      <c r="B304" s="17">
        <v>5.0</v>
      </c>
      <c r="C304" s="17" t="s">
        <v>154</v>
      </c>
      <c r="D304" s="68" t="s">
        <v>139</v>
      </c>
      <c r="E304" s="17"/>
      <c r="F304" s="64" t="s">
        <v>155</v>
      </c>
      <c r="G304" s="18"/>
      <c r="H304" s="18"/>
      <c r="I304" s="18"/>
      <c r="J304" s="18"/>
      <c r="K304" s="65"/>
      <c r="L304" s="17"/>
      <c r="M304" s="76"/>
      <c r="N304" s="18"/>
      <c r="O304" s="76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>
      <c r="A305" s="77"/>
      <c r="B305" s="62">
        <v>15.0</v>
      </c>
      <c r="C305" s="17" t="s">
        <v>154</v>
      </c>
      <c r="D305" s="68" t="s">
        <v>143</v>
      </c>
      <c r="E305" s="17"/>
      <c r="F305" s="64" t="s">
        <v>155</v>
      </c>
      <c r="G305" s="18"/>
      <c r="H305" s="18"/>
      <c r="I305" s="18"/>
      <c r="J305" s="18"/>
      <c r="K305" s="65"/>
      <c r="L305" s="17"/>
      <c r="M305" s="76"/>
      <c r="N305" s="18"/>
      <c r="O305" s="76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>
      <c r="A306" s="77"/>
      <c r="B306" s="17">
        <v>5.0</v>
      </c>
      <c r="C306" s="17" t="s">
        <v>154</v>
      </c>
      <c r="D306" s="68" t="s">
        <v>139</v>
      </c>
      <c r="E306" s="17"/>
      <c r="F306" s="64" t="s">
        <v>155</v>
      </c>
      <c r="G306" s="18"/>
      <c r="H306" s="18"/>
      <c r="I306" s="18"/>
      <c r="J306" s="18"/>
      <c r="K306" s="65"/>
      <c r="L306" s="17"/>
      <c r="M306" s="76"/>
      <c r="N306" s="18"/>
      <c r="O306" s="76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>
      <c r="A307" s="75">
        <v>45884.0</v>
      </c>
      <c r="B307" s="17">
        <v>5.0</v>
      </c>
      <c r="C307" s="17" t="s">
        <v>154</v>
      </c>
      <c r="D307" s="68" t="s">
        <v>138</v>
      </c>
      <c r="E307" s="17"/>
      <c r="F307" s="64" t="s">
        <v>155</v>
      </c>
      <c r="G307" s="18"/>
      <c r="H307" s="18"/>
      <c r="I307" s="18"/>
      <c r="J307" s="18"/>
      <c r="K307" s="76"/>
      <c r="L307" s="17">
        <v>1500.0</v>
      </c>
      <c r="M307" s="65"/>
      <c r="N307" s="18"/>
      <c r="O307" s="65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>
      <c r="A308" s="78">
        <v>45885.0</v>
      </c>
      <c r="B308" s="17">
        <v>5.0</v>
      </c>
      <c r="C308" s="17" t="s">
        <v>154</v>
      </c>
      <c r="D308" s="68" t="s">
        <v>138</v>
      </c>
      <c r="E308" s="17"/>
      <c r="F308" s="64" t="s">
        <v>155</v>
      </c>
      <c r="G308" s="18"/>
      <c r="H308" s="18"/>
      <c r="I308" s="18"/>
      <c r="J308" s="18"/>
      <c r="K308" s="76"/>
      <c r="L308" s="17">
        <v>1500.0</v>
      </c>
      <c r="M308" s="65"/>
      <c r="N308" s="18"/>
      <c r="O308" s="76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>
      <c r="A309" s="78">
        <v>45888.0</v>
      </c>
      <c r="B309" s="17">
        <v>5.0</v>
      </c>
      <c r="C309" s="17" t="s">
        <v>154</v>
      </c>
      <c r="D309" s="68" t="s">
        <v>138</v>
      </c>
      <c r="E309" s="17"/>
      <c r="F309" s="64" t="s">
        <v>155</v>
      </c>
      <c r="G309" s="17">
        <v>25286.0</v>
      </c>
      <c r="H309" s="17" t="s">
        <v>154</v>
      </c>
      <c r="I309" s="17" t="s">
        <v>160</v>
      </c>
      <c r="J309" s="17" t="s">
        <v>248</v>
      </c>
      <c r="K309" s="64" t="s">
        <v>155</v>
      </c>
      <c r="L309" s="17">
        <v>1500.0</v>
      </c>
      <c r="M309" s="76"/>
      <c r="N309" s="18"/>
      <c r="O309" s="76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>
      <c r="A310" s="78">
        <v>45889.0</v>
      </c>
      <c r="B310" s="17">
        <v>5.0</v>
      </c>
      <c r="C310" s="17" t="s">
        <v>154</v>
      </c>
      <c r="D310" s="68" t="s">
        <v>138</v>
      </c>
      <c r="E310" s="17"/>
      <c r="F310" s="64" t="s">
        <v>155</v>
      </c>
      <c r="G310" s="18"/>
      <c r="H310" s="18"/>
      <c r="I310" s="18"/>
      <c r="J310" s="18"/>
      <c r="K310" s="76"/>
      <c r="L310" s="17">
        <v>5000.0</v>
      </c>
      <c r="M310" s="76"/>
      <c r="N310" s="18"/>
      <c r="O310" s="76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>
      <c r="A311" s="78">
        <v>45890.0</v>
      </c>
      <c r="B311" s="17">
        <v>5.0</v>
      </c>
      <c r="C311" s="17" t="s">
        <v>154</v>
      </c>
      <c r="D311" s="68" t="s">
        <v>138</v>
      </c>
      <c r="E311" s="17"/>
      <c r="F311" s="64" t="s">
        <v>155</v>
      </c>
      <c r="G311" s="18"/>
      <c r="H311" s="18"/>
      <c r="I311" s="18"/>
      <c r="J311" s="18"/>
      <c r="K311" s="76"/>
      <c r="L311" s="17">
        <v>7000.0</v>
      </c>
      <c r="M311" s="76"/>
      <c r="N311" s="18"/>
      <c r="O311" s="65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>
      <c r="A312" s="77"/>
      <c r="B312" s="17">
        <v>5.0</v>
      </c>
      <c r="C312" s="17" t="s">
        <v>154</v>
      </c>
      <c r="D312" s="68" t="s">
        <v>138</v>
      </c>
      <c r="E312" s="17"/>
      <c r="F312" s="64" t="s">
        <v>155</v>
      </c>
      <c r="G312" s="18"/>
      <c r="H312" s="18"/>
      <c r="I312" s="18"/>
      <c r="J312" s="18"/>
      <c r="K312" s="76"/>
      <c r="L312" s="17">
        <v>2800.0</v>
      </c>
      <c r="M312" s="76"/>
      <c r="N312" s="18"/>
      <c r="O312" s="65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>
      <c r="A313" s="78">
        <v>45895.0</v>
      </c>
      <c r="B313" s="17">
        <v>2710.0</v>
      </c>
      <c r="C313" s="17" t="s">
        <v>154</v>
      </c>
      <c r="D313" s="68" t="s">
        <v>157</v>
      </c>
      <c r="E313" s="17" t="s">
        <v>249</v>
      </c>
      <c r="F313" s="64" t="s">
        <v>155</v>
      </c>
      <c r="G313" s="18"/>
      <c r="H313" s="18"/>
      <c r="I313" s="18"/>
      <c r="J313" s="18"/>
      <c r="K313" s="76"/>
      <c r="L313" s="17">
        <v>6500.0</v>
      </c>
      <c r="M313" s="76"/>
      <c r="N313" s="18"/>
      <c r="O313" s="65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>
      <c r="A314" s="77"/>
      <c r="B314" s="17">
        <v>5.0</v>
      </c>
      <c r="C314" s="17" t="s">
        <v>154</v>
      </c>
      <c r="D314" s="68" t="s">
        <v>138</v>
      </c>
      <c r="E314" s="17"/>
      <c r="F314" s="64" t="s">
        <v>155</v>
      </c>
      <c r="G314" s="18"/>
      <c r="H314" s="18"/>
      <c r="I314" s="18"/>
      <c r="J314" s="18"/>
      <c r="K314" s="76"/>
      <c r="L314" s="17"/>
      <c r="M314" s="76"/>
      <c r="N314" s="18"/>
      <c r="O314" s="76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>
      <c r="A315" s="78">
        <v>45897.0</v>
      </c>
      <c r="B315" s="17">
        <v>5.0</v>
      </c>
      <c r="C315" s="17" t="s">
        <v>154</v>
      </c>
      <c r="D315" s="68" t="s">
        <v>138</v>
      </c>
      <c r="E315" s="17"/>
      <c r="F315" s="64" t="s">
        <v>155</v>
      </c>
      <c r="G315" s="18"/>
      <c r="H315" s="18"/>
      <c r="I315" s="18"/>
      <c r="J315" s="18"/>
      <c r="K315" s="65"/>
      <c r="L315" s="17">
        <v>1500.0</v>
      </c>
      <c r="M315" s="76"/>
      <c r="N315" s="18"/>
      <c r="O315" s="76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>
      <c r="A316" s="77"/>
      <c r="B316" s="17">
        <v>5.0</v>
      </c>
      <c r="C316" s="17" t="s">
        <v>154</v>
      </c>
      <c r="D316" s="68" t="s">
        <v>138</v>
      </c>
      <c r="E316" s="17"/>
      <c r="F316" s="64" t="s">
        <v>155</v>
      </c>
      <c r="G316" s="18"/>
      <c r="H316" s="18"/>
      <c r="I316" s="18"/>
      <c r="J316" s="18"/>
      <c r="K316" s="65"/>
      <c r="L316" s="17">
        <v>2000.0</v>
      </c>
      <c r="M316" s="76"/>
      <c r="N316" s="18"/>
      <c r="O316" s="76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>
      <c r="A317" s="75">
        <v>45900.0</v>
      </c>
      <c r="B317" s="62">
        <v>40.0</v>
      </c>
      <c r="C317" s="17" t="s">
        <v>154</v>
      </c>
      <c r="D317" s="17" t="s">
        <v>145</v>
      </c>
      <c r="E317" s="17"/>
      <c r="F317" s="64" t="s">
        <v>155</v>
      </c>
      <c r="G317" s="17">
        <v>15000.0</v>
      </c>
      <c r="H317" s="17" t="s">
        <v>154</v>
      </c>
      <c r="I317" s="17" t="s">
        <v>160</v>
      </c>
      <c r="J317" s="17" t="s">
        <v>250</v>
      </c>
      <c r="K317" s="64" t="s">
        <v>149</v>
      </c>
      <c r="L317" s="17"/>
      <c r="M317" s="65"/>
      <c r="N317" s="18"/>
      <c r="O317" s="65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>
      <c r="A318" s="70"/>
      <c r="B318" s="71"/>
      <c r="C318" s="14"/>
      <c r="D318" s="14"/>
      <c r="E318" s="14"/>
      <c r="F318" s="72"/>
      <c r="G318" s="71"/>
      <c r="H318" s="14"/>
      <c r="I318" s="14"/>
      <c r="J318" s="14"/>
      <c r="K318" s="72"/>
      <c r="L318" s="71"/>
      <c r="M318" s="72"/>
      <c r="N318" s="71"/>
      <c r="O318" s="72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>
      <c r="A319" s="70"/>
      <c r="B319" s="71"/>
      <c r="C319" s="14"/>
      <c r="D319" s="14"/>
      <c r="E319" s="14"/>
      <c r="F319" s="72"/>
      <c r="G319" s="71"/>
      <c r="H319" s="14"/>
      <c r="I319" s="14"/>
      <c r="J319" s="14"/>
      <c r="K319" s="72"/>
      <c r="L319" s="71"/>
      <c r="M319" s="72"/>
      <c r="N319" s="71"/>
      <c r="O319" s="72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>
      <c r="A320" s="75">
        <v>45901.0</v>
      </c>
      <c r="B320" s="17">
        <v>0.45</v>
      </c>
      <c r="C320" s="17" t="s">
        <v>154</v>
      </c>
      <c r="D320" s="68" t="s">
        <v>138</v>
      </c>
      <c r="E320" s="17"/>
      <c r="F320" s="64" t="s">
        <v>155</v>
      </c>
      <c r="G320" s="18"/>
      <c r="H320" s="18"/>
      <c r="I320" s="18"/>
      <c r="J320" s="18"/>
      <c r="K320" s="76"/>
      <c r="L320" s="17">
        <v>600.0</v>
      </c>
      <c r="M320" s="76"/>
      <c r="N320" s="18"/>
      <c r="O320" s="76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>
      <c r="A321" s="75">
        <v>45903.0</v>
      </c>
      <c r="B321" s="17">
        <v>0.45</v>
      </c>
      <c r="C321" s="17" t="s">
        <v>154</v>
      </c>
      <c r="D321" s="68" t="s">
        <v>138</v>
      </c>
      <c r="E321" s="17"/>
      <c r="F321" s="64" t="s">
        <v>155</v>
      </c>
      <c r="G321" s="18"/>
      <c r="H321" s="18"/>
      <c r="I321" s="18"/>
      <c r="J321" s="18"/>
      <c r="K321" s="76"/>
      <c r="L321" s="17">
        <v>1800.0</v>
      </c>
      <c r="M321" s="76"/>
      <c r="N321" s="18"/>
      <c r="O321" s="65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>
      <c r="A322" s="77"/>
      <c r="B322" s="17">
        <v>85.15</v>
      </c>
      <c r="C322" s="17" t="s">
        <v>154</v>
      </c>
      <c r="D322" s="17" t="s">
        <v>146</v>
      </c>
      <c r="E322" s="17"/>
      <c r="F322" s="64" t="s">
        <v>155</v>
      </c>
      <c r="G322" s="18"/>
      <c r="H322" s="18"/>
      <c r="I322" s="18"/>
      <c r="J322" s="18"/>
      <c r="K322" s="76"/>
      <c r="L322" s="17"/>
      <c r="M322" s="76"/>
      <c r="N322" s="18"/>
      <c r="O322" s="65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>
      <c r="A323" s="75">
        <v>45907.0</v>
      </c>
      <c r="B323" s="17">
        <v>2500.0</v>
      </c>
      <c r="C323" s="17" t="s">
        <v>154</v>
      </c>
      <c r="D323" s="17" t="s">
        <v>109</v>
      </c>
      <c r="E323" s="17" t="s">
        <v>251</v>
      </c>
      <c r="F323" s="64" t="s">
        <v>149</v>
      </c>
      <c r="G323" s="18"/>
      <c r="H323" s="18"/>
      <c r="I323" s="18"/>
      <c r="J323" s="18"/>
      <c r="K323" s="76"/>
      <c r="L323" s="17"/>
      <c r="M323" s="76"/>
      <c r="N323" s="17">
        <v>2400.0</v>
      </c>
      <c r="O323" s="65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>
      <c r="A324" s="77"/>
      <c r="B324" s="17">
        <v>2500.0</v>
      </c>
      <c r="C324" s="17" t="s">
        <v>154</v>
      </c>
      <c r="D324" s="17" t="s">
        <v>111</v>
      </c>
      <c r="E324" s="17" t="s">
        <v>251</v>
      </c>
      <c r="F324" s="64" t="s">
        <v>149</v>
      </c>
      <c r="G324" s="18"/>
      <c r="H324" s="18"/>
      <c r="I324" s="18"/>
      <c r="J324" s="18"/>
      <c r="K324" s="76"/>
      <c r="L324" s="17"/>
      <c r="M324" s="76"/>
      <c r="N324" s="18"/>
      <c r="O324" s="76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>
      <c r="A325" s="77"/>
      <c r="B325" s="17">
        <v>2500.0</v>
      </c>
      <c r="C325" s="17" t="s">
        <v>154</v>
      </c>
      <c r="D325" s="17" t="s">
        <v>110</v>
      </c>
      <c r="E325" s="17" t="s">
        <v>251</v>
      </c>
      <c r="F325" s="64" t="s">
        <v>149</v>
      </c>
      <c r="G325" s="18"/>
      <c r="H325" s="18"/>
      <c r="I325" s="18"/>
      <c r="J325" s="18"/>
      <c r="K325" s="65"/>
      <c r="L325" s="17"/>
      <c r="M325" s="76"/>
      <c r="N325" s="18"/>
      <c r="O325" s="76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>
      <c r="A326" s="77"/>
      <c r="B326" s="17">
        <v>2500.0</v>
      </c>
      <c r="C326" s="17" t="s">
        <v>154</v>
      </c>
      <c r="D326" s="17" t="s">
        <v>112</v>
      </c>
      <c r="E326" s="17" t="s">
        <v>251</v>
      </c>
      <c r="F326" s="64" t="s">
        <v>149</v>
      </c>
      <c r="G326" s="18"/>
      <c r="H326" s="18"/>
      <c r="I326" s="18"/>
      <c r="J326" s="18"/>
      <c r="K326" s="65"/>
      <c r="L326" s="17"/>
      <c r="M326" s="76"/>
      <c r="N326" s="18"/>
      <c r="O326" s="76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>
      <c r="A327" s="77"/>
      <c r="B327" s="17">
        <v>2500.0</v>
      </c>
      <c r="C327" s="17" t="s">
        <v>154</v>
      </c>
      <c r="D327" s="17" t="s">
        <v>113</v>
      </c>
      <c r="E327" s="17" t="s">
        <v>251</v>
      </c>
      <c r="F327" s="64" t="s">
        <v>149</v>
      </c>
      <c r="G327" s="18"/>
      <c r="H327" s="18"/>
      <c r="I327" s="18"/>
      <c r="J327" s="18"/>
      <c r="K327" s="65"/>
      <c r="L327" s="17"/>
      <c r="M327" s="76"/>
      <c r="N327" s="18"/>
      <c r="O327" s="65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>
      <c r="A328" s="77"/>
      <c r="B328" s="17">
        <v>600.0</v>
      </c>
      <c r="C328" s="17" t="s">
        <v>154</v>
      </c>
      <c r="D328" s="17" t="s">
        <v>85</v>
      </c>
      <c r="E328" s="17" t="s">
        <v>251</v>
      </c>
      <c r="F328" s="64" t="s">
        <v>149</v>
      </c>
      <c r="G328" s="79"/>
      <c r="H328" s="79"/>
      <c r="I328" s="79"/>
      <c r="J328" s="79"/>
      <c r="K328" s="76"/>
      <c r="L328" s="80"/>
      <c r="M328" s="76"/>
      <c r="N328" s="79"/>
      <c r="O328" s="76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>
      <c r="A329" s="77"/>
      <c r="B329" s="81">
        <v>2075.0</v>
      </c>
      <c r="C329" s="17" t="s">
        <v>154</v>
      </c>
      <c r="D329" s="17" t="s">
        <v>26</v>
      </c>
      <c r="E329" s="17" t="s">
        <v>251</v>
      </c>
      <c r="F329" s="64" t="s">
        <v>149</v>
      </c>
      <c r="G329" s="79"/>
      <c r="H329" s="79"/>
      <c r="I329" s="79"/>
      <c r="J329" s="79"/>
      <c r="K329" s="76"/>
      <c r="L329" s="80"/>
      <c r="M329" s="76"/>
      <c r="N329" s="79"/>
      <c r="O329" s="76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>
      <c r="A330" s="77"/>
      <c r="B330" s="81">
        <v>2075.0</v>
      </c>
      <c r="C330" s="17" t="s">
        <v>154</v>
      </c>
      <c r="D330" s="17" t="s">
        <v>27</v>
      </c>
      <c r="E330" s="17" t="s">
        <v>251</v>
      </c>
      <c r="F330" s="64" t="s">
        <v>149</v>
      </c>
      <c r="G330" s="79"/>
      <c r="H330" s="79"/>
      <c r="I330" s="79"/>
      <c r="J330" s="79"/>
      <c r="K330" s="76"/>
      <c r="L330" s="80"/>
      <c r="M330" s="76"/>
      <c r="N330" s="79"/>
      <c r="O330" s="76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>
      <c r="A331" s="77"/>
      <c r="B331" s="81">
        <v>2000.0</v>
      </c>
      <c r="C331" s="17" t="s">
        <v>154</v>
      </c>
      <c r="D331" s="17" t="s">
        <v>24</v>
      </c>
      <c r="E331" s="17" t="s">
        <v>251</v>
      </c>
      <c r="F331" s="64" t="s">
        <v>149</v>
      </c>
      <c r="G331" s="79"/>
      <c r="H331" s="79"/>
      <c r="I331" s="79"/>
      <c r="J331" s="79"/>
      <c r="K331" s="76"/>
      <c r="L331" s="80"/>
      <c r="M331" s="76"/>
      <c r="N331" s="79"/>
      <c r="O331" s="76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>
      <c r="A332" s="77"/>
      <c r="B332" s="17">
        <v>2500.0</v>
      </c>
      <c r="C332" s="17" t="s">
        <v>154</v>
      </c>
      <c r="D332" s="17" t="s">
        <v>109</v>
      </c>
      <c r="E332" s="17" t="s">
        <v>252</v>
      </c>
      <c r="F332" s="64" t="s">
        <v>149</v>
      </c>
      <c r="G332" s="79"/>
      <c r="H332" s="79"/>
      <c r="I332" s="79"/>
      <c r="J332" s="79"/>
      <c r="K332" s="76"/>
      <c r="L332" s="80"/>
      <c r="M332" s="76"/>
      <c r="N332" s="79"/>
      <c r="O332" s="76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>
      <c r="A333" s="77"/>
      <c r="B333" s="17">
        <v>2500.0</v>
      </c>
      <c r="C333" s="17" t="s">
        <v>154</v>
      </c>
      <c r="D333" s="17" t="s">
        <v>111</v>
      </c>
      <c r="E333" s="17" t="s">
        <v>252</v>
      </c>
      <c r="F333" s="64" t="s">
        <v>149</v>
      </c>
      <c r="G333" s="79"/>
      <c r="H333" s="79"/>
      <c r="I333" s="79"/>
      <c r="J333" s="79"/>
      <c r="K333" s="76"/>
      <c r="L333" s="80"/>
      <c r="M333" s="76"/>
      <c r="N333" s="79"/>
      <c r="O333" s="76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>
      <c r="A334" s="77"/>
      <c r="B334" s="17">
        <v>2500.0</v>
      </c>
      <c r="C334" s="17" t="s">
        <v>154</v>
      </c>
      <c r="D334" s="17" t="s">
        <v>110</v>
      </c>
      <c r="E334" s="17" t="s">
        <v>252</v>
      </c>
      <c r="F334" s="64" t="s">
        <v>149</v>
      </c>
      <c r="G334" s="79"/>
      <c r="H334" s="79"/>
      <c r="I334" s="79"/>
      <c r="J334" s="79"/>
      <c r="K334" s="76"/>
      <c r="L334" s="80"/>
      <c r="M334" s="76"/>
      <c r="N334" s="79"/>
      <c r="O334" s="76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>
      <c r="A335" s="77"/>
      <c r="B335" s="17">
        <v>2500.0</v>
      </c>
      <c r="C335" s="17" t="s">
        <v>154</v>
      </c>
      <c r="D335" s="17" t="s">
        <v>112</v>
      </c>
      <c r="E335" s="17" t="s">
        <v>252</v>
      </c>
      <c r="F335" s="64" t="s">
        <v>149</v>
      </c>
      <c r="G335" s="79"/>
      <c r="H335" s="79"/>
      <c r="I335" s="79"/>
      <c r="J335" s="79"/>
      <c r="K335" s="76"/>
      <c r="L335" s="80"/>
      <c r="M335" s="76"/>
      <c r="N335" s="79"/>
      <c r="O335" s="76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>
      <c r="A336" s="77"/>
      <c r="B336" s="17">
        <v>2500.0</v>
      </c>
      <c r="C336" s="17" t="s">
        <v>154</v>
      </c>
      <c r="D336" s="17" t="s">
        <v>113</v>
      </c>
      <c r="E336" s="17" t="s">
        <v>252</v>
      </c>
      <c r="F336" s="64" t="s">
        <v>149</v>
      </c>
      <c r="G336" s="79"/>
      <c r="H336" s="79"/>
      <c r="I336" s="79"/>
      <c r="J336" s="79"/>
      <c r="K336" s="76"/>
      <c r="L336" s="80"/>
      <c r="M336" s="76"/>
      <c r="N336" s="79"/>
      <c r="O336" s="76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>
      <c r="A337" s="77"/>
      <c r="B337" s="17">
        <v>1250.0</v>
      </c>
      <c r="C337" s="17" t="s">
        <v>154</v>
      </c>
      <c r="D337" s="17" t="s">
        <v>112</v>
      </c>
      <c r="E337" s="17" t="s">
        <v>247</v>
      </c>
      <c r="F337" s="64" t="s">
        <v>149</v>
      </c>
      <c r="G337" s="18"/>
      <c r="H337" s="18"/>
      <c r="I337" s="18"/>
      <c r="J337" s="18"/>
      <c r="K337" s="65"/>
      <c r="L337" s="17"/>
      <c r="M337" s="76"/>
      <c r="N337" s="18"/>
      <c r="O337" s="65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>
      <c r="A338" s="77"/>
      <c r="B338" s="17">
        <v>1500.0</v>
      </c>
      <c r="C338" s="17" t="s">
        <v>154</v>
      </c>
      <c r="D338" s="17" t="s">
        <v>24</v>
      </c>
      <c r="E338" s="17" t="s">
        <v>253</v>
      </c>
      <c r="F338" s="82" t="s">
        <v>149</v>
      </c>
      <c r="G338" s="79"/>
      <c r="H338" s="79"/>
      <c r="I338" s="79"/>
      <c r="J338" s="79"/>
      <c r="K338" s="76"/>
      <c r="L338" s="80"/>
      <c r="M338" s="76"/>
      <c r="N338" s="79"/>
      <c r="O338" s="76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>
      <c r="A339" s="77"/>
      <c r="B339" s="81">
        <v>1500.0</v>
      </c>
      <c r="C339" s="17" t="s">
        <v>154</v>
      </c>
      <c r="D339" s="17" t="s">
        <v>24</v>
      </c>
      <c r="E339" s="17" t="s">
        <v>253</v>
      </c>
      <c r="F339" s="82" t="s">
        <v>149</v>
      </c>
      <c r="G339" s="79"/>
      <c r="H339" s="79"/>
      <c r="I339" s="79"/>
      <c r="J339" s="79"/>
      <c r="K339" s="76"/>
      <c r="L339" s="80"/>
      <c r="M339" s="76"/>
      <c r="N339" s="79"/>
      <c r="O339" s="76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>
      <c r="A340" s="77"/>
      <c r="B340" s="81">
        <v>700.0</v>
      </c>
      <c r="C340" s="17" t="s">
        <v>154</v>
      </c>
      <c r="D340" s="17" t="s">
        <v>85</v>
      </c>
      <c r="E340" s="17" t="s">
        <v>254</v>
      </c>
      <c r="F340" s="82" t="s">
        <v>149</v>
      </c>
      <c r="G340" s="79"/>
      <c r="H340" s="79"/>
      <c r="I340" s="79"/>
      <c r="J340" s="79"/>
      <c r="K340" s="76"/>
      <c r="L340" s="80"/>
      <c r="M340" s="76"/>
      <c r="N340" s="79"/>
      <c r="O340" s="76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>
      <c r="A341" s="77"/>
      <c r="B341" s="81">
        <v>1450.0</v>
      </c>
      <c r="C341" s="17" t="s">
        <v>204</v>
      </c>
      <c r="D341" s="17" t="s">
        <v>219</v>
      </c>
      <c r="E341" s="17"/>
      <c r="F341" s="82" t="s">
        <v>149</v>
      </c>
      <c r="G341" s="81">
        <v>7250.0</v>
      </c>
      <c r="H341" s="17" t="s">
        <v>154</v>
      </c>
      <c r="I341" s="17" t="s">
        <v>157</v>
      </c>
      <c r="J341" s="17" t="s">
        <v>219</v>
      </c>
      <c r="K341" s="64" t="s">
        <v>149</v>
      </c>
      <c r="L341" s="80"/>
      <c r="M341" s="76"/>
      <c r="N341" s="79"/>
      <c r="O341" s="76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>
      <c r="A342" s="77"/>
      <c r="B342" s="17">
        <v>2800.0</v>
      </c>
      <c r="C342" s="17" t="s">
        <v>154</v>
      </c>
      <c r="D342" s="17" t="s">
        <v>110</v>
      </c>
      <c r="E342" s="17" t="s">
        <v>255</v>
      </c>
      <c r="F342" s="82" t="s">
        <v>149</v>
      </c>
      <c r="G342" s="79"/>
      <c r="H342" s="79"/>
      <c r="I342" s="79"/>
      <c r="J342" s="79"/>
      <c r="K342" s="76"/>
      <c r="L342" s="80"/>
      <c r="M342" s="76"/>
      <c r="N342" s="79"/>
      <c r="O342" s="76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>
      <c r="A343" s="77"/>
      <c r="B343" s="17">
        <v>4200.0</v>
      </c>
      <c r="C343" s="17" t="s">
        <v>154</v>
      </c>
      <c r="D343" s="17" t="s">
        <v>111</v>
      </c>
      <c r="E343" s="17" t="s">
        <v>255</v>
      </c>
      <c r="F343" s="82" t="s">
        <v>149</v>
      </c>
      <c r="G343" s="79"/>
      <c r="H343" s="79"/>
      <c r="I343" s="79"/>
      <c r="J343" s="79"/>
      <c r="K343" s="76"/>
      <c r="L343" s="80"/>
      <c r="M343" s="76"/>
      <c r="N343" s="79"/>
      <c r="O343" s="76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>
      <c r="A344" s="77"/>
      <c r="B344" s="17">
        <v>4500.0</v>
      </c>
      <c r="C344" s="17" t="s">
        <v>154</v>
      </c>
      <c r="D344" s="68" t="s">
        <v>157</v>
      </c>
      <c r="E344" s="17" t="s">
        <v>256</v>
      </c>
      <c r="F344" s="82" t="s">
        <v>149</v>
      </c>
      <c r="G344" s="79"/>
      <c r="H344" s="79"/>
      <c r="I344" s="79"/>
      <c r="J344" s="79"/>
      <c r="K344" s="76"/>
      <c r="L344" s="80"/>
      <c r="M344" s="76"/>
      <c r="N344" s="79"/>
      <c r="O344" s="76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>
      <c r="A345" s="77"/>
      <c r="B345" s="17">
        <v>500.0</v>
      </c>
      <c r="C345" s="17" t="s">
        <v>154</v>
      </c>
      <c r="D345" s="68" t="s">
        <v>157</v>
      </c>
      <c r="E345" s="17" t="s">
        <v>256</v>
      </c>
      <c r="F345" s="82" t="s">
        <v>149</v>
      </c>
      <c r="G345" s="79"/>
      <c r="H345" s="79"/>
      <c r="I345" s="79"/>
      <c r="J345" s="79"/>
      <c r="K345" s="76"/>
      <c r="L345" s="80"/>
      <c r="M345" s="76"/>
      <c r="N345" s="79"/>
      <c r="O345" s="76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>
      <c r="A346" s="75">
        <v>45910.0</v>
      </c>
      <c r="B346" s="17">
        <v>1250.0</v>
      </c>
      <c r="C346" s="17" t="s">
        <v>154</v>
      </c>
      <c r="D346" s="17" t="s">
        <v>110</v>
      </c>
      <c r="E346" s="17" t="s">
        <v>257</v>
      </c>
      <c r="F346" s="82" t="s">
        <v>149</v>
      </c>
      <c r="G346" s="79"/>
      <c r="H346" s="79"/>
      <c r="I346" s="79"/>
      <c r="J346" s="79"/>
      <c r="K346" s="76"/>
      <c r="L346" s="81">
        <v>2000.0</v>
      </c>
      <c r="M346" s="76"/>
      <c r="N346" s="79"/>
      <c r="O346" s="76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>
      <c r="A347" s="77"/>
      <c r="B347" s="81">
        <v>1500.0</v>
      </c>
      <c r="C347" s="17" t="s">
        <v>154</v>
      </c>
      <c r="D347" s="17" t="s">
        <v>110</v>
      </c>
      <c r="E347" s="17" t="s">
        <v>258</v>
      </c>
      <c r="F347" s="82" t="s">
        <v>149</v>
      </c>
      <c r="G347" s="79"/>
      <c r="H347" s="79"/>
      <c r="I347" s="79"/>
      <c r="J347" s="79"/>
      <c r="K347" s="76"/>
      <c r="L347" s="80"/>
      <c r="M347" s="76"/>
      <c r="N347" s="79"/>
      <c r="O347" s="76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>
      <c r="A348" s="77"/>
      <c r="B348" s="81">
        <v>1500.0</v>
      </c>
      <c r="C348" s="17" t="s">
        <v>154</v>
      </c>
      <c r="D348" s="68" t="s">
        <v>157</v>
      </c>
      <c r="E348" s="17" t="s">
        <v>259</v>
      </c>
      <c r="F348" s="82" t="s">
        <v>149</v>
      </c>
      <c r="G348" s="79"/>
      <c r="H348" s="79"/>
      <c r="I348" s="79"/>
      <c r="J348" s="79"/>
      <c r="K348" s="76"/>
      <c r="L348" s="80"/>
      <c r="M348" s="76"/>
      <c r="N348" s="79"/>
      <c r="O348" s="76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>
      <c r="A349" s="77"/>
      <c r="B349" s="17">
        <v>1250.0</v>
      </c>
      <c r="C349" s="17" t="s">
        <v>154</v>
      </c>
      <c r="D349" s="17" t="s">
        <v>109</v>
      </c>
      <c r="E349" s="17" t="s">
        <v>257</v>
      </c>
      <c r="F349" s="82" t="s">
        <v>149</v>
      </c>
      <c r="G349" s="79"/>
      <c r="H349" s="79"/>
      <c r="I349" s="79"/>
      <c r="J349" s="79"/>
      <c r="K349" s="76"/>
      <c r="L349" s="80"/>
      <c r="M349" s="76"/>
      <c r="N349" s="79"/>
      <c r="O349" s="76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>
      <c r="A350" s="77"/>
      <c r="B350" s="81">
        <v>1500.0</v>
      </c>
      <c r="C350" s="17" t="s">
        <v>154</v>
      </c>
      <c r="D350" s="17" t="s">
        <v>109</v>
      </c>
      <c r="E350" s="17" t="s">
        <v>258</v>
      </c>
      <c r="F350" s="82" t="s">
        <v>149</v>
      </c>
      <c r="G350" s="79"/>
      <c r="H350" s="79"/>
      <c r="I350" s="79"/>
      <c r="J350" s="79"/>
      <c r="K350" s="76"/>
      <c r="L350" s="80"/>
      <c r="M350" s="76"/>
      <c r="N350" s="79"/>
      <c r="O350" s="76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>
      <c r="A351" s="75">
        <v>45914.0</v>
      </c>
      <c r="B351" s="81">
        <v>1500.0</v>
      </c>
      <c r="C351" s="17" t="s">
        <v>154</v>
      </c>
      <c r="D351" s="17" t="s">
        <v>109</v>
      </c>
      <c r="E351" s="17" t="s">
        <v>258</v>
      </c>
      <c r="F351" s="82" t="s">
        <v>149</v>
      </c>
      <c r="K351" s="76"/>
      <c r="L351" s="80"/>
      <c r="M351" s="76"/>
      <c r="N351" s="79"/>
      <c r="O351" s="76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>
      <c r="A352" s="77"/>
      <c r="B352" s="17">
        <v>1200.0</v>
      </c>
      <c r="C352" s="17" t="s">
        <v>154</v>
      </c>
      <c r="D352" s="17" t="s">
        <v>113</v>
      </c>
      <c r="E352" s="17" t="s">
        <v>257</v>
      </c>
      <c r="F352" s="82" t="s">
        <v>149</v>
      </c>
      <c r="G352" s="79"/>
      <c r="H352" s="79"/>
      <c r="I352" s="79"/>
      <c r="J352" s="79"/>
      <c r="K352" s="76"/>
      <c r="L352" s="80"/>
      <c r="M352" s="76"/>
      <c r="N352" s="79"/>
      <c r="O352" s="76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>
      <c r="A353" s="75">
        <v>45916.0</v>
      </c>
      <c r="B353" s="17">
        <v>0.45</v>
      </c>
      <c r="C353" s="17" t="s">
        <v>154</v>
      </c>
      <c r="D353" s="68" t="s">
        <v>138</v>
      </c>
      <c r="E353" s="17"/>
      <c r="F353" s="64" t="s">
        <v>155</v>
      </c>
      <c r="G353" s="81">
        <v>10000.0</v>
      </c>
      <c r="H353" s="17" t="s">
        <v>154</v>
      </c>
      <c r="I353" s="17" t="s">
        <v>160</v>
      </c>
      <c r="J353" s="17" t="s">
        <v>89</v>
      </c>
      <c r="K353" s="64" t="s">
        <v>149</v>
      </c>
      <c r="L353" s="81">
        <v>2500.0</v>
      </c>
      <c r="M353" s="76"/>
      <c r="N353" s="79"/>
      <c r="O353" s="76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>
      <c r="A354" s="75">
        <v>45918.0</v>
      </c>
      <c r="B354" s="81">
        <v>2500.0</v>
      </c>
      <c r="C354" s="17" t="s">
        <v>154</v>
      </c>
      <c r="D354" s="17" t="s">
        <v>113</v>
      </c>
      <c r="E354" s="17" t="s">
        <v>260</v>
      </c>
      <c r="F354" s="82" t="s">
        <v>149</v>
      </c>
      <c r="G354" s="81">
        <v>3450.0</v>
      </c>
      <c r="H354" s="17" t="s">
        <v>204</v>
      </c>
      <c r="I354" s="17" t="s">
        <v>160</v>
      </c>
      <c r="J354" s="17" t="s">
        <v>260</v>
      </c>
      <c r="K354" s="64" t="s">
        <v>149</v>
      </c>
      <c r="L354" s="81">
        <v>5000.0</v>
      </c>
      <c r="M354" s="76"/>
      <c r="N354" s="79"/>
      <c r="O354" s="76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>
      <c r="A355" s="77"/>
      <c r="B355" s="81">
        <v>2500.0</v>
      </c>
      <c r="C355" s="17" t="s">
        <v>154</v>
      </c>
      <c r="D355" s="17" t="s">
        <v>110</v>
      </c>
      <c r="E355" s="17" t="s">
        <v>260</v>
      </c>
      <c r="F355" s="82" t="s">
        <v>149</v>
      </c>
      <c r="G355" s="81">
        <v>14750.0</v>
      </c>
      <c r="H355" s="17" t="s">
        <v>154</v>
      </c>
      <c r="I355" s="17" t="s">
        <v>157</v>
      </c>
      <c r="J355" s="17" t="s">
        <v>219</v>
      </c>
      <c r="K355" s="64" t="s">
        <v>149</v>
      </c>
      <c r="L355" s="80"/>
      <c r="M355" s="76"/>
      <c r="N355" s="79"/>
      <c r="O355" s="76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>
      <c r="A356" s="77"/>
      <c r="B356" s="81">
        <v>1100.0</v>
      </c>
      <c r="C356" s="17" t="s">
        <v>154</v>
      </c>
      <c r="D356" s="17" t="s">
        <v>24</v>
      </c>
      <c r="E356" s="17" t="s">
        <v>260</v>
      </c>
      <c r="F356" s="82"/>
      <c r="G356" s="79"/>
      <c r="H356" s="79"/>
      <c r="I356" s="79"/>
      <c r="J356" s="79"/>
      <c r="K356" s="76"/>
      <c r="L356" s="80"/>
      <c r="M356" s="76"/>
      <c r="N356" s="79"/>
      <c r="O356" s="76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>
      <c r="A357" s="77"/>
      <c r="B357" s="81">
        <v>3450.0</v>
      </c>
      <c r="C357" s="17" t="s">
        <v>204</v>
      </c>
      <c r="D357" s="17" t="s">
        <v>219</v>
      </c>
      <c r="E357" s="17"/>
      <c r="F357" s="82" t="s">
        <v>149</v>
      </c>
      <c r="G357" s="79"/>
      <c r="H357" s="79"/>
      <c r="I357" s="79"/>
      <c r="J357" s="79"/>
      <c r="K357" s="76"/>
      <c r="L357" s="80"/>
      <c r="M357" s="76"/>
      <c r="N357" s="79"/>
      <c r="O357" s="76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>
      <c r="A358" s="77"/>
      <c r="B358" s="17">
        <v>1250.0</v>
      </c>
      <c r="C358" s="17" t="s">
        <v>154</v>
      </c>
      <c r="D358" s="17" t="s">
        <v>112</v>
      </c>
      <c r="E358" s="17" t="s">
        <v>257</v>
      </c>
      <c r="F358" s="82" t="s">
        <v>149</v>
      </c>
      <c r="G358" s="79"/>
      <c r="H358" s="79"/>
      <c r="I358" s="79"/>
      <c r="J358" s="79"/>
      <c r="K358" s="76"/>
      <c r="L358" s="80"/>
      <c r="M358" s="76"/>
      <c r="N358" s="79"/>
      <c r="O358" s="76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>
      <c r="A359" s="77"/>
      <c r="B359" s="81">
        <v>1500.0</v>
      </c>
      <c r="C359" s="17" t="s">
        <v>154</v>
      </c>
      <c r="D359" s="17" t="s">
        <v>112</v>
      </c>
      <c r="E359" s="17" t="s">
        <v>258</v>
      </c>
      <c r="F359" s="82" t="s">
        <v>149</v>
      </c>
      <c r="G359" s="79"/>
      <c r="H359" s="79"/>
      <c r="I359" s="79"/>
      <c r="J359" s="79"/>
      <c r="K359" s="76"/>
      <c r="L359" s="80"/>
      <c r="M359" s="76"/>
      <c r="N359" s="79"/>
      <c r="O359" s="76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>
      <c r="A360" s="77"/>
      <c r="B360" s="81">
        <v>2500.0</v>
      </c>
      <c r="C360" s="17" t="s">
        <v>154</v>
      </c>
      <c r="D360" s="17" t="s">
        <v>112</v>
      </c>
      <c r="E360" s="17" t="s">
        <v>260</v>
      </c>
      <c r="F360" s="82" t="s">
        <v>149</v>
      </c>
      <c r="G360" s="79"/>
      <c r="H360" s="79"/>
      <c r="I360" s="79"/>
      <c r="J360" s="79"/>
      <c r="K360" s="76"/>
      <c r="L360" s="80"/>
      <c r="M360" s="76"/>
      <c r="N360" s="79"/>
      <c r="O360" s="76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>
      <c r="A361" s="77"/>
      <c r="B361" s="17">
        <v>0.45</v>
      </c>
      <c r="C361" s="17" t="s">
        <v>154</v>
      </c>
      <c r="D361" s="68" t="s">
        <v>138</v>
      </c>
      <c r="E361" s="17"/>
      <c r="F361" s="64" t="s">
        <v>155</v>
      </c>
      <c r="G361" s="79"/>
      <c r="H361" s="79"/>
      <c r="I361" s="79"/>
      <c r="J361" s="79"/>
      <c r="K361" s="76"/>
      <c r="L361" s="80"/>
      <c r="M361" s="76"/>
      <c r="N361" s="79"/>
      <c r="O361" s="76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>
      <c r="A362" s="77"/>
      <c r="B362" s="17">
        <v>5.0</v>
      </c>
      <c r="C362" s="17" t="s">
        <v>154</v>
      </c>
      <c r="D362" s="68" t="s">
        <v>139</v>
      </c>
      <c r="E362" s="17"/>
      <c r="F362" s="64" t="s">
        <v>155</v>
      </c>
      <c r="G362" s="79"/>
      <c r="H362" s="79"/>
      <c r="I362" s="79"/>
      <c r="J362" s="79"/>
      <c r="K362" s="76"/>
      <c r="L362" s="80"/>
      <c r="M362" s="76"/>
      <c r="N362" s="79"/>
      <c r="O362" s="76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>
      <c r="A363" s="75">
        <v>45922.0</v>
      </c>
      <c r="B363" s="17">
        <v>5.0</v>
      </c>
      <c r="C363" s="17" t="s">
        <v>154</v>
      </c>
      <c r="D363" s="68" t="s">
        <v>139</v>
      </c>
      <c r="E363" s="17"/>
      <c r="F363" s="64" t="s">
        <v>155</v>
      </c>
      <c r="G363" s="79"/>
      <c r="H363" s="79"/>
      <c r="I363" s="79"/>
      <c r="J363" s="79"/>
      <c r="K363" s="76"/>
      <c r="L363" s="81">
        <v>500.0</v>
      </c>
      <c r="M363" s="76"/>
      <c r="O363" s="76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>
      <c r="A364" s="75">
        <v>45925.0</v>
      </c>
      <c r="B364" s="81">
        <v>2500.0</v>
      </c>
      <c r="C364" s="17" t="s">
        <v>154</v>
      </c>
      <c r="D364" s="17" t="s">
        <v>112</v>
      </c>
      <c r="E364" s="17" t="s">
        <v>261</v>
      </c>
      <c r="F364" s="82" t="s">
        <v>149</v>
      </c>
      <c r="G364" s="81">
        <v>17500.0</v>
      </c>
      <c r="H364" s="17" t="s">
        <v>154</v>
      </c>
      <c r="I364" s="17" t="s">
        <v>160</v>
      </c>
      <c r="J364" s="17" t="s">
        <v>261</v>
      </c>
      <c r="K364" s="64" t="s">
        <v>149</v>
      </c>
      <c r="L364" s="80"/>
      <c r="M364" s="76"/>
      <c r="N364" s="79"/>
      <c r="O364" s="76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>
      <c r="A365" s="77"/>
      <c r="B365" s="81">
        <v>2500.0</v>
      </c>
      <c r="C365" s="17" t="s">
        <v>154</v>
      </c>
      <c r="D365" s="17" t="s">
        <v>113</v>
      </c>
      <c r="E365" s="17" t="s">
        <v>261</v>
      </c>
      <c r="F365" s="82" t="s">
        <v>149</v>
      </c>
      <c r="G365" s="79"/>
      <c r="H365" s="79"/>
      <c r="I365" s="79"/>
      <c r="J365" s="79"/>
      <c r="K365" s="76"/>
      <c r="L365" s="80"/>
      <c r="M365" s="76"/>
      <c r="N365" s="79"/>
      <c r="O365" s="76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>
      <c r="A366" s="77"/>
      <c r="B366" s="81">
        <v>2500.0</v>
      </c>
      <c r="C366" s="17" t="s">
        <v>154</v>
      </c>
      <c r="D366" s="17" t="s">
        <v>109</v>
      </c>
      <c r="E366" s="17" t="s">
        <v>261</v>
      </c>
      <c r="F366" s="82" t="s">
        <v>149</v>
      </c>
      <c r="G366" s="79"/>
      <c r="H366" s="79"/>
      <c r="I366" s="79"/>
      <c r="J366" s="79"/>
      <c r="K366" s="76"/>
      <c r="L366" s="80"/>
      <c r="M366" s="76"/>
      <c r="N366" s="79"/>
      <c r="O366" s="76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>
      <c r="A367" s="77"/>
      <c r="B367" s="81">
        <v>2500.0</v>
      </c>
      <c r="C367" s="17" t="s">
        <v>154</v>
      </c>
      <c r="D367" s="17" t="s">
        <v>110</v>
      </c>
      <c r="E367" s="17" t="s">
        <v>261</v>
      </c>
      <c r="F367" s="82" t="s">
        <v>149</v>
      </c>
      <c r="G367" s="79"/>
      <c r="H367" s="79"/>
      <c r="I367" s="79"/>
      <c r="J367" s="79"/>
      <c r="K367" s="76"/>
      <c r="L367" s="80"/>
      <c r="M367" s="76"/>
      <c r="N367" s="79"/>
      <c r="O367" s="76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>
      <c r="A368" s="77"/>
      <c r="B368" s="81">
        <v>1000.0</v>
      </c>
      <c r="C368" s="17" t="s">
        <v>154</v>
      </c>
      <c r="D368" s="17" t="s">
        <v>24</v>
      </c>
      <c r="E368" s="17" t="s">
        <v>261</v>
      </c>
      <c r="F368" s="82" t="s">
        <v>149</v>
      </c>
      <c r="G368" s="79"/>
      <c r="H368" s="79"/>
      <c r="I368" s="79"/>
      <c r="J368" s="79"/>
      <c r="K368" s="76"/>
      <c r="L368" s="80"/>
      <c r="M368" s="76"/>
      <c r="N368" s="79"/>
      <c r="O368" s="76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>
      <c r="A369" s="77"/>
      <c r="B369" s="81">
        <v>1500.0</v>
      </c>
      <c r="C369" s="17" t="s">
        <v>154</v>
      </c>
      <c r="D369" s="17" t="s">
        <v>111</v>
      </c>
      <c r="E369" s="17" t="s">
        <v>262</v>
      </c>
      <c r="F369" s="82" t="s">
        <v>149</v>
      </c>
      <c r="G369" s="79"/>
      <c r="H369" s="79"/>
      <c r="I369" s="79"/>
      <c r="J369" s="79"/>
      <c r="K369" s="76"/>
      <c r="L369" s="80"/>
      <c r="M369" s="76"/>
      <c r="N369" s="79"/>
      <c r="O369" s="76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>
      <c r="A370" s="77"/>
      <c r="B370" s="81">
        <v>1250.0</v>
      </c>
      <c r="C370" s="17" t="s">
        <v>154</v>
      </c>
      <c r="D370" s="17" t="s">
        <v>111</v>
      </c>
      <c r="E370" s="17" t="s">
        <v>257</v>
      </c>
      <c r="F370" s="82" t="s">
        <v>149</v>
      </c>
      <c r="G370" s="79"/>
      <c r="H370" s="79"/>
      <c r="I370" s="79"/>
      <c r="J370" s="79"/>
      <c r="K370" s="76"/>
      <c r="L370" s="80"/>
      <c r="M370" s="76"/>
      <c r="N370" s="79"/>
      <c r="O370" s="76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>
      <c r="A371" s="77"/>
      <c r="B371" s="81">
        <v>2500.0</v>
      </c>
      <c r="C371" s="17" t="s">
        <v>154</v>
      </c>
      <c r="D371" s="17" t="s">
        <v>111</v>
      </c>
      <c r="E371" s="17" t="s">
        <v>260</v>
      </c>
      <c r="F371" s="82" t="s">
        <v>149</v>
      </c>
      <c r="G371" s="79"/>
      <c r="H371" s="79"/>
      <c r="I371" s="79"/>
      <c r="J371" s="79"/>
      <c r="K371" s="76"/>
      <c r="L371" s="80"/>
      <c r="M371" s="76"/>
      <c r="N371" s="79"/>
      <c r="O371" s="76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>
      <c r="A372" s="77"/>
      <c r="B372" s="81">
        <v>2500.0</v>
      </c>
      <c r="C372" s="17" t="s">
        <v>154</v>
      </c>
      <c r="D372" s="17" t="s">
        <v>111</v>
      </c>
      <c r="E372" s="17" t="s">
        <v>261</v>
      </c>
      <c r="F372" s="82" t="s">
        <v>149</v>
      </c>
      <c r="G372" s="79"/>
      <c r="H372" s="79"/>
      <c r="I372" s="79"/>
      <c r="J372" s="79"/>
      <c r="K372" s="76"/>
      <c r="L372" s="80"/>
      <c r="M372" s="76"/>
      <c r="N372" s="79"/>
      <c r="O372" s="76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>
      <c r="A373" s="75">
        <v>45926.0</v>
      </c>
      <c r="B373" s="81"/>
      <c r="C373" s="17"/>
      <c r="D373" s="17"/>
      <c r="E373" s="17"/>
      <c r="F373" s="82"/>
      <c r="G373" s="79"/>
      <c r="H373" s="79"/>
      <c r="I373" s="79"/>
      <c r="J373" s="79"/>
      <c r="K373" s="76"/>
      <c r="L373" s="80"/>
      <c r="M373" s="76"/>
      <c r="N373" s="81">
        <v>16800.0</v>
      </c>
      <c r="O373" s="76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>
      <c r="A374" s="75">
        <v>45927.0</v>
      </c>
      <c r="B374" s="81">
        <v>5.0</v>
      </c>
      <c r="C374" s="17" t="s">
        <v>154</v>
      </c>
      <c r="D374" s="68" t="s">
        <v>139</v>
      </c>
      <c r="E374" s="17"/>
      <c r="F374" s="64" t="s">
        <v>155</v>
      </c>
      <c r="G374" s="79"/>
      <c r="H374" s="79"/>
      <c r="I374" s="79"/>
      <c r="J374" s="79"/>
      <c r="K374" s="76"/>
      <c r="L374" s="80"/>
      <c r="M374" s="76"/>
      <c r="N374" s="81"/>
      <c r="O374" s="76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>
      <c r="A375" s="75">
        <v>45929.0</v>
      </c>
      <c r="B375" s="81">
        <v>500.0</v>
      </c>
      <c r="C375" s="17" t="s">
        <v>204</v>
      </c>
      <c r="D375" s="17" t="s">
        <v>113</v>
      </c>
      <c r="E375" s="17" t="s">
        <v>263</v>
      </c>
      <c r="F375" s="82" t="s">
        <v>149</v>
      </c>
      <c r="G375" s="81">
        <v>5000.0</v>
      </c>
      <c r="H375" s="17" t="s">
        <v>204</v>
      </c>
      <c r="I375" s="17" t="s">
        <v>160</v>
      </c>
      <c r="J375" s="17" t="s">
        <v>263</v>
      </c>
      <c r="K375" s="64" t="s">
        <v>149</v>
      </c>
      <c r="L375" s="81">
        <v>500.0</v>
      </c>
      <c r="M375" s="76"/>
      <c r="N375" s="79"/>
      <c r="O375" s="76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>
      <c r="A376" s="77"/>
      <c r="B376" s="81">
        <v>500.0</v>
      </c>
      <c r="C376" s="17" t="s">
        <v>204</v>
      </c>
      <c r="D376" s="17" t="s">
        <v>27</v>
      </c>
      <c r="E376" s="17" t="s">
        <v>263</v>
      </c>
      <c r="F376" s="82" t="s">
        <v>149</v>
      </c>
      <c r="G376" s="79"/>
      <c r="H376" s="79"/>
      <c r="I376" s="79"/>
      <c r="J376" s="79"/>
      <c r="K376" s="76"/>
      <c r="L376" s="81">
        <v>500.0</v>
      </c>
      <c r="M376" s="76"/>
      <c r="N376" s="79"/>
      <c r="O376" s="76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>
      <c r="A377" s="77"/>
      <c r="B377" s="81">
        <v>400.0</v>
      </c>
      <c r="C377" s="17" t="s">
        <v>204</v>
      </c>
      <c r="D377" s="17" t="s">
        <v>26</v>
      </c>
      <c r="E377" s="17" t="s">
        <v>263</v>
      </c>
      <c r="F377" s="82" t="s">
        <v>149</v>
      </c>
      <c r="G377" s="79"/>
      <c r="H377" s="79"/>
      <c r="I377" s="79"/>
      <c r="J377" s="79"/>
      <c r="K377" s="76"/>
      <c r="L377" s="80"/>
      <c r="M377" s="76"/>
      <c r="N377" s="79"/>
      <c r="O377" s="76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>
      <c r="A378" s="77"/>
      <c r="B378" s="81">
        <v>200.0</v>
      </c>
      <c r="C378" s="17" t="s">
        <v>204</v>
      </c>
      <c r="D378" s="17" t="s">
        <v>24</v>
      </c>
      <c r="E378" s="17" t="s">
        <v>263</v>
      </c>
      <c r="F378" s="82" t="s">
        <v>149</v>
      </c>
      <c r="G378" s="79"/>
      <c r="H378" s="79"/>
      <c r="I378" s="79"/>
      <c r="J378" s="79"/>
      <c r="K378" s="76"/>
      <c r="L378" s="80"/>
      <c r="M378" s="76"/>
      <c r="N378" s="79"/>
      <c r="O378" s="76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>
      <c r="A379" s="77"/>
      <c r="B379" s="81">
        <v>200.0</v>
      </c>
      <c r="C379" s="17" t="s">
        <v>204</v>
      </c>
      <c r="D379" s="17" t="s">
        <v>24</v>
      </c>
      <c r="E379" s="17" t="s">
        <v>263</v>
      </c>
      <c r="F379" s="82" t="s">
        <v>149</v>
      </c>
      <c r="G379" s="79"/>
      <c r="H379" s="79"/>
      <c r="I379" s="79"/>
      <c r="J379" s="79"/>
      <c r="K379" s="76"/>
      <c r="L379" s="80"/>
      <c r="M379" s="76"/>
      <c r="N379" s="79"/>
      <c r="O379" s="76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>
      <c r="A380" s="77"/>
      <c r="B380" s="81">
        <v>500.0</v>
      </c>
      <c r="C380" s="17" t="s">
        <v>204</v>
      </c>
      <c r="D380" s="17" t="s">
        <v>109</v>
      </c>
      <c r="E380" s="17" t="s">
        <v>263</v>
      </c>
      <c r="F380" s="82" t="s">
        <v>149</v>
      </c>
      <c r="G380" s="79"/>
      <c r="H380" s="79"/>
      <c r="I380" s="79"/>
      <c r="J380" s="79"/>
      <c r="K380" s="76"/>
      <c r="L380" s="80"/>
      <c r="M380" s="76"/>
      <c r="N380" s="79"/>
      <c r="O380" s="76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>
      <c r="A381" s="77"/>
      <c r="B381" s="81">
        <v>500.0</v>
      </c>
      <c r="C381" s="17" t="s">
        <v>204</v>
      </c>
      <c r="D381" s="17" t="s">
        <v>110</v>
      </c>
      <c r="E381" s="17" t="s">
        <v>263</v>
      </c>
      <c r="F381" s="82" t="s">
        <v>149</v>
      </c>
      <c r="G381" s="79"/>
      <c r="H381" s="79"/>
      <c r="I381" s="79"/>
      <c r="J381" s="79"/>
      <c r="K381" s="76"/>
      <c r="L381" s="80"/>
      <c r="M381" s="76"/>
      <c r="N381" s="79"/>
      <c r="O381" s="76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>
      <c r="A382" s="77"/>
      <c r="B382" s="81">
        <v>500.0</v>
      </c>
      <c r="C382" s="17" t="s">
        <v>204</v>
      </c>
      <c r="D382" s="17" t="s">
        <v>112</v>
      </c>
      <c r="E382" s="17" t="s">
        <v>263</v>
      </c>
      <c r="F382" s="82" t="s">
        <v>149</v>
      </c>
      <c r="G382" s="79"/>
      <c r="H382" s="79"/>
      <c r="I382" s="79"/>
      <c r="J382" s="79"/>
      <c r="K382" s="76"/>
      <c r="L382" s="80"/>
      <c r="M382" s="76"/>
      <c r="N382" s="79"/>
      <c r="O382" s="76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>
      <c r="A383" s="77"/>
      <c r="B383" s="81">
        <v>50.0</v>
      </c>
      <c r="C383" s="17" t="s">
        <v>204</v>
      </c>
      <c r="D383" s="17" t="s">
        <v>25</v>
      </c>
      <c r="E383" s="17" t="s">
        <v>263</v>
      </c>
      <c r="F383" s="82" t="s">
        <v>149</v>
      </c>
      <c r="G383" s="79"/>
      <c r="H383" s="79"/>
      <c r="I383" s="79"/>
      <c r="J383" s="79"/>
      <c r="K383" s="76"/>
      <c r="L383" s="80"/>
      <c r="M383" s="76"/>
      <c r="N383" s="79"/>
      <c r="O383" s="76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>
      <c r="A384" s="77"/>
      <c r="B384" s="81">
        <v>500.0</v>
      </c>
      <c r="C384" s="17" t="s">
        <v>204</v>
      </c>
      <c r="D384" s="17" t="s">
        <v>111</v>
      </c>
      <c r="E384" s="17" t="s">
        <v>263</v>
      </c>
      <c r="F384" s="82" t="s">
        <v>149</v>
      </c>
      <c r="G384" s="79"/>
      <c r="H384" s="79"/>
      <c r="I384" s="79"/>
      <c r="J384" s="79"/>
      <c r="K384" s="76"/>
      <c r="L384" s="80"/>
      <c r="M384" s="76"/>
      <c r="N384" s="79"/>
      <c r="O384" s="76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>
      <c r="A385" s="77"/>
      <c r="B385" s="81">
        <v>5.0</v>
      </c>
      <c r="C385" s="17" t="s">
        <v>154</v>
      </c>
      <c r="D385" s="68" t="s">
        <v>139</v>
      </c>
      <c r="E385" s="17"/>
      <c r="F385" s="64" t="s">
        <v>155</v>
      </c>
      <c r="G385" s="79"/>
      <c r="H385" s="79"/>
      <c r="I385" s="79"/>
      <c r="J385" s="79"/>
      <c r="K385" s="76"/>
      <c r="L385" s="80"/>
      <c r="M385" s="76"/>
      <c r="N385" s="79"/>
      <c r="O385" s="76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>
      <c r="A386" s="77"/>
      <c r="B386" s="81">
        <v>5.0</v>
      </c>
      <c r="C386" s="17" t="s">
        <v>154</v>
      </c>
      <c r="D386" s="68" t="s">
        <v>139</v>
      </c>
      <c r="E386" s="17"/>
      <c r="F386" s="64" t="s">
        <v>155</v>
      </c>
      <c r="G386" s="79"/>
      <c r="H386" s="79"/>
      <c r="I386" s="79"/>
      <c r="J386" s="79"/>
      <c r="K386" s="76"/>
      <c r="L386" s="80"/>
      <c r="M386" s="76"/>
      <c r="N386" s="79"/>
      <c r="O386" s="76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>
      <c r="A387" s="75">
        <v>45930.0</v>
      </c>
      <c r="B387" s="81">
        <v>267.0</v>
      </c>
      <c r="C387" s="17" t="s">
        <v>154</v>
      </c>
      <c r="D387" s="68" t="s">
        <v>157</v>
      </c>
      <c r="E387" s="17" t="s">
        <v>249</v>
      </c>
      <c r="F387" s="64" t="s">
        <v>155</v>
      </c>
      <c r="G387" s="79"/>
      <c r="H387" s="79"/>
      <c r="I387" s="79"/>
      <c r="J387" s="79"/>
      <c r="K387" s="76"/>
      <c r="L387" s="80"/>
      <c r="M387" s="76"/>
      <c r="N387" s="79"/>
      <c r="O387" s="76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>
      <c r="A388" s="77"/>
      <c r="B388" s="81">
        <v>519.0</v>
      </c>
      <c r="C388" s="17" t="s">
        <v>154</v>
      </c>
      <c r="D388" s="68" t="s">
        <v>157</v>
      </c>
      <c r="E388" s="17" t="s">
        <v>264</v>
      </c>
      <c r="F388" s="64" t="s">
        <v>155</v>
      </c>
      <c r="G388" s="79"/>
      <c r="H388" s="79"/>
      <c r="I388" s="79"/>
      <c r="J388" s="79"/>
      <c r="K388" s="76"/>
      <c r="L388" s="80"/>
      <c r="M388" s="76"/>
      <c r="N388" s="79"/>
      <c r="O388" s="76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>
      <c r="A389" s="77"/>
      <c r="B389" s="62">
        <v>40.0</v>
      </c>
      <c r="C389" s="17" t="s">
        <v>154</v>
      </c>
      <c r="D389" s="17" t="s">
        <v>145</v>
      </c>
      <c r="E389" s="17"/>
      <c r="F389" s="64" t="s">
        <v>155</v>
      </c>
      <c r="G389" s="79"/>
      <c r="H389" s="79"/>
      <c r="I389" s="79"/>
      <c r="J389" s="79"/>
      <c r="K389" s="76"/>
      <c r="L389" s="80"/>
      <c r="M389" s="76"/>
      <c r="N389" s="79"/>
      <c r="O389" s="76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>
      <c r="A390" s="70"/>
      <c r="B390" s="71"/>
      <c r="C390" s="14"/>
      <c r="D390" s="14"/>
      <c r="E390" s="14"/>
      <c r="F390" s="72"/>
      <c r="G390" s="71"/>
      <c r="H390" s="14"/>
      <c r="I390" s="14"/>
      <c r="J390" s="14"/>
      <c r="K390" s="72"/>
      <c r="L390" s="71"/>
      <c r="M390" s="72"/>
      <c r="N390" s="71"/>
      <c r="O390" s="72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>
      <c r="A391" s="70"/>
      <c r="B391" s="71"/>
      <c r="C391" s="14"/>
      <c r="D391" s="14"/>
      <c r="E391" s="14"/>
      <c r="F391" s="72"/>
      <c r="G391" s="71"/>
      <c r="H391" s="14"/>
      <c r="I391" s="14"/>
      <c r="J391" s="14"/>
      <c r="K391" s="72"/>
      <c r="L391" s="71"/>
      <c r="M391" s="72"/>
      <c r="N391" s="71"/>
      <c r="O391" s="72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>
      <c r="A392" s="75">
        <v>45933.0</v>
      </c>
      <c r="B392" s="17">
        <v>85.15</v>
      </c>
      <c r="C392" s="17" t="s">
        <v>154</v>
      </c>
      <c r="D392" s="17" t="s">
        <v>146</v>
      </c>
      <c r="E392" s="17"/>
      <c r="F392" s="64" t="s">
        <v>155</v>
      </c>
      <c r="G392" s="79"/>
      <c r="H392" s="79"/>
      <c r="I392" s="79"/>
      <c r="J392" s="79"/>
      <c r="K392" s="76"/>
      <c r="L392" s="80"/>
      <c r="M392" s="76"/>
      <c r="N392" s="79"/>
      <c r="O392" s="76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>
      <c r="A393" s="75">
        <v>45934.0</v>
      </c>
      <c r="B393" s="81">
        <v>500.0</v>
      </c>
      <c r="C393" s="17" t="s">
        <v>204</v>
      </c>
      <c r="D393" s="17" t="s">
        <v>113</v>
      </c>
      <c r="E393" s="17" t="s">
        <v>265</v>
      </c>
      <c r="F393" s="82" t="s">
        <v>149</v>
      </c>
      <c r="G393" s="81">
        <v>4300.0</v>
      </c>
      <c r="H393" s="17" t="s">
        <v>204</v>
      </c>
      <c r="I393" s="17" t="s">
        <v>160</v>
      </c>
      <c r="J393" s="17" t="s">
        <v>265</v>
      </c>
      <c r="K393" s="64" t="s">
        <v>149</v>
      </c>
      <c r="L393" s="80"/>
      <c r="M393" s="76"/>
      <c r="N393" s="79"/>
      <c r="O393" s="76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>
      <c r="A394" s="77"/>
      <c r="B394" s="81">
        <v>500.0</v>
      </c>
      <c r="C394" s="17" t="s">
        <v>204</v>
      </c>
      <c r="D394" s="17" t="s">
        <v>111</v>
      </c>
      <c r="E394" s="17" t="s">
        <v>265</v>
      </c>
      <c r="F394" s="82" t="s">
        <v>149</v>
      </c>
      <c r="G394" s="79"/>
      <c r="H394" s="79"/>
      <c r="I394" s="79"/>
      <c r="J394" s="79"/>
      <c r="K394" s="76"/>
      <c r="L394" s="80"/>
      <c r="M394" s="76"/>
      <c r="N394" s="79"/>
      <c r="O394" s="76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>
      <c r="A395" s="77"/>
      <c r="B395" s="81">
        <v>500.0</v>
      </c>
      <c r="C395" s="17" t="s">
        <v>204</v>
      </c>
      <c r="D395" s="17" t="s">
        <v>112</v>
      </c>
      <c r="E395" s="17" t="s">
        <v>265</v>
      </c>
      <c r="F395" s="82" t="s">
        <v>149</v>
      </c>
      <c r="G395" s="79"/>
      <c r="H395" s="79"/>
      <c r="I395" s="79"/>
      <c r="J395" s="79"/>
      <c r="K395" s="76"/>
      <c r="L395" s="80"/>
      <c r="M395" s="76"/>
      <c r="N395" s="79"/>
      <c r="O395" s="76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>
      <c r="A396" s="77"/>
      <c r="B396" s="81">
        <v>500.0</v>
      </c>
      <c r="C396" s="17" t="s">
        <v>204</v>
      </c>
      <c r="D396" s="17" t="s">
        <v>110</v>
      </c>
      <c r="E396" s="17" t="s">
        <v>265</v>
      </c>
      <c r="F396" s="82" t="s">
        <v>149</v>
      </c>
      <c r="G396" s="79"/>
      <c r="H396" s="79"/>
      <c r="I396" s="79"/>
      <c r="J396" s="79"/>
      <c r="K396" s="76"/>
      <c r="L396" s="80"/>
      <c r="M396" s="76"/>
      <c r="N396" s="79"/>
      <c r="O396" s="76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>
      <c r="A397" s="77"/>
      <c r="B397" s="81">
        <v>500.0</v>
      </c>
      <c r="C397" s="17" t="s">
        <v>204</v>
      </c>
      <c r="D397" s="17" t="s">
        <v>109</v>
      </c>
      <c r="E397" s="17" t="s">
        <v>265</v>
      </c>
      <c r="F397" s="82" t="s">
        <v>149</v>
      </c>
      <c r="G397" s="79"/>
      <c r="H397" s="79"/>
      <c r="I397" s="79"/>
      <c r="J397" s="79"/>
      <c r="K397" s="76"/>
      <c r="L397" s="80"/>
      <c r="M397" s="76"/>
      <c r="N397" s="79"/>
      <c r="O397" s="76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>
      <c r="A398" s="77"/>
      <c r="B398" s="81">
        <v>200.0</v>
      </c>
      <c r="C398" s="17" t="s">
        <v>204</v>
      </c>
      <c r="D398" s="17" t="s">
        <v>24</v>
      </c>
      <c r="E398" s="17" t="s">
        <v>265</v>
      </c>
      <c r="F398" s="82" t="s">
        <v>149</v>
      </c>
      <c r="G398" s="79"/>
      <c r="H398" s="79"/>
      <c r="I398" s="79"/>
      <c r="J398" s="79"/>
      <c r="K398" s="76"/>
      <c r="L398" s="80"/>
      <c r="M398" s="76"/>
      <c r="N398" s="79"/>
      <c r="O398" s="76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>
      <c r="A399" s="75">
        <v>45944.0</v>
      </c>
      <c r="B399" s="81">
        <v>1000.0</v>
      </c>
      <c r="C399" s="17" t="s">
        <v>154</v>
      </c>
      <c r="D399" s="17" t="s">
        <v>25</v>
      </c>
      <c r="E399" s="17" t="s">
        <v>266</v>
      </c>
      <c r="F399" s="82" t="s">
        <v>149</v>
      </c>
      <c r="G399" s="81">
        <v>18588.0</v>
      </c>
      <c r="H399" s="17" t="s">
        <v>154</v>
      </c>
      <c r="I399" s="17" t="s">
        <v>160</v>
      </c>
      <c r="J399" s="17" t="s">
        <v>266</v>
      </c>
      <c r="K399" s="64" t="s">
        <v>155</v>
      </c>
      <c r="L399" s="80"/>
      <c r="M399" s="76"/>
      <c r="N399" s="79"/>
      <c r="O399" s="76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>
      <c r="A400" s="75"/>
      <c r="B400" s="81">
        <v>500.0</v>
      </c>
      <c r="C400" s="17" t="s">
        <v>204</v>
      </c>
      <c r="D400" s="17" t="s">
        <v>113</v>
      </c>
      <c r="E400" s="17" t="s">
        <v>266</v>
      </c>
      <c r="F400" s="82" t="s">
        <v>149</v>
      </c>
      <c r="G400" s="79"/>
      <c r="H400" s="79"/>
      <c r="I400" s="79"/>
      <c r="J400" s="79"/>
      <c r="K400" s="76"/>
      <c r="L400" s="80"/>
      <c r="M400" s="76"/>
      <c r="N400" s="79"/>
      <c r="O400" s="76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>
      <c r="A401" s="77"/>
      <c r="B401" s="81">
        <v>500.0</v>
      </c>
      <c r="C401" s="17" t="s">
        <v>204</v>
      </c>
      <c r="D401" s="17" t="s">
        <v>111</v>
      </c>
      <c r="E401" s="17" t="s">
        <v>266</v>
      </c>
      <c r="F401" s="82" t="s">
        <v>149</v>
      </c>
      <c r="G401" s="79"/>
      <c r="H401" s="79"/>
      <c r="I401" s="79"/>
      <c r="J401" s="79"/>
      <c r="K401" s="76"/>
      <c r="L401" s="80"/>
      <c r="M401" s="76"/>
      <c r="N401" s="79"/>
      <c r="O401" s="76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>
      <c r="A402" s="77"/>
      <c r="B402" s="81">
        <v>500.0</v>
      </c>
      <c r="C402" s="17" t="s">
        <v>204</v>
      </c>
      <c r="D402" s="17" t="s">
        <v>112</v>
      </c>
      <c r="E402" s="17" t="s">
        <v>266</v>
      </c>
      <c r="F402" s="82" t="s">
        <v>149</v>
      </c>
      <c r="G402" s="79"/>
      <c r="H402" s="79"/>
      <c r="I402" s="79"/>
      <c r="J402" s="79"/>
      <c r="K402" s="76"/>
      <c r="L402" s="80"/>
      <c r="M402" s="76"/>
      <c r="N402" s="79"/>
      <c r="O402" s="76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>
      <c r="A403" s="77"/>
      <c r="B403" s="81">
        <v>500.0</v>
      </c>
      <c r="C403" s="17" t="s">
        <v>204</v>
      </c>
      <c r="D403" s="17" t="s">
        <v>110</v>
      </c>
      <c r="E403" s="17" t="s">
        <v>266</v>
      </c>
      <c r="F403" s="82" t="s">
        <v>149</v>
      </c>
      <c r="G403" s="79"/>
      <c r="H403" s="79"/>
      <c r="I403" s="79"/>
      <c r="J403" s="79"/>
      <c r="K403" s="76"/>
      <c r="L403" s="80"/>
      <c r="M403" s="76"/>
      <c r="N403" s="79"/>
      <c r="O403" s="76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>
      <c r="A404" s="77"/>
      <c r="B404" s="81">
        <v>500.0</v>
      </c>
      <c r="C404" s="17" t="s">
        <v>204</v>
      </c>
      <c r="D404" s="17" t="s">
        <v>109</v>
      </c>
      <c r="E404" s="17" t="s">
        <v>266</v>
      </c>
      <c r="F404" s="82" t="s">
        <v>149</v>
      </c>
      <c r="G404" s="79"/>
      <c r="H404" s="79"/>
      <c r="I404" s="79"/>
      <c r="J404" s="79"/>
      <c r="K404" s="76"/>
      <c r="L404" s="80"/>
      <c r="M404" s="76"/>
      <c r="N404" s="79"/>
      <c r="O404" s="76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>
      <c r="A405" s="77"/>
      <c r="B405" s="81">
        <v>250.0</v>
      </c>
      <c r="C405" s="17" t="s">
        <v>204</v>
      </c>
      <c r="D405" s="17" t="s">
        <v>24</v>
      </c>
      <c r="E405" s="17" t="s">
        <v>266</v>
      </c>
      <c r="F405" s="82" t="s">
        <v>149</v>
      </c>
      <c r="G405" s="79"/>
      <c r="H405" s="79"/>
      <c r="I405" s="79"/>
      <c r="J405" s="79"/>
      <c r="K405" s="76"/>
      <c r="L405" s="80"/>
      <c r="M405" s="76"/>
      <c r="N405" s="79"/>
      <c r="O405" s="76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>
      <c r="A406" s="75">
        <v>45945.0</v>
      </c>
      <c r="B406" s="17">
        <v>0.45</v>
      </c>
      <c r="C406" s="17" t="s">
        <v>154</v>
      </c>
      <c r="D406" s="68" t="s">
        <v>138</v>
      </c>
      <c r="E406" s="17"/>
      <c r="F406" s="64" t="s">
        <v>155</v>
      </c>
      <c r="G406" s="79"/>
      <c r="H406" s="79"/>
      <c r="I406" s="79"/>
      <c r="J406" s="79"/>
      <c r="K406" s="76"/>
      <c r="L406" s="81">
        <v>3000.0</v>
      </c>
      <c r="M406" s="76"/>
      <c r="N406" s="79"/>
      <c r="O406" s="76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>
      <c r="A407" s="75">
        <v>45949.0</v>
      </c>
      <c r="B407" s="17">
        <v>0.45</v>
      </c>
      <c r="C407" s="17" t="s">
        <v>154</v>
      </c>
      <c r="D407" s="68" t="s">
        <v>138</v>
      </c>
      <c r="E407" s="17"/>
      <c r="F407" s="64" t="s">
        <v>155</v>
      </c>
      <c r="G407" s="79"/>
      <c r="H407" s="79"/>
      <c r="I407" s="79"/>
      <c r="J407" s="79"/>
      <c r="K407" s="76"/>
      <c r="L407" s="81">
        <v>2500.0</v>
      </c>
      <c r="M407" s="76"/>
      <c r="N407" s="79"/>
      <c r="O407" s="76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>
      <c r="A408" s="77"/>
      <c r="B408" s="81">
        <v>5.0</v>
      </c>
      <c r="C408" s="17" t="s">
        <v>154</v>
      </c>
      <c r="D408" s="68" t="s">
        <v>139</v>
      </c>
      <c r="E408" s="17"/>
      <c r="F408" s="64" t="s">
        <v>155</v>
      </c>
      <c r="G408" s="79"/>
      <c r="H408" s="79"/>
      <c r="I408" s="79"/>
      <c r="J408" s="79"/>
      <c r="K408" s="76"/>
      <c r="L408" s="80"/>
      <c r="M408" s="76"/>
      <c r="N408" s="79"/>
      <c r="O408" s="76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>
      <c r="A409" s="77"/>
      <c r="B409" s="81">
        <v>750.0</v>
      </c>
      <c r="C409" s="17" t="s">
        <v>154</v>
      </c>
      <c r="D409" s="68" t="s">
        <v>24</v>
      </c>
      <c r="E409" s="17" t="s">
        <v>267</v>
      </c>
      <c r="F409" s="82" t="s">
        <v>149</v>
      </c>
      <c r="G409" s="79"/>
      <c r="H409" s="79"/>
      <c r="I409" s="79"/>
      <c r="J409" s="79"/>
      <c r="K409" s="76"/>
      <c r="L409" s="80"/>
      <c r="M409" s="76"/>
      <c r="N409" s="79"/>
      <c r="O409" s="76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>
      <c r="A410" s="75">
        <v>45950.0</v>
      </c>
      <c r="B410" s="81">
        <v>5.0</v>
      </c>
      <c r="C410" s="17" t="s">
        <v>154</v>
      </c>
      <c r="D410" s="68" t="s">
        <v>139</v>
      </c>
      <c r="E410" s="17"/>
      <c r="F410" s="64" t="s">
        <v>155</v>
      </c>
      <c r="G410" s="79"/>
      <c r="H410" s="79"/>
      <c r="I410" s="79"/>
      <c r="J410" s="79"/>
      <c r="K410" s="76"/>
      <c r="L410" s="81">
        <v>3000.0</v>
      </c>
      <c r="M410" s="76"/>
      <c r="N410" s="79"/>
      <c r="O410" s="76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>
      <c r="A411" s="77"/>
      <c r="B411" s="81">
        <v>5.0</v>
      </c>
      <c r="C411" s="17" t="s">
        <v>154</v>
      </c>
      <c r="D411" s="68" t="s">
        <v>139</v>
      </c>
      <c r="E411" s="17"/>
      <c r="F411" s="64" t="s">
        <v>155</v>
      </c>
      <c r="G411" s="79"/>
      <c r="H411" s="79"/>
      <c r="I411" s="79"/>
      <c r="J411" s="79"/>
      <c r="K411" s="76"/>
      <c r="L411" s="80"/>
      <c r="M411" s="76"/>
      <c r="N411" s="79"/>
      <c r="O411" s="76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>
      <c r="A412" s="77"/>
      <c r="B412" s="81">
        <v>5.0</v>
      </c>
      <c r="C412" s="17" t="s">
        <v>154</v>
      </c>
      <c r="D412" s="68" t="s">
        <v>139</v>
      </c>
      <c r="E412" s="17"/>
      <c r="F412" s="64" t="s">
        <v>155</v>
      </c>
      <c r="G412" s="79"/>
      <c r="H412" s="79"/>
      <c r="I412" s="79"/>
      <c r="J412" s="79"/>
      <c r="K412" s="76"/>
      <c r="L412" s="80"/>
      <c r="M412" s="76"/>
      <c r="N412" s="79"/>
      <c r="O412" s="76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>
      <c r="A413" s="77"/>
      <c r="B413" s="81">
        <v>5.0</v>
      </c>
      <c r="C413" s="17" t="s">
        <v>154</v>
      </c>
      <c r="D413" s="68" t="s">
        <v>139</v>
      </c>
      <c r="E413" s="17"/>
      <c r="F413" s="64" t="s">
        <v>155</v>
      </c>
      <c r="G413" s="79"/>
      <c r="H413" s="79"/>
      <c r="I413" s="79"/>
      <c r="J413" s="79"/>
      <c r="K413" s="76"/>
      <c r="L413" s="80"/>
      <c r="M413" s="76"/>
      <c r="N413" s="79"/>
      <c r="O413" s="76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>
      <c r="A414" s="77"/>
      <c r="B414" s="81">
        <v>5.0</v>
      </c>
      <c r="C414" s="17" t="s">
        <v>154</v>
      </c>
      <c r="D414" s="68" t="s">
        <v>139</v>
      </c>
      <c r="E414" s="17"/>
      <c r="F414" s="64" t="s">
        <v>155</v>
      </c>
      <c r="G414" s="79"/>
      <c r="H414" s="79"/>
      <c r="I414" s="79"/>
      <c r="J414" s="79"/>
      <c r="K414" s="76"/>
      <c r="L414" s="80"/>
      <c r="M414" s="76"/>
      <c r="N414" s="79"/>
      <c r="O414" s="76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>
      <c r="A415" s="77"/>
      <c r="B415" s="81">
        <v>0.51</v>
      </c>
      <c r="C415" s="17" t="s">
        <v>154</v>
      </c>
      <c r="D415" s="68" t="s">
        <v>139</v>
      </c>
      <c r="E415" s="17"/>
      <c r="F415" s="64" t="s">
        <v>155</v>
      </c>
      <c r="G415" s="79"/>
      <c r="H415" s="79"/>
      <c r="I415" s="79"/>
      <c r="J415" s="79"/>
      <c r="K415" s="76"/>
      <c r="L415" s="80"/>
      <c r="M415" s="76"/>
      <c r="N415" s="79"/>
      <c r="O415" s="76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>
      <c r="A416" s="77"/>
      <c r="B416" s="81">
        <v>0.51</v>
      </c>
      <c r="C416" s="17" t="s">
        <v>154</v>
      </c>
      <c r="D416" s="68" t="s">
        <v>139</v>
      </c>
      <c r="E416" s="17"/>
      <c r="F416" s="64" t="s">
        <v>155</v>
      </c>
      <c r="G416" s="79"/>
      <c r="H416" s="79"/>
      <c r="I416" s="79"/>
      <c r="J416" s="79"/>
      <c r="K416" s="76"/>
      <c r="L416" s="80"/>
      <c r="M416" s="76"/>
      <c r="N416" s="79"/>
      <c r="O416" s="76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>
      <c r="A417" s="77"/>
      <c r="B417" s="62">
        <v>17.0</v>
      </c>
      <c r="C417" s="17" t="s">
        <v>154</v>
      </c>
      <c r="D417" s="68" t="s">
        <v>143</v>
      </c>
      <c r="E417" s="17"/>
      <c r="F417" s="64" t="s">
        <v>155</v>
      </c>
      <c r="G417" s="79"/>
      <c r="H417" s="79"/>
      <c r="I417" s="79"/>
      <c r="J417" s="79"/>
      <c r="K417" s="76"/>
      <c r="L417" s="80"/>
      <c r="M417" s="76"/>
      <c r="N417" s="79"/>
      <c r="O417" s="76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>
      <c r="A418" s="77"/>
      <c r="B418" s="83">
        <v>4818.0</v>
      </c>
      <c r="C418" s="84" t="s">
        <v>154</v>
      </c>
      <c r="D418" s="84" t="s">
        <v>141</v>
      </c>
      <c r="E418" s="80"/>
      <c r="F418" s="82" t="s">
        <v>155</v>
      </c>
      <c r="G418" s="79"/>
      <c r="H418" s="79"/>
      <c r="I418" s="79"/>
      <c r="J418" s="79"/>
      <c r="K418" s="76"/>
      <c r="L418" s="80"/>
      <c r="M418" s="76"/>
      <c r="N418" s="79"/>
      <c r="O418" s="76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>
      <c r="A419" s="77"/>
      <c r="B419" s="85">
        <v>273.0</v>
      </c>
      <c r="C419" s="84" t="s">
        <v>154</v>
      </c>
      <c r="D419" s="84" t="s">
        <v>141</v>
      </c>
      <c r="E419" s="80"/>
      <c r="F419" s="82" t="s">
        <v>155</v>
      </c>
      <c r="G419" s="79"/>
      <c r="H419" s="79"/>
      <c r="I419" s="79"/>
      <c r="J419" s="79"/>
      <c r="K419" s="76"/>
      <c r="L419" s="80"/>
      <c r="M419" s="76"/>
      <c r="N419" s="79"/>
      <c r="O419" s="76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>
      <c r="A420" s="77"/>
      <c r="B420" s="85">
        <v>496.0</v>
      </c>
      <c r="C420" s="84" t="s">
        <v>154</v>
      </c>
      <c r="D420" s="68" t="s">
        <v>212</v>
      </c>
      <c r="E420" s="80"/>
      <c r="F420" s="82" t="s">
        <v>155</v>
      </c>
      <c r="G420" s="79"/>
      <c r="H420" s="79"/>
      <c r="I420" s="79"/>
      <c r="J420" s="79"/>
      <c r="K420" s="76"/>
      <c r="L420" s="80"/>
      <c r="M420" s="76"/>
      <c r="N420" s="79"/>
      <c r="O420" s="76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>
      <c r="A421" s="77"/>
      <c r="B421" s="81">
        <v>750.0</v>
      </c>
      <c r="C421" s="84" t="s">
        <v>154</v>
      </c>
      <c r="D421" s="68" t="s">
        <v>110</v>
      </c>
      <c r="E421" s="17" t="s">
        <v>267</v>
      </c>
      <c r="F421" s="82" t="s">
        <v>149</v>
      </c>
      <c r="G421" s="79"/>
      <c r="H421" s="79"/>
      <c r="I421" s="79"/>
      <c r="J421" s="79"/>
      <c r="K421" s="76"/>
      <c r="L421" s="81">
        <v>750.0</v>
      </c>
      <c r="M421" s="76"/>
      <c r="N421" s="79"/>
      <c r="O421" s="76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>
      <c r="A422" s="77"/>
      <c r="B422" s="81">
        <v>5.0</v>
      </c>
      <c r="C422" s="17" t="s">
        <v>154</v>
      </c>
      <c r="D422" s="68" t="s">
        <v>139</v>
      </c>
      <c r="E422" s="17"/>
      <c r="F422" s="64" t="s">
        <v>155</v>
      </c>
      <c r="G422" s="79"/>
      <c r="H422" s="79"/>
      <c r="I422" s="79"/>
      <c r="J422" s="79"/>
      <c r="K422" s="76"/>
      <c r="L422" s="81"/>
      <c r="M422" s="76"/>
      <c r="N422" s="79"/>
      <c r="O422" s="76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>
      <c r="A423" s="75">
        <v>45952.0</v>
      </c>
      <c r="B423" s="81">
        <v>5.0</v>
      </c>
      <c r="C423" s="17" t="s">
        <v>154</v>
      </c>
      <c r="D423" s="68" t="s">
        <v>139</v>
      </c>
      <c r="E423" s="17"/>
      <c r="F423" s="64" t="s">
        <v>155</v>
      </c>
      <c r="G423" s="79"/>
      <c r="H423" s="79"/>
      <c r="I423" s="79"/>
      <c r="J423" s="79"/>
      <c r="K423" s="76"/>
      <c r="L423" s="81">
        <v>1200.0</v>
      </c>
      <c r="M423" s="76"/>
      <c r="N423" s="79"/>
      <c r="O423" s="76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>
      <c r="A424" s="77"/>
      <c r="B424" s="81">
        <v>19250.0</v>
      </c>
      <c r="C424" s="17" t="s">
        <v>154</v>
      </c>
      <c r="D424" s="17" t="s">
        <v>22</v>
      </c>
      <c r="E424" s="17"/>
      <c r="F424" s="82" t="s">
        <v>149</v>
      </c>
      <c r="G424" s="79"/>
      <c r="H424" s="79"/>
      <c r="I424" s="79"/>
      <c r="J424" s="79"/>
      <c r="K424" s="76"/>
      <c r="L424" s="80"/>
      <c r="M424" s="76"/>
      <c r="N424" s="79"/>
      <c r="O424" s="76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>
      <c r="A425" s="77"/>
      <c r="B425" s="81">
        <v>1500.0</v>
      </c>
      <c r="C425" s="17" t="s">
        <v>154</v>
      </c>
      <c r="D425" s="17" t="s">
        <v>25</v>
      </c>
      <c r="E425" s="17"/>
      <c r="F425" s="82" t="s">
        <v>149</v>
      </c>
      <c r="G425" s="79"/>
      <c r="H425" s="79"/>
      <c r="I425" s="79"/>
      <c r="J425" s="79"/>
      <c r="K425" s="76"/>
      <c r="L425" s="80"/>
      <c r="M425" s="76"/>
      <c r="N425" s="79"/>
      <c r="O425" s="76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>
      <c r="A426" s="75">
        <v>45961.0</v>
      </c>
      <c r="B426" s="62">
        <v>40.0</v>
      </c>
      <c r="C426" s="17" t="s">
        <v>154</v>
      </c>
      <c r="D426" s="17" t="s">
        <v>145</v>
      </c>
      <c r="E426" s="17"/>
      <c r="F426" s="64" t="s">
        <v>155</v>
      </c>
      <c r="G426" s="79"/>
      <c r="H426" s="79"/>
      <c r="I426" s="79"/>
      <c r="J426" s="79"/>
      <c r="K426" s="76"/>
      <c r="L426" s="80"/>
      <c r="M426" s="76"/>
      <c r="N426" s="79"/>
      <c r="O426" s="76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>
      <c r="A427" s="70"/>
      <c r="B427" s="71"/>
      <c r="C427" s="14"/>
      <c r="D427" s="14"/>
      <c r="E427" s="14"/>
      <c r="F427" s="72"/>
      <c r="G427" s="71"/>
      <c r="H427" s="14"/>
      <c r="I427" s="14"/>
      <c r="J427" s="14"/>
      <c r="K427" s="72"/>
      <c r="L427" s="71"/>
      <c r="M427" s="72"/>
      <c r="N427" s="71"/>
      <c r="O427" s="72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>
      <c r="A428" s="70"/>
      <c r="B428" s="71"/>
      <c r="C428" s="14"/>
      <c r="D428" s="14"/>
      <c r="E428" s="14"/>
      <c r="F428" s="72"/>
      <c r="G428" s="71"/>
      <c r="H428" s="14"/>
      <c r="I428" s="14"/>
      <c r="J428" s="14"/>
      <c r="K428" s="72"/>
      <c r="L428" s="71"/>
      <c r="M428" s="72"/>
      <c r="N428" s="71"/>
      <c r="O428" s="72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>
      <c r="A429" s="75">
        <v>45962.0</v>
      </c>
      <c r="B429" s="81">
        <v>3250.0</v>
      </c>
      <c r="C429" s="17" t="s">
        <v>154</v>
      </c>
      <c r="D429" s="17" t="s">
        <v>110</v>
      </c>
      <c r="E429" s="17" t="s">
        <v>268</v>
      </c>
      <c r="F429" s="82" t="s">
        <v>149</v>
      </c>
      <c r="G429" s="81">
        <v>25000.0</v>
      </c>
      <c r="H429" s="17" t="s">
        <v>154</v>
      </c>
      <c r="I429" s="17" t="s">
        <v>160</v>
      </c>
      <c r="J429" s="17" t="s">
        <v>268</v>
      </c>
      <c r="K429" s="64" t="s">
        <v>149</v>
      </c>
      <c r="L429" s="80"/>
      <c r="M429" s="76"/>
      <c r="N429" s="79"/>
      <c r="O429" s="76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>
      <c r="A430" s="77"/>
      <c r="B430" s="81">
        <v>3250.0</v>
      </c>
      <c r="C430" s="17" t="s">
        <v>154</v>
      </c>
      <c r="D430" s="17" t="s">
        <v>109</v>
      </c>
      <c r="E430" s="17" t="s">
        <v>268</v>
      </c>
      <c r="F430" s="82" t="s">
        <v>149</v>
      </c>
      <c r="G430" s="79"/>
      <c r="H430" s="79"/>
      <c r="I430" s="79"/>
      <c r="J430" s="79"/>
      <c r="K430" s="76"/>
      <c r="L430" s="80"/>
      <c r="M430" s="76"/>
      <c r="N430" s="79"/>
      <c r="O430" s="76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>
      <c r="A431" s="77"/>
      <c r="B431" s="81">
        <v>3250.0</v>
      </c>
      <c r="C431" s="17" t="s">
        <v>154</v>
      </c>
      <c r="D431" s="17" t="s">
        <v>112</v>
      </c>
      <c r="E431" s="17" t="s">
        <v>268</v>
      </c>
      <c r="F431" s="82" t="s">
        <v>149</v>
      </c>
      <c r="G431" s="79"/>
      <c r="H431" s="79"/>
      <c r="I431" s="79"/>
      <c r="J431" s="79"/>
      <c r="K431" s="76"/>
      <c r="L431" s="80"/>
      <c r="M431" s="76"/>
      <c r="N431" s="79"/>
      <c r="O431" s="76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>
      <c r="A432" s="77"/>
      <c r="B432" s="81">
        <v>3250.0</v>
      </c>
      <c r="C432" s="17" t="s">
        <v>154</v>
      </c>
      <c r="D432" s="17" t="s">
        <v>111</v>
      </c>
      <c r="E432" s="17" t="s">
        <v>268</v>
      </c>
      <c r="F432" s="82" t="s">
        <v>149</v>
      </c>
      <c r="G432" s="79"/>
      <c r="H432" s="79"/>
      <c r="I432" s="79"/>
      <c r="J432" s="79"/>
      <c r="K432" s="76"/>
      <c r="L432" s="80"/>
      <c r="M432" s="76"/>
      <c r="N432" s="79"/>
      <c r="O432" s="76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>
      <c r="A433" s="75">
        <v>45964.0</v>
      </c>
      <c r="B433" s="81">
        <v>85.23</v>
      </c>
      <c r="C433" s="17" t="s">
        <v>154</v>
      </c>
      <c r="D433" s="17" t="s">
        <v>146</v>
      </c>
      <c r="E433" s="17"/>
      <c r="F433" s="64" t="s">
        <v>155</v>
      </c>
      <c r="G433" s="79"/>
      <c r="H433" s="79"/>
      <c r="I433" s="79"/>
      <c r="J433" s="79"/>
      <c r="K433" s="76"/>
      <c r="L433" s="80"/>
      <c r="M433" s="76"/>
      <c r="N433" s="79"/>
      <c r="O433" s="76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>
      <c r="A434" s="75">
        <v>45967.0</v>
      </c>
      <c r="B434" s="81">
        <v>2000.0</v>
      </c>
      <c r="C434" s="17" t="s">
        <v>154</v>
      </c>
      <c r="D434" s="17" t="s">
        <v>24</v>
      </c>
      <c r="E434" s="17" t="s">
        <v>268</v>
      </c>
      <c r="F434" s="82" t="s">
        <v>149</v>
      </c>
      <c r="G434" s="79"/>
      <c r="H434" s="79"/>
      <c r="I434" s="79"/>
      <c r="J434" s="79"/>
      <c r="K434" s="76"/>
      <c r="L434" s="80"/>
      <c r="M434" s="76"/>
      <c r="N434" s="81">
        <v>5800.0</v>
      </c>
      <c r="O434" s="76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>
      <c r="A435" s="77"/>
      <c r="B435" s="81">
        <v>2500.0</v>
      </c>
      <c r="C435" s="17" t="s">
        <v>154</v>
      </c>
      <c r="D435" s="17" t="s">
        <v>27</v>
      </c>
      <c r="E435" s="17" t="s">
        <v>268</v>
      </c>
      <c r="F435" s="82" t="s">
        <v>149</v>
      </c>
      <c r="G435" s="79"/>
      <c r="H435" s="79"/>
      <c r="I435" s="79"/>
      <c r="J435" s="79"/>
      <c r="K435" s="76"/>
      <c r="L435" s="80"/>
      <c r="M435" s="76"/>
      <c r="N435" s="79"/>
      <c r="O435" s="76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>
      <c r="A436" s="77"/>
      <c r="B436" s="81">
        <v>2250.0</v>
      </c>
      <c r="C436" s="17" t="s">
        <v>154</v>
      </c>
      <c r="D436" s="17" t="s">
        <v>26</v>
      </c>
      <c r="E436" s="17" t="s">
        <v>268</v>
      </c>
      <c r="F436" s="82" t="s">
        <v>149</v>
      </c>
      <c r="G436" s="79"/>
      <c r="H436" s="79"/>
      <c r="I436" s="79"/>
      <c r="J436" s="79"/>
      <c r="K436" s="76"/>
      <c r="L436" s="80"/>
      <c r="M436" s="76"/>
      <c r="N436" s="79"/>
      <c r="O436" s="76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>
      <c r="A437" s="77"/>
      <c r="B437" s="81">
        <v>3250.0</v>
      </c>
      <c r="C437" s="17" t="s">
        <v>154</v>
      </c>
      <c r="D437" s="17" t="s">
        <v>113</v>
      </c>
      <c r="E437" s="17" t="s">
        <v>268</v>
      </c>
      <c r="F437" s="82" t="s">
        <v>149</v>
      </c>
      <c r="G437" s="79"/>
      <c r="H437" s="79"/>
      <c r="I437" s="79"/>
      <c r="J437" s="79"/>
      <c r="K437" s="76"/>
      <c r="L437" s="80"/>
      <c r="M437" s="76"/>
      <c r="N437" s="79"/>
      <c r="O437" s="76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>
      <c r="A438" s="77"/>
      <c r="B438" s="81"/>
      <c r="C438" s="17"/>
      <c r="D438" s="17"/>
      <c r="E438" s="17"/>
      <c r="F438" s="82"/>
      <c r="G438" s="79"/>
      <c r="H438" s="79"/>
      <c r="I438" s="79"/>
      <c r="J438" s="79"/>
      <c r="K438" s="76"/>
      <c r="L438" s="80"/>
      <c r="M438" s="76"/>
      <c r="N438" s="79"/>
      <c r="O438" s="76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>
      <c r="A439" s="77"/>
      <c r="B439" s="81"/>
      <c r="C439" s="17"/>
      <c r="D439" s="17"/>
      <c r="E439" s="17"/>
      <c r="F439" s="82"/>
      <c r="G439" s="79"/>
      <c r="H439" s="79"/>
      <c r="I439" s="79"/>
      <c r="J439" s="79"/>
      <c r="K439" s="76"/>
      <c r="L439" s="80"/>
      <c r="M439" s="76"/>
      <c r="N439" s="79"/>
      <c r="O439" s="76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>
      <c r="A440" s="77"/>
      <c r="B440" s="81"/>
      <c r="C440" s="17"/>
      <c r="D440" s="17"/>
      <c r="E440" s="17"/>
      <c r="F440" s="82"/>
      <c r="G440" s="79"/>
      <c r="H440" s="79"/>
      <c r="I440" s="79"/>
      <c r="J440" s="79"/>
      <c r="K440" s="76"/>
      <c r="L440" s="80"/>
      <c r="M440" s="76"/>
      <c r="N440" s="79"/>
      <c r="O440" s="76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>
      <c r="A441" s="77"/>
      <c r="B441" s="81"/>
      <c r="C441" s="17"/>
      <c r="D441" s="17"/>
      <c r="E441" s="17"/>
      <c r="F441" s="82"/>
      <c r="G441" s="79"/>
      <c r="H441" s="79"/>
      <c r="I441" s="79"/>
      <c r="J441" s="79"/>
      <c r="K441" s="76"/>
      <c r="L441" s="80"/>
      <c r="M441" s="76"/>
      <c r="N441" s="79"/>
      <c r="O441" s="76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>
      <c r="A442" s="77"/>
      <c r="B442" s="81"/>
      <c r="C442" s="17"/>
      <c r="D442" s="17"/>
      <c r="E442" s="17"/>
      <c r="F442" s="82"/>
      <c r="G442" s="79"/>
      <c r="H442" s="79"/>
      <c r="I442" s="79"/>
      <c r="J442" s="79"/>
      <c r="K442" s="76"/>
      <c r="L442" s="80"/>
      <c r="M442" s="76"/>
      <c r="N442" s="79"/>
      <c r="O442" s="76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>
      <c r="A443" s="77"/>
      <c r="B443" s="81"/>
      <c r="C443" s="17"/>
      <c r="D443" s="17"/>
      <c r="E443" s="17"/>
      <c r="F443" s="82"/>
      <c r="G443" s="79"/>
      <c r="H443" s="79"/>
      <c r="I443" s="79"/>
      <c r="J443" s="79"/>
      <c r="K443" s="76"/>
      <c r="L443" s="80"/>
      <c r="M443" s="76"/>
      <c r="N443" s="79"/>
      <c r="O443" s="76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>
      <c r="A444" s="77"/>
      <c r="B444" s="81"/>
      <c r="C444" s="17"/>
      <c r="D444" s="17"/>
      <c r="E444" s="17"/>
      <c r="F444" s="82"/>
      <c r="G444" s="79"/>
      <c r="H444" s="79"/>
      <c r="I444" s="79"/>
      <c r="J444" s="79"/>
      <c r="K444" s="76"/>
      <c r="L444" s="80"/>
      <c r="M444" s="76"/>
      <c r="N444" s="79"/>
      <c r="O444" s="76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>
      <c r="A445" s="77"/>
      <c r="B445" s="81"/>
      <c r="C445" s="17"/>
      <c r="D445" s="17"/>
      <c r="E445" s="17"/>
      <c r="F445" s="82"/>
      <c r="G445" s="79"/>
      <c r="H445" s="79"/>
      <c r="I445" s="79"/>
      <c r="J445" s="79"/>
      <c r="K445" s="76"/>
      <c r="L445" s="80"/>
      <c r="M445" s="76"/>
      <c r="N445" s="79"/>
      <c r="O445" s="76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</sheetData>
  <mergeCells count="4">
    <mergeCell ref="B1:F1"/>
    <mergeCell ref="G1:K1"/>
    <mergeCell ref="L1:M1"/>
    <mergeCell ref="N1:O1"/>
  </mergeCells>
  <dataValidations>
    <dataValidation type="list" allowBlank="1" sqref="H3:H5 H7 H11 H21:H22 C3:C42 C45 H61 C47:C69 H75 C71:C77 H78 C79:C80 C83:C85 H86 C87 H88 H90:H91 H95 C89:C108 H113 C111:C123 C126:C131 H126:H131 H133 H139 H149:H156 C133:C158 C160:C167 H170:H172 H184 H200 C170:C205 H206 C207 H208 H214 C209:C222 H223 C224:C226 H229 C229:C230 H231 H233 C232:C254 H256 C256:C266 C268 C270:C274 H276 H288 C278:C290 C293:C295 H295:H296 H309 C297:C317 H317 H341 H353:H355 H364 H375 C320:C389 H393 H399 C392:C426 H429 C429:C445">
      <formula1>"Ron,Euro"</formula1>
    </dataValidation>
    <dataValidation type="list" allowBlank="1" sqref="K3:K5 K7 K11 K21:K22 F3:F42 F45 K61 F47:F69 F71:F77 F79:F80 F83:F85 F87 F89:F90 F92:F97 F103:F108 F111:F112 F116:F123 F126:F131 K126:K131 K133 K139 K149:K156 F133:F167 K170:K172 K184 K200 F170:F205 K206 F207 K208 K214 F209:F222 K223 F224:F226 K229 F229:F230 K231 K233 F232:F254 K256 F256:F257 F261:F266 F268 F270:F274 K276 K288 F278:F290 F293:F295 K295:K296 K309 F297:F317 K317 K341 K353:K355 K364 K375 F320:F389 K393 K399 F392:F426 K429 F429:F445">
      <formula1>"Banca,Cash"</formula1>
    </dataValidation>
    <dataValidation type="list" allowBlank="1" sqref="D3:D42 D45 D47:D69 D71:D77 D79:D80 D83:D85 D87 D89:D108 D111:D123 D126:D131 D133:D167 I170 D170:D205 D207 D209:D222 D224:D226 D229:D230 D232:D254 D256:D266 D268 D270:D274 D278:D290 D293:D295 D297:D317 D320:D389 D392:D426 D429:D445">
      <formula1>"Carina,Radu,Arni,Luci,Sebi,Prezent,Tehnici,Salariu,Impozit,Contabila,TVA,Comision Retrageri,Comision Operatiune,ING Card,DJ,Podium,Video,Audio,Recuperari,Drum,Drive,Promo Meta,Promo Google,Promo TikTok,Factureaza,Protocol,Altele,Schimb Valutar,Lumini,Sala"&amp;" CS,Internet,Dividende"</formula1>
    </dataValidation>
    <dataValidation type="list" allowBlank="1" sqref="I3:I4 I7 I11 I21:I22 I61 I75 I78 I86 I88 I90:I91 I95 I113 I126:I131 I133 I139 I149:I156 I171:I172 I184 I200 I206 I208 I214 I223 I229 I231 I233 I256 I276 I288 I295:I296 I309 I317 I341 I353:I355 I364 I375 I393 I399 I429">
      <formula1>"Avans,Event,Imprumut,Altele"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.88"/>
    <col customWidth="1" min="3" max="3" width="12.13"/>
    <col customWidth="1" min="5" max="5" width="7.0"/>
    <col customWidth="1" min="7" max="7" width="8.63"/>
    <col customWidth="1" min="8" max="8" width="18.0"/>
    <col customWidth="1" min="9" max="9" width="5.88"/>
    <col customWidth="1" min="11" max="11" width="6.63"/>
    <col customWidth="1" min="14" max="14" width="9.25"/>
    <col customWidth="1" min="16" max="16" width="5.88"/>
  </cols>
  <sheetData>
    <row r="1">
      <c r="A1" s="45" t="s">
        <v>269</v>
      </c>
      <c r="B1" s="46"/>
      <c r="C1" s="45" t="s">
        <v>270</v>
      </c>
      <c r="D1" s="45"/>
      <c r="E1" s="45"/>
      <c r="F1" s="46"/>
      <c r="G1" s="45" t="s">
        <v>271</v>
      </c>
      <c r="H1" s="45" t="s">
        <v>272</v>
      </c>
      <c r="I1" s="45"/>
      <c r="K1" s="45" t="s">
        <v>273</v>
      </c>
      <c r="L1" s="46"/>
      <c r="M1" s="46"/>
      <c r="N1" s="45" t="s">
        <v>127</v>
      </c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</row>
    <row r="2">
      <c r="A2" s="45">
        <f>A5+A8+A11</f>
        <v>2400</v>
      </c>
      <c r="B2" s="46"/>
      <c r="C2" s="86"/>
      <c r="D2" s="45"/>
      <c r="E2" s="45"/>
      <c r="F2" s="46"/>
      <c r="G2" s="46"/>
      <c r="H2" s="45" t="s">
        <v>274</v>
      </c>
      <c r="I2" s="45">
        <v>2400.0</v>
      </c>
      <c r="K2" s="46"/>
      <c r="L2" s="46"/>
      <c r="M2" s="46"/>
      <c r="O2" s="45"/>
      <c r="P2" s="45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</row>
    <row r="3">
      <c r="A3" s="46"/>
      <c r="B3" s="46"/>
      <c r="C3" s="46"/>
      <c r="D3" s="46"/>
      <c r="E3" s="46"/>
      <c r="F3" s="46"/>
      <c r="G3" s="46"/>
      <c r="I3" s="45"/>
      <c r="J3" s="46"/>
      <c r="K3" s="46"/>
      <c r="L3" s="46"/>
      <c r="M3" s="46"/>
      <c r="N3" s="46"/>
      <c r="O3" s="45"/>
      <c r="P3" s="45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</row>
    <row r="4">
      <c r="A4" s="45" t="s">
        <v>275</v>
      </c>
      <c r="B4" s="46"/>
      <c r="C4" s="86"/>
      <c r="D4" s="46"/>
      <c r="E4" s="46"/>
      <c r="F4" s="46"/>
      <c r="G4" s="46"/>
      <c r="H4" s="45"/>
      <c r="I4" s="45"/>
      <c r="J4" s="46"/>
      <c r="K4" s="46"/>
      <c r="L4" s="46"/>
      <c r="M4" s="46"/>
      <c r="N4" s="46"/>
      <c r="O4" s="45"/>
      <c r="P4" s="45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</row>
    <row r="5">
      <c r="A5" s="46">
        <f>sum(E:E)</f>
        <v>0</v>
      </c>
      <c r="B5" s="46"/>
      <c r="C5" s="86"/>
      <c r="D5" s="46"/>
      <c r="E5" s="46"/>
      <c r="F5" s="46"/>
      <c r="G5" s="46"/>
      <c r="J5" s="46"/>
      <c r="K5" s="46"/>
      <c r="L5" s="46"/>
      <c r="M5" s="46"/>
      <c r="N5" s="46"/>
      <c r="O5" s="45"/>
      <c r="P5" s="45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</row>
    <row r="6">
      <c r="A6" s="46"/>
      <c r="B6" s="46"/>
      <c r="C6" s="46"/>
      <c r="D6" s="46"/>
      <c r="E6" s="46"/>
      <c r="F6" s="46"/>
      <c r="G6" s="46"/>
      <c r="H6" s="45"/>
      <c r="I6" s="45"/>
      <c r="J6" s="46"/>
      <c r="K6" s="46"/>
      <c r="L6" s="46"/>
      <c r="M6" s="46"/>
      <c r="N6" s="46"/>
      <c r="O6" s="45"/>
      <c r="P6" s="45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</row>
    <row r="7">
      <c r="A7" s="45" t="s">
        <v>276</v>
      </c>
      <c r="B7" s="46"/>
      <c r="C7" s="86"/>
      <c r="D7" s="46"/>
      <c r="E7" s="46"/>
      <c r="F7" s="46"/>
      <c r="G7" s="46"/>
      <c r="K7" s="46"/>
      <c r="L7" s="46"/>
      <c r="M7" s="46"/>
      <c r="N7" s="46"/>
      <c r="P7" s="45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>
      <c r="A8" s="46">
        <f>sum(I:I)</f>
        <v>2400</v>
      </c>
      <c r="B8" s="46"/>
      <c r="C8" s="86"/>
      <c r="D8" s="46"/>
      <c r="E8" s="46"/>
      <c r="F8" s="46"/>
      <c r="G8" s="46"/>
      <c r="J8" s="46"/>
      <c r="K8" s="46"/>
      <c r="L8" s="46"/>
      <c r="M8" s="46"/>
      <c r="N8" s="46"/>
      <c r="O8" s="45"/>
      <c r="P8" s="45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</row>
    <row r="9">
      <c r="A9" s="46"/>
      <c r="B9" s="46"/>
      <c r="C9" s="86"/>
      <c r="D9" s="46"/>
      <c r="E9" s="46"/>
      <c r="F9" s="46"/>
      <c r="G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</row>
    <row r="10">
      <c r="A10" s="45" t="s">
        <v>277</v>
      </c>
      <c r="B10" s="46"/>
      <c r="C10" s="86"/>
      <c r="D10" s="46"/>
      <c r="E10" s="46"/>
      <c r="F10" s="46"/>
      <c r="G10" s="46"/>
      <c r="H10" s="45"/>
      <c r="I10" s="45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</row>
    <row r="11">
      <c r="A11" s="46">
        <f>sum(L:L)</f>
        <v>0</v>
      </c>
      <c r="B11" s="46"/>
      <c r="C11" s="86"/>
      <c r="D11" s="46"/>
      <c r="E11" s="46"/>
      <c r="F11" s="46"/>
      <c r="G11" s="46"/>
      <c r="H11" s="45"/>
      <c r="I11" s="45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</row>
    <row r="12">
      <c r="A12" s="46"/>
      <c r="B12" s="46"/>
      <c r="C12" s="86"/>
      <c r="D12" s="86"/>
      <c r="E12" s="87"/>
      <c r="F12" s="46"/>
      <c r="G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</row>
    <row r="13">
      <c r="A13" s="45" t="s">
        <v>278</v>
      </c>
      <c r="B13" s="46"/>
      <c r="C13" s="86"/>
      <c r="D13" s="86"/>
      <c r="E13" s="87"/>
      <c r="F13" s="46"/>
      <c r="G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>
      <c r="A14" s="46">
        <f>sum(P:P)</f>
        <v>0</v>
      </c>
      <c r="B14" s="46"/>
      <c r="C14" s="86"/>
      <c r="D14" s="86"/>
      <c r="E14" s="87"/>
      <c r="F14" s="46"/>
      <c r="G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</row>
    <row r="15">
      <c r="A15" s="46"/>
      <c r="B15" s="46"/>
      <c r="C15" s="46"/>
      <c r="D15" s="46"/>
      <c r="E15" s="46"/>
      <c r="F15" s="46"/>
      <c r="G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</row>
    <row r="16">
      <c r="A16" s="46"/>
      <c r="B16" s="46"/>
      <c r="C16" s="46"/>
      <c r="D16" s="46"/>
      <c r="E16" s="46"/>
      <c r="F16" s="46"/>
      <c r="G16" s="46"/>
      <c r="H16" s="45"/>
      <c r="I16" s="45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88"/>
    <col customWidth="1" min="6" max="6" width="15.63"/>
    <col customWidth="1" min="8" max="8" width="16.88"/>
  </cols>
  <sheetData>
    <row r="1">
      <c r="A1" s="45" t="s">
        <v>117</v>
      </c>
      <c r="B1" s="46">
        <f>SUMIF('Tranzactii 2024'!H:H,'Tranzactii 2024'!H3,'Tranzactii 2024'!G:G)</f>
        <v>395162.23</v>
      </c>
      <c r="C1" s="46"/>
      <c r="D1" s="46"/>
      <c r="E1" s="45" t="s">
        <v>118</v>
      </c>
      <c r="F1" s="46">
        <f>COUNT('Evenimente 2024'!A:A)</f>
        <v>48</v>
      </c>
      <c r="J1" s="46"/>
      <c r="K1" s="46"/>
      <c r="L1" s="45" t="s">
        <v>119</v>
      </c>
      <c r="M1" s="45">
        <v>4.9</v>
      </c>
      <c r="N1" s="46"/>
      <c r="O1" s="46"/>
      <c r="P1" s="46"/>
      <c r="Q1" s="46"/>
      <c r="R1" s="46"/>
      <c r="S1" s="46"/>
    </row>
    <row r="2">
      <c r="A2" s="45" t="s">
        <v>120</v>
      </c>
      <c r="B2" s="46">
        <f>sumif('Tranzactii 2024'!H:H,'Tranzactii 2024'!H24,'Tranzactii 2024'!G:G)</f>
        <v>43940</v>
      </c>
      <c r="C2" s="46"/>
      <c r="D2" s="46"/>
      <c r="F2" s="46"/>
      <c r="G2" s="46"/>
      <c r="J2" s="46"/>
      <c r="L2" s="47"/>
      <c r="M2" s="48"/>
      <c r="N2" s="46"/>
      <c r="O2" s="46"/>
      <c r="P2" s="46"/>
      <c r="Q2" s="46"/>
      <c r="R2" s="46"/>
      <c r="S2" s="46"/>
    </row>
    <row r="3">
      <c r="A3" s="45" t="s">
        <v>121</v>
      </c>
      <c r="B3" s="46">
        <f>SUMIF('Tranzactii 2024'!C:C,'Tranzactii 2024'!C3,'Tranzactii 2024'!B:B)</f>
        <v>374021.83</v>
      </c>
      <c r="C3" s="46"/>
      <c r="D3" s="46"/>
      <c r="E3" s="45" t="s">
        <v>54</v>
      </c>
      <c r="F3" s="46">
        <f>countif('Evenimente 2024'!B:B,E3)</f>
        <v>23</v>
      </c>
      <c r="G3" s="46"/>
      <c r="J3" s="46"/>
      <c r="L3" s="49"/>
      <c r="M3" s="48"/>
      <c r="N3" s="46"/>
      <c r="O3" s="46"/>
      <c r="P3" s="46"/>
      <c r="Q3" s="46"/>
      <c r="R3" s="46"/>
      <c r="S3" s="46"/>
    </row>
    <row r="4">
      <c r="A4" s="45" t="s">
        <v>122</v>
      </c>
      <c r="B4" s="46">
        <f>sumif('Tranzactii 2024'!C:C,'Tranzactii 2024'!C24,'Tranzactii 2024'!B:B)</f>
        <v>43940</v>
      </c>
      <c r="C4" s="46"/>
      <c r="D4" s="46"/>
      <c r="E4" s="45" t="s">
        <v>55</v>
      </c>
      <c r="F4">
        <f>COUNTIF('Evenimente 2024'!C:C,E4)</f>
        <v>12</v>
      </c>
      <c r="G4" s="46"/>
      <c r="J4" s="46"/>
      <c r="K4" s="46"/>
      <c r="L4" s="46"/>
      <c r="M4" s="46"/>
      <c r="N4" s="46"/>
      <c r="O4" s="46"/>
      <c r="P4" s="46"/>
      <c r="Q4" s="46"/>
      <c r="R4" s="46"/>
      <c r="S4" s="46"/>
    </row>
    <row r="5">
      <c r="A5" s="45" t="s">
        <v>123</v>
      </c>
      <c r="B5" s="46">
        <f>sum('Tranzactii 2024'!L:L)</f>
        <v>233490</v>
      </c>
      <c r="C5" s="45" t="s">
        <v>124</v>
      </c>
      <c r="D5" s="46"/>
      <c r="E5" s="50" t="s">
        <v>125</v>
      </c>
      <c r="F5">
        <f>COUNTIF('Evenimente 2024'!C:C,E5)</f>
        <v>8</v>
      </c>
      <c r="G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>
      <c r="A6" s="45" t="s">
        <v>126</v>
      </c>
      <c r="B6" s="46">
        <f>sum('Tranzactii 2023'!N:N)</f>
        <v>4750</v>
      </c>
      <c r="C6" s="45" t="s">
        <v>124</v>
      </c>
      <c r="D6" s="46"/>
      <c r="G6" s="46"/>
      <c r="J6" s="46"/>
      <c r="K6" s="46"/>
      <c r="L6" s="46"/>
      <c r="M6" s="46"/>
      <c r="N6" s="46"/>
      <c r="O6" s="46"/>
      <c r="P6" s="46"/>
      <c r="Q6" s="46"/>
      <c r="R6" s="46"/>
      <c r="S6" s="46"/>
    </row>
    <row r="7">
      <c r="A7" s="45"/>
      <c r="B7" s="46"/>
      <c r="C7" s="45"/>
      <c r="D7" s="46"/>
      <c r="F7" s="46"/>
      <c r="G7" s="45"/>
      <c r="J7" s="46"/>
      <c r="K7" s="46"/>
      <c r="L7" s="46"/>
      <c r="M7" s="46"/>
      <c r="N7" s="46"/>
      <c r="O7" s="46"/>
      <c r="P7" s="46"/>
      <c r="Q7" s="46"/>
      <c r="R7" s="46"/>
      <c r="S7" s="46"/>
    </row>
    <row r="8">
      <c r="A8" s="46"/>
      <c r="B8" s="46"/>
      <c r="C8" s="46"/>
      <c r="D8" s="46"/>
      <c r="G8" s="46"/>
      <c r="J8" s="46"/>
      <c r="K8" s="46"/>
      <c r="L8" s="46"/>
      <c r="M8" s="46"/>
      <c r="N8" s="46"/>
      <c r="O8" s="46"/>
      <c r="P8" s="46"/>
      <c r="Q8" s="46"/>
      <c r="R8" s="46"/>
      <c r="S8" s="46"/>
    </row>
    <row r="9">
      <c r="A9" s="45" t="s">
        <v>127</v>
      </c>
      <c r="B9" s="46">
        <f>'DatoriiRecuperari 2024'!A14</f>
        <v>0</v>
      </c>
      <c r="C9" s="46"/>
      <c r="D9" s="46"/>
      <c r="E9" s="45" t="s">
        <v>34</v>
      </c>
      <c r="F9" s="46">
        <f>COUNTIF('Evenimente 2024'!B:B,E9)</f>
        <v>25</v>
      </c>
      <c r="G9" s="46"/>
      <c r="J9" s="46"/>
      <c r="K9" s="46"/>
      <c r="L9" s="46"/>
      <c r="M9" s="46"/>
      <c r="N9" s="46"/>
      <c r="O9" s="46"/>
      <c r="P9" s="46"/>
      <c r="Q9" s="46"/>
      <c r="R9" s="46"/>
      <c r="S9" s="46"/>
    </row>
    <row r="10">
      <c r="A10" s="45" t="s">
        <v>128</v>
      </c>
      <c r="B10" s="46">
        <f>'DatoriiRecuperari 2024'!A2</f>
        <v>0</v>
      </c>
      <c r="C10" s="46"/>
      <c r="D10" s="46"/>
      <c r="E10" s="45" t="s">
        <v>35</v>
      </c>
      <c r="F10" s="46">
        <f>COUNTIF('Evenimente 2024'!C:C,E10)</f>
        <v>17</v>
      </c>
      <c r="G10" s="46"/>
      <c r="J10" s="46"/>
      <c r="K10" s="46"/>
      <c r="L10" s="46"/>
      <c r="M10" s="46"/>
      <c r="N10" s="46"/>
      <c r="O10" s="46"/>
      <c r="P10" s="46"/>
      <c r="Q10" s="46"/>
      <c r="R10" s="46"/>
      <c r="S10" s="46"/>
    </row>
    <row r="11">
      <c r="A11" s="46"/>
      <c r="B11" s="46"/>
      <c r="C11" s="46"/>
      <c r="D11" s="46"/>
      <c r="E11" s="45" t="s">
        <v>78</v>
      </c>
      <c r="F11" s="46">
        <f>countif('Evenimente 2024'!C:C,E11)</f>
        <v>7</v>
      </c>
      <c r="G11" s="45"/>
      <c r="J11" s="46"/>
      <c r="K11" s="46"/>
      <c r="L11" s="46"/>
      <c r="M11" s="46"/>
      <c r="N11" s="46"/>
      <c r="O11" s="46"/>
      <c r="P11" s="46"/>
      <c r="Q11" s="46"/>
      <c r="R11" s="46"/>
      <c r="S11" s="46"/>
    </row>
    <row r="12">
      <c r="A12" s="45" t="s">
        <v>129</v>
      </c>
      <c r="B12" s="46">
        <f t="shared" ref="B12:B13" si="1">B1-B3</f>
        <v>21140.4</v>
      </c>
      <c r="C12" s="46"/>
      <c r="D12" s="46"/>
      <c r="E12" s="45" t="s">
        <v>130</v>
      </c>
      <c r="F12" s="46">
        <f>COUNTIF('Evenimente 2024'!C:C,E12)</f>
        <v>0</v>
      </c>
      <c r="G12" s="46"/>
      <c r="J12" s="46"/>
      <c r="K12" s="46"/>
      <c r="L12" s="46"/>
      <c r="M12" s="46"/>
      <c r="N12" s="46"/>
      <c r="O12" s="46"/>
      <c r="P12" s="46"/>
      <c r="Q12" s="46"/>
      <c r="R12" s="46"/>
      <c r="S12" s="46"/>
    </row>
    <row r="13">
      <c r="A13" s="45" t="s">
        <v>131</v>
      </c>
      <c r="B13" s="46">
        <f t="shared" si="1"/>
        <v>0</v>
      </c>
      <c r="C13" s="51">
        <f>B13*M1</f>
        <v>0</v>
      </c>
      <c r="D13" s="46"/>
      <c r="G13" s="46"/>
      <c r="J13" s="46"/>
      <c r="K13" s="46"/>
      <c r="L13" s="46"/>
      <c r="M13" s="46"/>
      <c r="N13" s="46"/>
      <c r="O13" s="46"/>
      <c r="P13" s="46"/>
      <c r="Q13" s="46"/>
      <c r="R13" s="46"/>
      <c r="S13" s="46"/>
    </row>
    <row r="14">
      <c r="A14" s="45" t="s">
        <v>132</v>
      </c>
      <c r="B14" s="88">
        <f>B12+C13</f>
        <v>21140.4</v>
      </c>
      <c r="C14" s="45" t="s">
        <v>124</v>
      </c>
      <c r="G14" s="46"/>
      <c r="J14" s="46"/>
      <c r="K14" s="46"/>
      <c r="L14" s="46"/>
      <c r="M14" s="46"/>
      <c r="N14" s="46"/>
      <c r="O14" s="46"/>
      <c r="P14" s="46"/>
      <c r="Q14" s="46"/>
      <c r="R14" s="46"/>
      <c r="S14" s="46"/>
    </row>
    <row r="15">
      <c r="A15" s="45" t="s">
        <v>133</v>
      </c>
      <c r="B15" s="53">
        <f>B14-B10+B9</f>
        <v>21140.4</v>
      </c>
      <c r="C15" s="45" t="s">
        <v>124</v>
      </c>
      <c r="D15" s="46"/>
      <c r="E15" s="50" t="s">
        <v>28</v>
      </c>
      <c r="F15" s="46">
        <f>COUNTIF('Evenimente 2024'!C:C,E15)</f>
        <v>3</v>
      </c>
      <c r="G15" s="45"/>
      <c r="J15" s="46"/>
      <c r="K15" s="46"/>
      <c r="L15" s="46"/>
      <c r="M15" s="46"/>
      <c r="N15" s="46"/>
      <c r="O15" s="46"/>
      <c r="P15" s="46"/>
      <c r="Q15" s="46"/>
      <c r="R15" s="46"/>
      <c r="S15" s="46"/>
    </row>
    <row r="16">
      <c r="A16" s="46"/>
      <c r="B16" s="46"/>
      <c r="C16" s="46"/>
      <c r="D16" s="46"/>
      <c r="E16" s="46"/>
      <c r="F16" s="46"/>
      <c r="G16" s="46"/>
      <c r="J16" s="46"/>
      <c r="K16" s="46"/>
      <c r="L16" s="46"/>
      <c r="M16" s="46"/>
      <c r="N16" s="46"/>
      <c r="O16" s="46"/>
      <c r="P16" s="46"/>
      <c r="Q16" s="46"/>
      <c r="R16" s="46"/>
      <c r="S16" s="46"/>
    </row>
    <row r="17">
      <c r="A17" s="46"/>
      <c r="B17" s="46"/>
      <c r="C17" s="46"/>
      <c r="D17" s="46"/>
      <c r="E17" s="45"/>
      <c r="F17" s="46"/>
      <c r="G17" s="46"/>
      <c r="J17" s="46"/>
      <c r="K17" s="46"/>
      <c r="L17" s="46"/>
      <c r="M17" s="46"/>
      <c r="N17" s="46"/>
      <c r="O17" s="46"/>
      <c r="P17" s="46"/>
      <c r="Q17" s="46"/>
      <c r="R17" s="46"/>
      <c r="S17" s="46"/>
    </row>
    <row r="18">
      <c r="A18" s="46"/>
      <c r="B18" s="46"/>
      <c r="C18" s="46"/>
      <c r="D18" s="46"/>
      <c r="E18" s="45"/>
      <c r="F18" s="46"/>
      <c r="G18" s="46"/>
      <c r="J18" s="46"/>
      <c r="K18" s="46"/>
      <c r="L18" s="46"/>
      <c r="M18" s="46"/>
      <c r="N18" s="46"/>
      <c r="O18" s="46"/>
      <c r="P18" s="46"/>
      <c r="Q18" s="46"/>
      <c r="R18" s="46"/>
      <c r="S18" s="46"/>
    </row>
    <row r="19">
      <c r="A19" s="45" t="s">
        <v>279</v>
      </c>
      <c r="B19" s="46">
        <f>SUMIF('Onorariu Artist 2024'!H:H,'Onorariu Artist 2024'!H5,'Onorariu Artist 2024'!G:G)</f>
        <v>37400</v>
      </c>
      <c r="C19" s="46"/>
      <c r="D19" s="46"/>
      <c r="E19" s="45"/>
      <c r="F19" s="46"/>
      <c r="G19" s="45"/>
      <c r="J19" s="46"/>
      <c r="K19" s="46"/>
      <c r="L19" s="46"/>
      <c r="M19" s="46"/>
      <c r="N19" s="46"/>
      <c r="O19" s="46"/>
      <c r="P19" s="46"/>
      <c r="Q19" s="46"/>
      <c r="R19" s="46"/>
      <c r="S19" s="46"/>
    </row>
    <row r="20">
      <c r="A20" s="45" t="s">
        <v>280</v>
      </c>
      <c r="B20" s="46">
        <f>sumif('Onorariu Artist 2024'!H:H,'Onorariu Artist 2024'!H4,'Onorariu Artist 2024'!G:G)</f>
        <v>6850</v>
      </c>
      <c r="C20" s="46"/>
      <c r="D20" s="46"/>
      <c r="E20" s="45"/>
      <c r="G20" s="46"/>
      <c r="J20" s="46"/>
      <c r="K20" s="46"/>
      <c r="L20" s="46"/>
      <c r="M20" s="46"/>
      <c r="N20" s="46"/>
      <c r="O20" s="46"/>
      <c r="P20" s="46"/>
      <c r="Q20" s="46"/>
      <c r="R20" s="46"/>
      <c r="S20" s="46"/>
    </row>
    <row r="21">
      <c r="A21" s="50" t="s">
        <v>136</v>
      </c>
      <c r="B21">
        <f>round(B20+B19/M1,0)</f>
        <v>14483</v>
      </c>
      <c r="C21" s="45" t="s">
        <v>137</v>
      </c>
      <c r="D21" s="46"/>
      <c r="E21" s="45" t="s">
        <v>138</v>
      </c>
      <c r="F21" s="46">
        <f>SUMIF('Tranzactii 2024'!D:D,"Comision Retrageri",'Tranzactii 2024'!B:B)</f>
        <v>749.25</v>
      </c>
      <c r="G21" s="46"/>
      <c r="J21" s="46"/>
      <c r="K21" s="46"/>
      <c r="L21" s="46"/>
      <c r="M21" s="46"/>
      <c r="N21" s="46"/>
      <c r="O21" s="46"/>
      <c r="P21" s="46"/>
      <c r="Q21" s="46"/>
      <c r="R21" s="46"/>
      <c r="S21" s="46"/>
    </row>
    <row r="22">
      <c r="C22" s="46"/>
      <c r="D22" s="46"/>
      <c r="E22" s="45" t="s">
        <v>139</v>
      </c>
      <c r="F22" s="46">
        <f>SUMIF('Tranzactii 2024'!D:D,"Comision Operatiune",'Tranzactii 2024'!B:B)</f>
        <v>15.33</v>
      </c>
      <c r="G22" s="46"/>
      <c r="J22" s="46"/>
      <c r="K22" s="46"/>
      <c r="L22" s="46"/>
      <c r="M22" s="46"/>
      <c r="N22" s="46"/>
      <c r="O22" s="46"/>
      <c r="P22" s="46"/>
      <c r="Q22" s="46"/>
      <c r="R22" s="46"/>
      <c r="S22" s="46"/>
    </row>
    <row r="23">
      <c r="A23" s="54" t="s">
        <v>281</v>
      </c>
      <c r="B23" s="55">
        <f>sumif('Onorariu Artist 2024'!H:H,'Onorariu Artist 2024'!H5,'Onorariu Artist 2024'!F:F)</f>
        <v>41070</v>
      </c>
      <c r="C23" s="46"/>
      <c r="D23" s="46"/>
      <c r="E23" s="45" t="s">
        <v>141</v>
      </c>
      <c r="F23" s="46">
        <f>SUMIF('Tranzactii 2024'!D:D,"Salariu",'Tranzactii 2024'!B:B)</f>
        <v>16644</v>
      </c>
      <c r="G23" s="46"/>
      <c r="J23" s="46"/>
      <c r="K23" s="46"/>
      <c r="L23" s="46"/>
      <c r="M23" s="46"/>
      <c r="N23" s="46"/>
      <c r="O23" s="46"/>
      <c r="P23" s="46"/>
      <c r="Q23" s="46"/>
      <c r="R23" s="46"/>
      <c r="S23" s="46"/>
    </row>
    <row r="24">
      <c r="A24" s="54" t="s">
        <v>282</v>
      </c>
      <c r="B24" s="55">
        <f>sumif('Onorariu Artist 2024'!H:H,'Onorariu Artist 2024'!H4,'Onorariu Artist 2024'!F:F)</f>
        <v>7300</v>
      </c>
      <c r="C24" s="46"/>
      <c r="D24" s="46"/>
      <c r="E24" s="45" t="s">
        <v>143</v>
      </c>
      <c r="F24" s="46">
        <f>SUMIF('Tranzactii 2024'!D:D,"TVA",'Tranzactii 2024'!B:B)</f>
        <v>669</v>
      </c>
      <c r="G24" s="46"/>
      <c r="J24" s="46"/>
      <c r="K24" s="46"/>
      <c r="L24" s="46"/>
      <c r="M24" s="46"/>
      <c r="N24" s="46"/>
      <c r="O24" s="46"/>
      <c r="P24" s="46"/>
      <c r="Q24" s="46"/>
      <c r="R24" s="46"/>
      <c r="S24" s="46"/>
    </row>
    <row r="25">
      <c r="A25" s="50" t="s">
        <v>283</v>
      </c>
      <c r="B25">
        <f>round(B24+B23/M1,0)</f>
        <v>15682</v>
      </c>
      <c r="C25" s="45" t="s">
        <v>137</v>
      </c>
      <c r="D25" s="46"/>
      <c r="E25" s="45" t="s">
        <v>145</v>
      </c>
      <c r="F25" s="46">
        <f>SUMIF('Tranzactii 2024'!D:D,"ING Card",'Tranzactii 2024'!B:B)</f>
        <v>415</v>
      </c>
      <c r="G25" s="46"/>
      <c r="J25" s="46"/>
      <c r="K25" s="46"/>
      <c r="L25" s="46"/>
      <c r="M25" s="46"/>
      <c r="N25" s="46"/>
      <c r="O25" s="46"/>
      <c r="P25" s="46"/>
      <c r="Q25" s="46"/>
      <c r="R25" s="46"/>
      <c r="S25" s="46"/>
    </row>
    <row r="26">
      <c r="D26" s="46"/>
      <c r="E26" s="45" t="s">
        <v>146</v>
      </c>
      <c r="F26" s="46">
        <f>SUMIF('Tranzactii 2024'!D:D,"Drive",'Tranzactii 2024'!B:B)</f>
        <v>2157.05</v>
      </c>
      <c r="G26" s="46"/>
      <c r="J26" s="46"/>
      <c r="K26" s="46"/>
      <c r="L26" s="46"/>
      <c r="M26" s="46"/>
      <c r="N26" s="46"/>
      <c r="O26" s="46"/>
      <c r="P26" s="46"/>
      <c r="Q26" s="46"/>
      <c r="R26" s="46"/>
      <c r="S26" s="46"/>
    </row>
    <row r="27">
      <c r="C27" s="46"/>
      <c r="D27" s="46"/>
      <c r="E27" s="46"/>
      <c r="F27" s="46"/>
      <c r="G27" s="46"/>
      <c r="J27" s="46"/>
      <c r="K27" s="46"/>
      <c r="L27" s="46"/>
      <c r="M27" s="46"/>
      <c r="N27" s="46"/>
      <c r="O27" s="46"/>
      <c r="P27" s="46"/>
      <c r="Q27" s="46"/>
      <c r="R27" s="46"/>
      <c r="S27" s="46"/>
    </row>
    <row r="28">
      <c r="C28" s="46"/>
      <c r="D28" s="46"/>
      <c r="E28" s="46"/>
      <c r="F28" s="46"/>
      <c r="G28" s="46"/>
      <c r="J28" s="46"/>
      <c r="K28" s="46"/>
      <c r="L28" s="46"/>
      <c r="M28" s="46"/>
      <c r="N28" s="46"/>
      <c r="O28" s="46"/>
      <c r="P28" s="46"/>
      <c r="Q28" s="46"/>
      <c r="R28" s="46"/>
      <c r="S28" s="46"/>
    </row>
    <row r="29">
      <c r="A29" s="56" t="s">
        <v>147</v>
      </c>
      <c r="B29" s="57"/>
      <c r="C29" s="46"/>
      <c r="D29" s="46"/>
      <c r="E29" s="46"/>
      <c r="F29" s="46"/>
      <c r="G29" s="46"/>
      <c r="J29" s="46"/>
      <c r="K29" s="46"/>
      <c r="L29" s="46"/>
      <c r="M29" s="46"/>
      <c r="N29" s="46"/>
      <c r="O29" s="46"/>
      <c r="P29" s="46"/>
      <c r="Q29" s="46"/>
      <c r="R29" s="46"/>
      <c r="S29" s="46"/>
    </row>
    <row r="30">
      <c r="A30" s="58" t="s">
        <v>148</v>
      </c>
      <c r="B30" s="59" t="str">
        <f>#REF!+B31+B32</f>
        <v>#REF!</v>
      </c>
      <c r="C30" s="46"/>
      <c r="D30" s="46"/>
      <c r="E30" s="46"/>
      <c r="F30" s="46"/>
      <c r="G30" s="46"/>
      <c r="J30" s="46"/>
      <c r="K30" s="46"/>
      <c r="L30" s="46"/>
      <c r="M30" s="46"/>
      <c r="N30" s="46"/>
      <c r="O30" s="46"/>
      <c r="P30" s="46"/>
      <c r="Q30" s="46"/>
      <c r="R30" s="46"/>
      <c r="S30" s="46"/>
    </row>
    <row r="31">
      <c r="A31" s="58" t="s">
        <v>149</v>
      </c>
      <c r="C31" s="46"/>
      <c r="D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</row>
    <row r="32">
      <c r="A32" s="58"/>
      <c r="C32" s="46"/>
      <c r="D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</row>
    <row r="33">
      <c r="A33" s="60"/>
      <c r="C33" s="46"/>
      <c r="D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</row>
    <row r="34">
      <c r="C34" s="46"/>
      <c r="D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</row>
    <row r="35">
      <c r="A35" s="45"/>
      <c r="B35" s="45"/>
      <c r="C35" s="46"/>
      <c r="D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</row>
    <row r="36">
      <c r="A36" s="46"/>
      <c r="B36" s="46"/>
      <c r="C36" s="46"/>
      <c r="D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</row>
    <row r="37">
      <c r="A37" s="46"/>
      <c r="B37" s="46"/>
      <c r="C37" s="46"/>
      <c r="D37" s="46"/>
      <c r="E37" s="45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</row>
    <row r="38">
      <c r="D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</row>
    <row r="39">
      <c r="D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</row>
    <row r="40">
      <c r="D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</row>
    <row r="41">
      <c r="D41" s="46"/>
      <c r="E41" s="54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</row>
    <row r="42">
      <c r="C42" s="46"/>
      <c r="D42" s="46"/>
      <c r="E42" s="54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</row>
    <row r="43">
      <c r="D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</row>
    <row r="44">
      <c r="C44" s="46"/>
      <c r="D44" s="46"/>
      <c r="E44" s="54"/>
      <c r="F44" s="54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</row>
    <row r="45">
      <c r="A45" s="46"/>
      <c r="B45" s="46"/>
      <c r="C45" s="46"/>
      <c r="D45" s="46"/>
      <c r="E45" s="54"/>
      <c r="F45" s="55"/>
      <c r="G45" s="46"/>
      <c r="J45" s="46"/>
      <c r="K45" s="46"/>
      <c r="L45" s="46"/>
      <c r="M45" s="46"/>
      <c r="N45" s="46"/>
      <c r="O45" s="46"/>
      <c r="P45" s="46"/>
      <c r="Q45" s="46"/>
      <c r="R45" s="46"/>
      <c r="S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</row>
    <row r="47"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</row>
    <row r="48"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</row>
    <row r="49"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</row>
    <row r="50"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</row>
    <row r="51"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</row>
    <row r="52"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</row>
    <row r="53"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0"/>
  <cols>
    <col customWidth="1" min="1" max="1" width="5.5"/>
    <col customWidth="1" min="2" max="2" width="6.75"/>
    <col customWidth="1" min="3" max="3" width="10.38"/>
    <col customWidth="1" min="4" max="4" width="15.5"/>
    <col customWidth="1" min="6" max="6" width="5.25"/>
    <col customWidth="1" min="7" max="7" width="7.13"/>
    <col customWidth="1" min="8" max="8" width="5.38"/>
    <col customWidth="1" min="9" max="9" width="6.5"/>
    <col customWidth="1" min="10" max="10" width="5.38"/>
    <col customWidth="1" min="11" max="11" width="4.88"/>
    <col customWidth="1" min="12" max="14" width="8.5"/>
    <col customWidth="1" min="15" max="15" width="7.5"/>
    <col customWidth="1" min="16" max="16" width="6.63"/>
    <col customWidth="1" min="17" max="17" width="6.88"/>
    <col customWidth="1" min="18" max="18" width="6.0"/>
    <col customWidth="1" min="19" max="22" width="8.5"/>
    <col customWidth="1" min="23" max="23" width="6.63"/>
    <col customWidth="1" min="24" max="24" width="2.75"/>
    <col customWidth="1" min="25" max="25" width="28.13"/>
    <col customWidth="1" min="26" max="26" width="2.63"/>
    <col customWidth="1" min="27" max="27" width="9.38"/>
    <col customWidth="1" min="28" max="28" width="6.75"/>
    <col customWidth="1" min="29" max="29" width="9.38"/>
    <col customWidth="1" min="30" max="30" width="6.75"/>
    <col customWidth="1" min="31" max="31" width="9.38"/>
    <col customWidth="1" min="32" max="32" width="6.75"/>
    <col customWidth="1" min="33" max="33" width="9.38"/>
    <col customWidth="1" min="34" max="34" width="6.75"/>
    <col customWidth="1" min="35" max="35" width="9.38"/>
    <col customWidth="1" min="36" max="36" width="6.75"/>
    <col customWidth="1" min="37" max="37" width="9.38"/>
    <col customWidth="1" min="38" max="39" width="6.75"/>
  </cols>
  <sheetData>
    <row r="1">
      <c r="G1" s="1"/>
      <c r="H1" s="1"/>
      <c r="I1" s="1"/>
      <c r="J1" s="1"/>
      <c r="N1" s="1"/>
      <c r="O1" s="2"/>
      <c r="P1" s="1"/>
      <c r="Q1" s="1"/>
      <c r="R1" s="2"/>
      <c r="S1" s="1"/>
      <c r="T1" s="3"/>
      <c r="U1" s="4"/>
      <c r="V1" s="1"/>
      <c r="W1" s="1"/>
      <c r="AA1" s="3" t="s">
        <v>0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5" t="s">
        <v>7</v>
      </c>
      <c r="H2" s="5" t="s">
        <v>8</v>
      </c>
      <c r="I2" s="5" t="s">
        <v>9</v>
      </c>
      <c r="J2" s="5" t="s">
        <v>8</v>
      </c>
      <c r="K2" s="6">
        <v>0.01</v>
      </c>
      <c r="L2" s="3" t="s">
        <v>10</v>
      </c>
      <c r="M2" s="3" t="s">
        <v>11</v>
      </c>
      <c r="N2" s="5" t="s">
        <v>12</v>
      </c>
      <c r="O2" s="7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8</v>
      </c>
      <c r="X2" s="8"/>
      <c r="Y2" s="3" t="s">
        <v>21</v>
      </c>
      <c r="Z2" s="8"/>
      <c r="AA2" s="5" t="s">
        <v>22</v>
      </c>
      <c r="AB2" s="5" t="s">
        <v>23</v>
      </c>
      <c r="AC2" s="5" t="s">
        <v>24</v>
      </c>
      <c r="AD2" s="5" t="s">
        <v>23</v>
      </c>
      <c r="AE2" s="5" t="s">
        <v>25</v>
      </c>
      <c r="AF2" s="5" t="s">
        <v>23</v>
      </c>
      <c r="AG2" s="5" t="s">
        <v>26</v>
      </c>
      <c r="AH2" s="5" t="s">
        <v>23</v>
      </c>
      <c r="AI2" s="5" t="s">
        <v>27</v>
      </c>
      <c r="AJ2" s="5" t="s">
        <v>23</v>
      </c>
      <c r="AK2" s="5" t="s">
        <v>28</v>
      </c>
      <c r="AL2" s="5" t="s">
        <v>23</v>
      </c>
      <c r="AM2" s="5"/>
    </row>
    <row r="3">
      <c r="A3" s="9" t="s">
        <v>29</v>
      </c>
      <c r="B3" s="10"/>
      <c r="C3" s="10"/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2"/>
      <c r="P3" s="11"/>
      <c r="Q3" s="11"/>
      <c r="R3" s="12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</row>
    <row r="4">
      <c r="A4" s="17">
        <v>27.0</v>
      </c>
      <c r="B4" s="17" t="s">
        <v>34</v>
      </c>
      <c r="C4" s="17" t="s">
        <v>35</v>
      </c>
      <c r="D4" s="17" t="s">
        <v>284</v>
      </c>
      <c r="E4" s="18"/>
      <c r="F4" s="17">
        <v>192.0</v>
      </c>
      <c r="G4" s="31">
        <v>3300.0</v>
      </c>
      <c r="H4" s="17" t="s">
        <v>37</v>
      </c>
      <c r="I4" s="31">
        <v>300.0</v>
      </c>
      <c r="J4" s="17" t="s">
        <v>37</v>
      </c>
      <c r="K4" s="20">
        <f>round(I4*1%,0)</f>
        <v>3</v>
      </c>
      <c r="L4" s="31">
        <f t="shared" ref="L4:L5" si="1">sum(AB4+AD4+AF4+AH4+AJ4+AL4)</f>
        <v>350</v>
      </c>
      <c r="M4" s="18">
        <f t="shared" ref="M4:M5" si="2">G4-K4-L4</f>
        <v>2947</v>
      </c>
      <c r="N4" s="18">
        <f t="shared" ref="N4:N5" si="3">round(O4*M4+I4,0)</f>
        <v>447</v>
      </c>
      <c r="O4" s="21">
        <v>0.05</v>
      </c>
      <c r="P4" s="18">
        <f t="shared" ref="P4:P5" si="4">round(R4*(M4-N4),0)</f>
        <v>0</v>
      </c>
      <c r="Q4" s="18">
        <f t="shared" ref="Q4:Q5" si="5">round(R4*AD4,0)</f>
        <v>0</v>
      </c>
      <c r="R4" s="21">
        <v>0.0</v>
      </c>
      <c r="S4" s="18">
        <f t="shared" ref="S4:S5" si="6">round(M4-N4-P4-Q4,0)</f>
        <v>2500</v>
      </c>
      <c r="T4" s="18">
        <f>S4/5</f>
        <v>500</v>
      </c>
      <c r="U4" s="31">
        <f>round(T4,-1)</f>
        <v>500</v>
      </c>
      <c r="V4" s="18">
        <f t="shared" ref="V4:V5" si="7">5*(T4-U4)</f>
        <v>0</v>
      </c>
      <c r="W4" s="17" t="s">
        <v>58</v>
      </c>
      <c r="X4" s="23"/>
      <c r="Y4" s="18"/>
      <c r="Z4" s="23"/>
      <c r="AA4" s="17" t="s">
        <v>285</v>
      </c>
      <c r="AB4" s="31">
        <v>350.0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</row>
    <row r="5">
      <c r="A5" s="17">
        <v>29.0</v>
      </c>
      <c r="B5" s="17" t="s">
        <v>54</v>
      </c>
      <c r="C5" s="17" t="s">
        <v>28</v>
      </c>
      <c r="D5" s="17" t="s">
        <v>286</v>
      </c>
      <c r="E5" s="17" t="s">
        <v>287</v>
      </c>
      <c r="F5" s="17"/>
      <c r="G5" s="31">
        <v>0.0</v>
      </c>
      <c r="H5" s="17" t="s">
        <v>58</v>
      </c>
      <c r="I5" s="31">
        <v>0.0</v>
      </c>
      <c r="J5" s="17" t="s">
        <v>58</v>
      </c>
      <c r="K5" s="20">
        <f>round(G5*1%,0)</f>
        <v>0</v>
      </c>
      <c r="L5" s="31">
        <f t="shared" si="1"/>
        <v>250</v>
      </c>
      <c r="M5" s="18">
        <f t="shared" si="2"/>
        <v>-250</v>
      </c>
      <c r="N5" s="18">
        <f t="shared" si="3"/>
        <v>0</v>
      </c>
      <c r="O5" s="21">
        <v>0.0</v>
      </c>
      <c r="P5" s="18">
        <f t="shared" si="4"/>
        <v>0</v>
      </c>
      <c r="Q5" s="18">
        <f t="shared" si="5"/>
        <v>0</v>
      </c>
      <c r="R5" s="21">
        <v>0.0</v>
      </c>
      <c r="S5" s="18">
        <f t="shared" si="6"/>
        <v>-250</v>
      </c>
      <c r="T5" s="17">
        <v>0.0</v>
      </c>
      <c r="U5" s="31">
        <v>0.0</v>
      </c>
      <c r="V5" s="18">
        <f t="shared" si="7"/>
        <v>0</v>
      </c>
      <c r="W5" s="17" t="s">
        <v>58</v>
      </c>
      <c r="X5" s="23"/>
      <c r="Y5" s="18"/>
      <c r="Z5" s="23"/>
      <c r="AA5" s="17" t="s">
        <v>38</v>
      </c>
      <c r="AB5" s="31">
        <v>0.0</v>
      </c>
      <c r="AC5" s="17" t="s">
        <v>288</v>
      </c>
      <c r="AD5" s="31">
        <v>250.0</v>
      </c>
      <c r="AE5" s="18"/>
      <c r="AF5" s="18"/>
      <c r="AG5" s="18"/>
      <c r="AH5" s="18"/>
      <c r="AI5" s="18"/>
      <c r="AJ5" s="18"/>
      <c r="AK5" s="18"/>
      <c r="AL5" s="18"/>
      <c r="AM5" s="18"/>
    </row>
    <row r="6">
      <c r="A6" s="13" t="s">
        <v>30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2"/>
      <c r="P6" s="11"/>
      <c r="Q6" s="11"/>
      <c r="R6" s="12"/>
      <c r="S6" s="11"/>
      <c r="T6" s="11"/>
      <c r="U6" s="11"/>
      <c r="V6" s="11"/>
      <c r="W6" s="11"/>
      <c r="X6" s="14"/>
      <c r="Y6" s="11"/>
      <c r="Z6" s="14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</row>
    <row r="7">
      <c r="A7" s="17">
        <v>2.0</v>
      </c>
      <c r="B7" s="17" t="s">
        <v>54</v>
      </c>
      <c r="C7" s="17" t="s">
        <v>55</v>
      </c>
      <c r="D7" s="17" t="s">
        <v>59</v>
      </c>
      <c r="E7" s="17"/>
      <c r="F7" s="17"/>
      <c r="G7" s="31">
        <v>6000.0</v>
      </c>
      <c r="H7" s="17" t="s">
        <v>58</v>
      </c>
      <c r="I7" s="31">
        <v>0.0</v>
      </c>
      <c r="J7" s="17" t="s">
        <v>58</v>
      </c>
      <c r="K7" s="20">
        <f t="shared" ref="K7:K8" si="8">round(G7*1%,0)</f>
        <v>60</v>
      </c>
      <c r="L7" s="31">
        <f t="shared" ref="L7:L8" si="9">sum(AB7+AD7+AF7+AH7+AJ7+AL7)</f>
        <v>2750</v>
      </c>
      <c r="M7" s="18">
        <f t="shared" ref="M7:M8" si="10">G7-K7-L7</f>
        <v>3190</v>
      </c>
      <c r="N7" s="18">
        <f t="shared" ref="N7:N8" si="11">round(O7*M7+I7,0)</f>
        <v>0</v>
      </c>
      <c r="O7" s="21">
        <v>0.0</v>
      </c>
      <c r="P7" s="18">
        <f t="shared" ref="P7:P8" si="12">round(R7*(M7-N7),0)</f>
        <v>319</v>
      </c>
      <c r="Q7" s="18">
        <f t="shared" ref="Q7:Q8" si="13">round(R7*AD7,0)</f>
        <v>125</v>
      </c>
      <c r="R7" s="21">
        <v>0.1</v>
      </c>
      <c r="S7" s="18">
        <f t="shared" ref="S7:S8" si="14">round(M7-N7-P7-Q7,0)</f>
        <v>2746</v>
      </c>
      <c r="T7" s="18">
        <f t="shared" ref="T7:T8" si="15">S7/5</f>
        <v>549.2</v>
      </c>
      <c r="U7" s="31">
        <v>600.0</v>
      </c>
      <c r="V7" s="18">
        <f t="shared" ref="V7:V8" si="16">5*(T7-U7)</f>
        <v>-254</v>
      </c>
      <c r="W7" s="17" t="s">
        <v>58</v>
      </c>
      <c r="X7" s="23"/>
      <c r="Y7" s="18"/>
      <c r="Z7" s="23"/>
      <c r="AA7" s="17" t="s">
        <v>38</v>
      </c>
      <c r="AB7" s="31">
        <v>1000.0</v>
      </c>
      <c r="AC7" s="17" t="s">
        <v>289</v>
      </c>
      <c r="AD7" s="31">
        <v>1250.0</v>
      </c>
      <c r="AE7" s="18"/>
      <c r="AF7" s="18"/>
      <c r="AG7" s="18"/>
      <c r="AH7" s="18"/>
      <c r="AI7" s="18"/>
      <c r="AJ7" s="18"/>
      <c r="AK7" s="17" t="s">
        <v>290</v>
      </c>
      <c r="AL7" s="31">
        <v>500.0</v>
      </c>
      <c r="AM7" s="31"/>
    </row>
    <row r="8">
      <c r="A8" s="17">
        <v>29.0</v>
      </c>
      <c r="B8" s="17" t="s">
        <v>54</v>
      </c>
      <c r="C8" s="17" t="s">
        <v>55</v>
      </c>
      <c r="D8" s="17" t="s">
        <v>291</v>
      </c>
      <c r="E8" s="17"/>
      <c r="F8" s="17"/>
      <c r="G8" s="31">
        <v>0.0</v>
      </c>
      <c r="H8" s="17" t="s">
        <v>58</v>
      </c>
      <c r="I8" s="31">
        <v>0.0</v>
      </c>
      <c r="J8" s="17" t="s">
        <v>58</v>
      </c>
      <c r="K8" s="20">
        <f t="shared" si="8"/>
        <v>0</v>
      </c>
      <c r="L8" s="31">
        <f t="shared" si="9"/>
        <v>750</v>
      </c>
      <c r="M8" s="18">
        <f t="shared" si="10"/>
        <v>-750</v>
      </c>
      <c r="N8" s="18">
        <f t="shared" si="11"/>
        <v>0</v>
      </c>
      <c r="O8" s="21">
        <v>0.0</v>
      </c>
      <c r="P8" s="18">
        <f t="shared" si="12"/>
        <v>0</v>
      </c>
      <c r="Q8" s="18">
        <f t="shared" si="13"/>
        <v>0</v>
      </c>
      <c r="R8" s="21">
        <v>0.0</v>
      </c>
      <c r="S8" s="18">
        <f t="shared" si="14"/>
        <v>-750</v>
      </c>
      <c r="T8" s="18">
        <f t="shared" si="15"/>
        <v>-150</v>
      </c>
      <c r="U8" s="31">
        <v>0.0</v>
      </c>
      <c r="V8" s="18">
        <f t="shared" si="16"/>
        <v>-750</v>
      </c>
      <c r="W8" s="17" t="s">
        <v>58</v>
      </c>
      <c r="X8" s="23"/>
      <c r="Y8" s="18"/>
      <c r="Z8" s="23"/>
      <c r="AA8" s="17" t="s">
        <v>38</v>
      </c>
      <c r="AB8" s="31">
        <v>0.0</v>
      </c>
      <c r="AC8" s="17" t="s">
        <v>292</v>
      </c>
      <c r="AD8" s="31">
        <v>750.0</v>
      </c>
      <c r="AE8" s="18"/>
      <c r="AF8" s="18"/>
      <c r="AG8" s="18"/>
      <c r="AH8" s="18"/>
      <c r="AI8" s="18"/>
      <c r="AJ8" s="18"/>
      <c r="AK8" s="17"/>
      <c r="AL8" s="17"/>
      <c r="AM8" s="17"/>
    </row>
    <row r="9" ht="15.75" customHeight="1">
      <c r="A9" s="13" t="s">
        <v>31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5"/>
      <c r="P9" s="14"/>
      <c r="Q9" s="14"/>
      <c r="R9" s="15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</row>
    <row r="10">
      <c r="A10" s="17">
        <v>1.0</v>
      </c>
      <c r="B10" s="17" t="s">
        <v>54</v>
      </c>
      <c r="C10" s="17" t="s">
        <v>28</v>
      </c>
      <c r="D10" s="17" t="s">
        <v>293</v>
      </c>
      <c r="E10" s="17"/>
      <c r="F10" s="17"/>
      <c r="G10" s="31">
        <v>0.0</v>
      </c>
      <c r="H10" s="17" t="s">
        <v>58</v>
      </c>
      <c r="I10" s="31">
        <v>0.0</v>
      </c>
      <c r="J10" s="17" t="s">
        <v>58</v>
      </c>
      <c r="K10" s="20">
        <f>round(G10*1%,0)</f>
        <v>0</v>
      </c>
      <c r="L10" s="31">
        <f t="shared" ref="L10:L13" si="17">sum(AB10+AD10+AF10+AH10+AJ10+AL10)</f>
        <v>750</v>
      </c>
      <c r="M10" s="18">
        <f t="shared" ref="M10:M13" si="18">G10-K10-L10</f>
        <v>-750</v>
      </c>
      <c r="N10" s="18">
        <f t="shared" ref="N10:N12" si="19">round(O10*M10+I10,0)</f>
        <v>0</v>
      </c>
      <c r="O10" s="21">
        <v>0.0</v>
      </c>
      <c r="P10" s="18">
        <f t="shared" ref="P10:P13" si="20">round(R10*(M10-N10),0)</f>
        <v>0</v>
      </c>
      <c r="Q10" s="18">
        <f t="shared" ref="Q10:Q13" si="21">round(R10*AD10,0)</f>
        <v>0</v>
      </c>
      <c r="R10" s="21">
        <v>0.0</v>
      </c>
      <c r="S10" s="18">
        <f t="shared" ref="S10:S13" si="22">round(M10-N10-P10-Q10,0)</f>
        <v>-750</v>
      </c>
      <c r="T10" s="18">
        <f t="shared" ref="T10:T13" si="23">S10/5</f>
        <v>-150</v>
      </c>
      <c r="U10" s="31">
        <v>0.0</v>
      </c>
      <c r="V10" s="18">
        <f t="shared" ref="V10:V13" si="24">5*(T10-U10)</f>
        <v>-750</v>
      </c>
      <c r="W10" s="17" t="s">
        <v>58</v>
      </c>
      <c r="X10" s="23"/>
      <c r="Y10" s="18"/>
      <c r="Z10" s="23"/>
      <c r="AA10" s="17" t="s">
        <v>38</v>
      </c>
      <c r="AB10" s="31">
        <v>0.0</v>
      </c>
      <c r="AC10" s="17" t="s">
        <v>292</v>
      </c>
      <c r="AD10" s="31">
        <v>750.0</v>
      </c>
      <c r="AE10" s="18"/>
      <c r="AF10" s="18"/>
      <c r="AG10" s="18"/>
      <c r="AH10" s="18"/>
      <c r="AI10" s="18"/>
      <c r="AJ10" s="18"/>
      <c r="AK10" s="17"/>
      <c r="AL10" s="17"/>
      <c r="AM10" s="17"/>
    </row>
    <row r="11">
      <c r="A11" s="17">
        <v>1.0</v>
      </c>
      <c r="B11" s="17" t="s">
        <v>54</v>
      </c>
      <c r="C11" s="17" t="s">
        <v>55</v>
      </c>
      <c r="D11" s="17" t="s">
        <v>294</v>
      </c>
      <c r="E11" s="17"/>
      <c r="F11" s="17"/>
      <c r="G11" s="31">
        <v>880.0</v>
      </c>
      <c r="H11" s="17" t="s">
        <v>58</v>
      </c>
      <c r="I11" s="31">
        <v>0.0</v>
      </c>
      <c r="J11" s="17" t="s">
        <v>58</v>
      </c>
      <c r="K11" s="32">
        <v>0.0</v>
      </c>
      <c r="L11" s="31">
        <f t="shared" si="17"/>
        <v>750</v>
      </c>
      <c r="M11" s="18">
        <f t="shared" si="18"/>
        <v>130</v>
      </c>
      <c r="N11" s="18">
        <f t="shared" si="19"/>
        <v>0</v>
      </c>
      <c r="O11" s="21">
        <v>0.0</v>
      </c>
      <c r="P11" s="18">
        <f t="shared" si="20"/>
        <v>0</v>
      </c>
      <c r="Q11" s="18">
        <f t="shared" si="21"/>
        <v>0</v>
      </c>
      <c r="R11" s="21">
        <v>0.0</v>
      </c>
      <c r="S11" s="18">
        <f t="shared" si="22"/>
        <v>130</v>
      </c>
      <c r="T11" s="18">
        <f t="shared" si="23"/>
        <v>26</v>
      </c>
      <c r="U11" s="31">
        <v>0.0</v>
      </c>
      <c r="V11" s="18">
        <f t="shared" si="24"/>
        <v>130</v>
      </c>
      <c r="W11" s="17" t="s">
        <v>58</v>
      </c>
      <c r="X11" s="23"/>
      <c r="Y11" s="18"/>
      <c r="Z11" s="23"/>
      <c r="AA11" s="17" t="s">
        <v>38</v>
      </c>
      <c r="AB11" s="31">
        <v>0.0</v>
      </c>
      <c r="AC11" s="17" t="s">
        <v>292</v>
      </c>
      <c r="AD11" s="31">
        <v>750.0</v>
      </c>
      <c r="AE11" s="18"/>
      <c r="AF11" s="18"/>
      <c r="AG11" s="18"/>
      <c r="AH11" s="18"/>
      <c r="AI11" s="18"/>
      <c r="AJ11" s="18"/>
      <c r="AK11" s="17"/>
      <c r="AL11" s="17"/>
      <c r="AM11" s="17"/>
    </row>
    <row r="12">
      <c r="A12" s="17">
        <v>2.0</v>
      </c>
      <c r="B12" s="17" t="s">
        <v>54</v>
      </c>
      <c r="C12" s="17" t="s">
        <v>55</v>
      </c>
      <c r="D12" s="17" t="s">
        <v>295</v>
      </c>
      <c r="E12" s="17"/>
      <c r="F12" s="17"/>
      <c r="G12" s="31">
        <v>1000.0</v>
      </c>
      <c r="H12" s="17" t="s">
        <v>58</v>
      </c>
      <c r="I12" s="31">
        <v>0.0</v>
      </c>
      <c r="J12" s="17" t="s">
        <v>58</v>
      </c>
      <c r="K12" s="32">
        <v>0.0</v>
      </c>
      <c r="L12" s="31">
        <f t="shared" si="17"/>
        <v>750</v>
      </c>
      <c r="M12" s="18">
        <f t="shared" si="18"/>
        <v>250</v>
      </c>
      <c r="N12" s="18">
        <f t="shared" si="19"/>
        <v>0</v>
      </c>
      <c r="O12" s="21">
        <v>0.0</v>
      </c>
      <c r="P12" s="18">
        <f t="shared" si="20"/>
        <v>0</v>
      </c>
      <c r="Q12" s="18">
        <f t="shared" si="21"/>
        <v>0</v>
      </c>
      <c r="R12" s="21">
        <v>0.0</v>
      </c>
      <c r="S12" s="18">
        <f t="shared" si="22"/>
        <v>250</v>
      </c>
      <c r="T12" s="18">
        <f t="shared" si="23"/>
        <v>50</v>
      </c>
      <c r="U12" s="31">
        <v>0.0</v>
      </c>
      <c r="V12" s="18">
        <f t="shared" si="24"/>
        <v>250</v>
      </c>
      <c r="W12" s="17" t="s">
        <v>58</v>
      </c>
      <c r="X12" s="23"/>
      <c r="Y12" s="18"/>
      <c r="Z12" s="23"/>
      <c r="AA12" s="17" t="s">
        <v>38</v>
      </c>
      <c r="AB12" s="31">
        <v>0.0</v>
      </c>
      <c r="AC12" s="17" t="s">
        <v>292</v>
      </c>
      <c r="AD12" s="31">
        <v>750.0</v>
      </c>
      <c r="AE12" s="18"/>
      <c r="AF12" s="18"/>
      <c r="AG12" s="18"/>
      <c r="AH12" s="18"/>
      <c r="AI12" s="18"/>
      <c r="AJ12" s="18"/>
      <c r="AK12" s="17"/>
      <c r="AL12" s="17"/>
      <c r="AM12" s="17"/>
    </row>
    <row r="13">
      <c r="A13" s="17">
        <v>8.0</v>
      </c>
      <c r="B13" s="17" t="s">
        <v>54</v>
      </c>
      <c r="C13" s="17" t="s">
        <v>55</v>
      </c>
      <c r="D13" s="17" t="s">
        <v>296</v>
      </c>
      <c r="E13" s="17"/>
      <c r="F13" s="17">
        <v>197.0</v>
      </c>
      <c r="G13" s="31">
        <v>7000.0</v>
      </c>
      <c r="H13" s="17" t="s">
        <v>58</v>
      </c>
      <c r="I13" s="31">
        <v>2000.0</v>
      </c>
      <c r="J13" s="17" t="s">
        <v>58</v>
      </c>
      <c r="K13" s="20">
        <f>round(G13*1%,0)</f>
        <v>70</v>
      </c>
      <c r="L13" s="31">
        <f t="shared" si="17"/>
        <v>4210</v>
      </c>
      <c r="M13" s="18">
        <f t="shared" si="18"/>
        <v>2720</v>
      </c>
      <c r="N13" s="17">
        <v>0.0</v>
      </c>
      <c r="O13" s="21">
        <v>0.0</v>
      </c>
      <c r="P13" s="18">
        <f t="shared" si="20"/>
        <v>0</v>
      </c>
      <c r="Q13" s="18">
        <f t="shared" si="21"/>
        <v>0</v>
      </c>
      <c r="R13" s="21">
        <v>0.0</v>
      </c>
      <c r="S13" s="18">
        <f t="shared" si="22"/>
        <v>2720</v>
      </c>
      <c r="T13" s="18">
        <f t="shared" si="23"/>
        <v>544</v>
      </c>
      <c r="U13" s="31">
        <v>700.0</v>
      </c>
      <c r="V13" s="18">
        <f t="shared" si="24"/>
        <v>-780</v>
      </c>
      <c r="W13" s="17" t="s">
        <v>58</v>
      </c>
      <c r="X13" s="23"/>
      <c r="Y13" s="18"/>
      <c r="Z13" s="23"/>
      <c r="AA13" s="17" t="s">
        <v>38</v>
      </c>
      <c r="AB13" s="31">
        <v>1000.0</v>
      </c>
      <c r="AC13" s="17" t="s">
        <v>289</v>
      </c>
      <c r="AD13" s="31">
        <v>1250.0</v>
      </c>
      <c r="AE13" s="18"/>
      <c r="AF13" s="31">
        <v>500.0</v>
      </c>
      <c r="AG13" s="17" t="s">
        <v>297</v>
      </c>
      <c r="AH13" s="31">
        <v>260.0</v>
      </c>
      <c r="AI13" s="17" t="s">
        <v>290</v>
      </c>
      <c r="AJ13" s="31">
        <v>500.0</v>
      </c>
      <c r="AK13" s="17" t="s">
        <v>298</v>
      </c>
      <c r="AL13" s="31">
        <v>700.0</v>
      </c>
      <c r="AM13" s="31"/>
    </row>
    <row r="14">
      <c r="A14" s="16" t="s">
        <v>32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5"/>
      <c r="P14" s="14"/>
      <c r="Q14" s="14"/>
      <c r="R14" s="15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</row>
    <row r="15">
      <c r="A15" s="17">
        <v>6.0</v>
      </c>
      <c r="B15" s="17" t="s">
        <v>54</v>
      </c>
      <c r="C15" s="17" t="s">
        <v>55</v>
      </c>
      <c r="D15" s="17" t="s">
        <v>299</v>
      </c>
      <c r="E15" s="17"/>
      <c r="F15" s="17"/>
      <c r="G15" s="31">
        <v>1700.0</v>
      </c>
      <c r="H15" s="17" t="s">
        <v>58</v>
      </c>
      <c r="I15" s="31">
        <v>0.0</v>
      </c>
      <c r="J15" s="17" t="s">
        <v>58</v>
      </c>
      <c r="K15" s="32">
        <v>0.0</v>
      </c>
      <c r="L15" s="31">
        <f t="shared" ref="L15:L17" si="25">sum(AB15+AD15+AF15+AH15+AJ15+AL15)</f>
        <v>3400</v>
      </c>
      <c r="M15" s="18">
        <f t="shared" ref="M15:M17" si="26">G15-K15-L15</f>
        <v>-1700</v>
      </c>
      <c r="N15" s="18">
        <f t="shared" ref="N15:N17" si="27">round(O15*M15+I15,0)</f>
        <v>0</v>
      </c>
      <c r="O15" s="21">
        <v>0.0</v>
      </c>
      <c r="P15" s="18">
        <f t="shared" ref="P15:P17" si="28">round(R15*(M15-N15),0)</f>
        <v>0</v>
      </c>
      <c r="Q15" s="18">
        <f t="shared" ref="Q15:Q17" si="29">round(R15*AD15,0)</f>
        <v>0</v>
      </c>
      <c r="R15" s="21">
        <v>0.0</v>
      </c>
      <c r="S15" s="18">
        <f t="shared" ref="S15:S17" si="30">round(M15-N15-P15-Q15,0)</f>
        <v>-1700</v>
      </c>
      <c r="T15" s="18">
        <f t="shared" ref="T15:T17" si="31">S15/5</f>
        <v>-340</v>
      </c>
      <c r="U15" s="31">
        <v>0.0</v>
      </c>
      <c r="V15" s="18">
        <f t="shared" ref="V15:V17" si="32">5*(T15-U15)</f>
        <v>-1700</v>
      </c>
      <c r="W15" s="17" t="s">
        <v>58</v>
      </c>
      <c r="X15" s="23"/>
      <c r="Y15" s="18"/>
      <c r="Z15" s="23"/>
      <c r="AA15" s="17" t="s">
        <v>38</v>
      </c>
      <c r="AB15" s="31">
        <v>0.0</v>
      </c>
      <c r="AC15" s="17" t="s">
        <v>289</v>
      </c>
      <c r="AD15" s="31">
        <v>1000.0</v>
      </c>
      <c r="AE15" s="18"/>
      <c r="AF15" s="18"/>
      <c r="AG15" s="18"/>
      <c r="AH15" s="18"/>
      <c r="AI15" s="18"/>
      <c r="AJ15" s="18"/>
      <c r="AK15" s="17" t="s">
        <v>227</v>
      </c>
      <c r="AL15" s="31">
        <v>2400.0</v>
      </c>
      <c r="AM15" s="17"/>
    </row>
    <row r="16">
      <c r="A16" s="17">
        <v>7.0</v>
      </c>
      <c r="B16" s="17" t="s">
        <v>54</v>
      </c>
      <c r="C16" s="17" t="s">
        <v>64</v>
      </c>
      <c r="D16" s="17" t="s">
        <v>300</v>
      </c>
      <c r="E16" s="17"/>
      <c r="F16" s="17"/>
      <c r="G16" s="31">
        <v>6000.0</v>
      </c>
      <c r="H16" s="17" t="s">
        <v>58</v>
      </c>
      <c r="I16" s="31">
        <v>0.0</v>
      </c>
      <c r="J16" s="17" t="s">
        <v>58</v>
      </c>
      <c r="K16" s="20">
        <f t="shared" ref="K16:K17" si="33">round(G16*1%,0)</f>
        <v>60</v>
      </c>
      <c r="L16" s="31">
        <f t="shared" si="25"/>
        <v>1500</v>
      </c>
      <c r="M16" s="18">
        <f t="shared" si="26"/>
        <v>4440</v>
      </c>
      <c r="N16" s="18">
        <f t="shared" si="27"/>
        <v>222</v>
      </c>
      <c r="O16" s="21">
        <v>0.05</v>
      </c>
      <c r="P16" s="18">
        <f t="shared" si="28"/>
        <v>422</v>
      </c>
      <c r="Q16" s="18">
        <f t="shared" si="29"/>
        <v>50</v>
      </c>
      <c r="R16" s="21">
        <v>0.1</v>
      </c>
      <c r="S16" s="18">
        <f t="shared" si="30"/>
        <v>3746</v>
      </c>
      <c r="T16" s="18">
        <f t="shared" si="31"/>
        <v>749.2</v>
      </c>
      <c r="U16" s="31">
        <f>round(T16,-1)</f>
        <v>750</v>
      </c>
      <c r="V16" s="18">
        <f t="shared" si="32"/>
        <v>-4</v>
      </c>
      <c r="W16" s="17" t="s">
        <v>58</v>
      </c>
      <c r="X16" s="23"/>
      <c r="Y16" s="18"/>
      <c r="Z16" s="23"/>
      <c r="AA16" s="17" t="s">
        <v>38</v>
      </c>
      <c r="AB16" s="31">
        <v>1000.0</v>
      </c>
      <c r="AC16" s="17" t="s">
        <v>292</v>
      </c>
      <c r="AD16" s="31">
        <v>500.0</v>
      </c>
      <c r="AE16" s="18"/>
      <c r="AF16" s="17"/>
      <c r="AG16" s="18"/>
      <c r="AH16" s="18"/>
      <c r="AI16" s="18"/>
      <c r="AJ16" s="18"/>
      <c r="AK16" s="18"/>
      <c r="AL16" s="18"/>
      <c r="AM16" s="18"/>
    </row>
    <row r="17">
      <c r="A17" s="17">
        <v>26.0</v>
      </c>
      <c r="B17" s="17" t="s">
        <v>54</v>
      </c>
      <c r="C17" s="17" t="s">
        <v>55</v>
      </c>
      <c r="D17" s="17" t="s">
        <v>59</v>
      </c>
      <c r="E17" s="17"/>
      <c r="F17" s="17"/>
      <c r="G17" s="31">
        <v>6000.0</v>
      </c>
      <c r="H17" s="17" t="s">
        <v>58</v>
      </c>
      <c r="I17" s="31">
        <v>0.0</v>
      </c>
      <c r="J17" s="17" t="s">
        <v>58</v>
      </c>
      <c r="K17" s="20">
        <f t="shared" si="33"/>
        <v>60</v>
      </c>
      <c r="L17" s="31">
        <f t="shared" si="25"/>
        <v>2000</v>
      </c>
      <c r="M17" s="18">
        <f t="shared" si="26"/>
        <v>3940</v>
      </c>
      <c r="N17" s="18">
        <f t="shared" si="27"/>
        <v>0</v>
      </c>
      <c r="O17" s="21">
        <v>0.0</v>
      </c>
      <c r="P17" s="18">
        <f t="shared" si="28"/>
        <v>394</v>
      </c>
      <c r="Q17" s="18">
        <f t="shared" si="29"/>
        <v>100</v>
      </c>
      <c r="R17" s="21">
        <v>0.1</v>
      </c>
      <c r="S17" s="18">
        <f t="shared" si="30"/>
        <v>3446</v>
      </c>
      <c r="T17" s="18">
        <f t="shared" si="31"/>
        <v>689.2</v>
      </c>
      <c r="U17" s="31">
        <v>700.0</v>
      </c>
      <c r="V17" s="18">
        <f t="shared" si="32"/>
        <v>-54</v>
      </c>
      <c r="W17" s="17" t="s">
        <v>58</v>
      </c>
      <c r="X17" s="23"/>
      <c r="Y17" s="18"/>
      <c r="Z17" s="23"/>
      <c r="AA17" s="17" t="s">
        <v>38</v>
      </c>
      <c r="AB17" s="31">
        <v>1000.0</v>
      </c>
      <c r="AC17" s="17" t="s">
        <v>289</v>
      </c>
      <c r="AD17" s="31">
        <v>1000.0</v>
      </c>
      <c r="AE17" s="18"/>
      <c r="AF17" s="18"/>
      <c r="AG17" s="18"/>
      <c r="AH17" s="18"/>
      <c r="AI17" s="18"/>
      <c r="AJ17" s="18"/>
      <c r="AK17" s="17"/>
      <c r="AL17" s="17"/>
      <c r="AM17" s="17"/>
    </row>
    <row r="18">
      <c r="A18" s="16" t="s">
        <v>33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5"/>
      <c r="P18" s="14"/>
      <c r="Q18" s="14"/>
      <c r="R18" s="15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</row>
    <row r="19">
      <c r="A19" s="17">
        <v>12.0</v>
      </c>
      <c r="B19" s="17" t="s">
        <v>54</v>
      </c>
      <c r="C19" s="17" t="s">
        <v>64</v>
      </c>
      <c r="D19" s="17" t="s">
        <v>301</v>
      </c>
      <c r="E19" s="17"/>
      <c r="F19" s="17"/>
      <c r="G19" s="31">
        <v>6000.0</v>
      </c>
      <c r="H19" s="17" t="s">
        <v>58</v>
      </c>
      <c r="I19" s="31">
        <v>0.0</v>
      </c>
      <c r="J19" s="17" t="s">
        <v>58</v>
      </c>
      <c r="K19" s="20">
        <f>round(G19*1%,0)</f>
        <v>60</v>
      </c>
      <c r="L19" s="31">
        <f>sum(AB19+AD19+AF19+AH19+AJ19+AL19)</f>
        <v>2000</v>
      </c>
      <c r="M19" s="18">
        <f>G19-K19-L19</f>
        <v>3940</v>
      </c>
      <c r="N19" s="18">
        <f>round(O19*M19+I19,0)</f>
        <v>197</v>
      </c>
      <c r="O19" s="21">
        <v>0.05</v>
      </c>
      <c r="P19" s="18">
        <f>round(R19*(M19-N19),0)</f>
        <v>374</v>
      </c>
      <c r="Q19" s="18">
        <f>round(R19*AD19,0)</f>
        <v>100</v>
      </c>
      <c r="R19" s="21">
        <v>0.1</v>
      </c>
      <c r="S19" s="18">
        <f>round(M19-N19-P19-Q19,0)</f>
        <v>3269</v>
      </c>
      <c r="T19" s="18">
        <f>S19/5</f>
        <v>653.8</v>
      </c>
      <c r="U19" s="31">
        <f>round(T19,-1)</f>
        <v>650</v>
      </c>
      <c r="V19" s="18">
        <f>5*(T19-U19)</f>
        <v>19</v>
      </c>
      <c r="W19" s="17" t="s">
        <v>58</v>
      </c>
      <c r="X19" s="23"/>
      <c r="Y19" s="18"/>
      <c r="Z19" s="23"/>
      <c r="AA19" s="17" t="s">
        <v>38</v>
      </c>
      <c r="AB19" s="31">
        <v>1000.0</v>
      </c>
      <c r="AC19" s="17" t="s">
        <v>289</v>
      </c>
      <c r="AD19" s="31">
        <v>1000.0</v>
      </c>
      <c r="AE19" s="18"/>
      <c r="AF19" s="17"/>
      <c r="AG19" s="18"/>
      <c r="AH19" s="18"/>
      <c r="AI19" s="18"/>
      <c r="AJ19" s="18"/>
      <c r="AK19" s="18"/>
      <c r="AL19" s="18"/>
      <c r="AM19" s="18"/>
    </row>
    <row r="20">
      <c r="A20" s="16" t="s">
        <v>39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5"/>
      <c r="P20" s="14"/>
      <c r="Q20" s="14"/>
      <c r="R20" s="15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</row>
    <row r="21">
      <c r="A21" s="17">
        <v>7.0</v>
      </c>
      <c r="B21" s="17" t="s">
        <v>54</v>
      </c>
      <c r="C21" s="17" t="s">
        <v>64</v>
      </c>
      <c r="D21" s="17" t="s">
        <v>302</v>
      </c>
      <c r="E21" s="17" t="s">
        <v>303</v>
      </c>
      <c r="F21" s="17"/>
      <c r="G21" s="31">
        <v>4000.0</v>
      </c>
      <c r="H21" s="17" t="s">
        <v>58</v>
      </c>
      <c r="I21" s="31">
        <v>0.0</v>
      </c>
      <c r="J21" s="17" t="s">
        <v>58</v>
      </c>
      <c r="K21" s="20">
        <f t="shared" ref="K21:K22" si="34">round(G21*1%,0)</f>
        <v>40</v>
      </c>
      <c r="L21" s="31">
        <f t="shared" ref="L21:L30" si="35">sum(AB21+AD21+AF21+AH21+AJ21+AL21)</f>
        <v>2000</v>
      </c>
      <c r="M21" s="18">
        <f t="shared" ref="M21:M30" si="36">G21-K21-L21</f>
        <v>1960</v>
      </c>
      <c r="N21" s="18">
        <f t="shared" ref="N21:N30" si="37">round(O21*M21+I21,0)</f>
        <v>1960</v>
      </c>
      <c r="O21" s="21">
        <v>1.0</v>
      </c>
      <c r="P21" s="18">
        <f t="shared" ref="P21:P30" si="38">round(R21*(M21-N21),0)</f>
        <v>0</v>
      </c>
      <c r="Q21" s="18">
        <f t="shared" ref="Q21:Q30" si="39">round(R21*AD21,0)</f>
        <v>100</v>
      </c>
      <c r="R21" s="21">
        <v>0.1</v>
      </c>
      <c r="S21" s="18">
        <f t="shared" ref="S21:S30" si="40">round(M21-N21-P21-Q21,0)</f>
        <v>-100</v>
      </c>
      <c r="T21" s="18">
        <f>S21/5</f>
        <v>-20</v>
      </c>
      <c r="U21" s="31">
        <f>round(T21,-1)</f>
        <v>-20</v>
      </c>
      <c r="V21" s="18">
        <f t="shared" ref="V21:V30" si="41">5*(T21-U21)</f>
        <v>0</v>
      </c>
      <c r="W21" s="17" t="s">
        <v>58</v>
      </c>
      <c r="X21" s="23"/>
      <c r="Y21" s="18"/>
      <c r="Z21" s="23"/>
      <c r="AA21" s="17" t="s">
        <v>38</v>
      </c>
      <c r="AB21" s="31">
        <v>1000.0</v>
      </c>
      <c r="AC21" s="17" t="s">
        <v>289</v>
      </c>
      <c r="AD21" s="31">
        <v>1000.0</v>
      </c>
      <c r="AE21" s="18"/>
      <c r="AF21" s="18"/>
      <c r="AG21" s="18"/>
      <c r="AH21" s="18"/>
      <c r="AI21" s="18"/>
      <c r="AJ21" s="18"/>
      <c r="AK21" s="18"/>
      <c r="AL21" s="18"/>
      <c r="AM21" s="18"/>
    </row>
    <row r="22">
      <c r="A22" s="17">
        <v>7.0</v>
      </c>
      <c r="B22" s="17" t="s">
        <v>54</v>
      </c>
      <c r="C22" s="17" t="s">
        <v>28</v>
      </c>
      <c r="D22" s="17" t="s">
        <v>286</v>
      </c>
      <c r="E22" s="17" t="s">
        <v>287</v>
      </c>
      <c r="F22" s="17"/>
      <c r="G22" s="31">
        <v>0.0</v>
      </c>
      <c r="H22" s="17" t="s">
        <v>58</v>
      </c>
      <c r="I22" s="31">
        <v>0.0</v>
      </c>
      <c r="J22" s="17" t="s">
        <v>58</v>
      </c>
      <c r="K22" s="20">
        <f t="shared" si="34"/>
        <v>0</v>
      </c>
      <c r="L22" s="31">
        <f t="shared" si="35"/>
        <v>250</v>
      </c>
      <c r="M22" s="18">
        <f t="shared" si="36"/>
        <v>-250</v>
      </c>
      <c r="N22" s="18">
        <f t="shared" si="37"/>
        <v>0</v>
      </c>
      <c r="O22" s="21">
        <v>0.0</v>
      </c>
      <c r="P22" s="18">
        <f t="shared" si="38"/>
        <v>0</v>
      </c>
      <c r="Q22" s="18">
        <f t="shared" si="39"/>
        <v>0</v>
      </c>
      <c r="R22" s="21">
        <v>0.0</v>
      </c>
      <c r="S22" s="18">
        <f t="shared" si="40"/>
        <v>-250</v>
      </c>
      <c r="T22" s="17">
        <v>0.0</v>
      </c>
      <c r="U22" s="31">
        <v>0.0</v>
      </c>
      <c r="V22" s="18">
        <f t="shared" si="41"/>
        <v>0</v>
      </c>
      <c r="W22" s="17" t="s">
        <v>58</v>
      </c>
      <c r="X22" s="23"/>
      <c r="Y22" s="18"/>
      <c r="Z22" s="23"/>
      <c r="AA22" s="17" t="s">
        <v>38</v>
      </c>
      <c r="AB22" s="31">
        <v>0.0</v>
      </c>
      <c r="AC22" s="17" t="s">
        <v>289</v>
      </c>
      <c r="AD22" s="31">
        <v>250.0</v>
      </c>
      <c r="AE22" s="18"/>
      <c r="AF22" s="18"/>
      <c r="AG22" s="18"/>
      <c r="AH22" s="18"/>
      <c r="AI22" s="18"/>
      <c r="AJ22" s="18"/>
      <c r="AK22" s="18"/>
      <c r="AL22" s="18"/>
      <c r="AM22" s="18"/>
    </row>
    <row r="23">
      <c r="A23" s="17">
        <v>8.0</v>
      </c>
      <c r="B23" s="17" t="s">
        <v>34</v>
      </c>
      <c r="C23" s="17" t="s">
        <v>35</v>
      </c>
      <c r="D23" s="17" t="s">
        <v>45</v>
      </c>
      <c r="E23" s="17"/>
      <c r="F23" s="17">
        <v>183.0</v>
      </c>
      <c r="G23" s="31">
        <v>3550.0</v>
      </c>
      <c r="H23" s="17" t="s">
        <v>37</v>
      </c>
      <c r="I23" s="31">
        <v>300.0</v>
      </c>
      <c r="J23" s="17" t="s">
        <v>37</v>
      </c>
      <c r="K23" s="20">
        <f>round(I23*1%,0)</f>
        <v>3</v>
      </c>
      <c r="L23" s="31">
        <f t="shared" si="35"/>
        <v>450</v>
      </c>
      <c r="M23" s="18">
        <f t="shared" si="36"/>
        <v>3097</v>
      </c>
      <c r="N23" s="18">
        <f t="shared" si="37"/>
        <v>579</v>
      </c>
      <c r="O23" s="21">
        <v>0.09</v>
      </c>
      <c r="P23" s="18">
        <f t="shared" si="38"/>
        <v>0</v>
      </c>
      <c r="Q23" s="18">
        <f t="shared" si="39"/>
        <v>0</v>
      </c>
      <c r="R23" s="21">
        <v>0.0</v>
      </c>
      <c r="S23" s="18">
        <f t="shared" si="40"/>
        <v>2518</v>
      </c>
      <c r="T23" s="18">
        <f t="shared" ref="T23:T30" si="42">S23/5</f>
        <v>503.6</v>
      </c>
      <c r="U23" s="31">
        <f t="shared" ref="U23:U30" si="43">round(T23,-1)</f>
        <v>500</v>
      </c>
      <c r="V23" s="18">
        <f t="shared" si="41"/>
        <v>18</v>
      </c>
      <c r="W23" s="17" t="s">
        <v>37</v>
      </c>
      <c r="X23" s="23"/>
      <c r="Y23" s="18"/>
      <c r="Z23" s="23"/>
      <c r="AA23" s="17" t="s">
        <v>38</v>
      </c>
      <c r="AB23" s="31">
        <v>200.0</v>
      </c>
      <c r="AC23" s="18"/>
      <c r="AD23" s="31">
        <v>200.0</v>
      </c>
      <c r="AE23" s="17" t="s">
        <v>304</v>
      </c>
      <c r="AF23" s="31">
        <v>50.0</v>
      </c>
      <c r="AG23" s="18"/>
      <c r="AH23" s="18"/>
      <c r="AI23" s="18"/>
      <c r="AJ23" s="18"/>
      <c r="AK23" s="18"/>
      <c r="AL23" s="18"/>
      <c r="AM23" s="18"/>
    </row>
    <row r="24">
      <c r="A24" s="17">
        <v>9.0</v>
      </c>
      <c r="B24" s="17" t="s">
        <v>34</v>
      </c>
      <c r="C24" s="17" t="s">
        <v>70</v>
      </c>
      <c r="D24" s="17" t="s">
        <v>45</v>
      </c>
      <c r="E24" s="17"/>
      <c r="F24" s="17"/>
      <c r="G24" s="31">
        <v>21149.0</v>
      </c>
      <c r="H24" s="17" t="s">
        <v>58</v>
      </c>
      <c r="I24" s="31">
        <v>1492.0</v>
      </c>
      <c r="J24" s="17" t="s">
        <v>58</v>
      </c>
      <c r="K24" s="20">
        <f t="shared" ref="K24:K25" si="44">round(G24*1%,0)</f>
        <v>211</v>
      </c>
      <c r="L24" s="31">
        <f t="shared" si="35"/>
        <v>6950</v>
      </c>
      <c r="M24" s="18">
        <f t="shared" si="36"/>
        <v>13988</v>
      </c>
      <c r="N24" s="18">
        <f t="shared" si="37"/>
        <v>2751</v>
      </c>
      <c r="O24" s="21">
        <v>0.09</v>
      </c>
      <c r="P24" s="18">
        <f t="shared" si="38"/>
        <v>1124</v>
      </c>
      <c r="Q24" s="18">
        <f t="shared" si="39"/>
        <v>100</v>
      </c>
      <c r="R24" s="21">
        <v>0.1</v>
      </c>
      <c r="S24" s="18">
        <f t="shared" si="40"/>
        <v>10013</v>
      </c>
      <c r="T24" s="18">
        <f t="shared" si="42"/>
        <v>2002.6</v>
      </c>
      <c r="U24" s="31">
        <f t="shared" si="43"/>
        <v>2000</v>
      </c>
      <c r="V24" s="18">
        <f t="shared" si="41"/>
        <v>13</v>
      </c>
      <c r="W24" s="17" t="s">
        <v>58</v>
      </c>
      <c r="X24" s="23"/>
      <c r="Y24" s="18"/>
      <c r="Z24" s="23"/>
      <c r="AA24" s="17" t="s">
        <v>285</v>
      </c>
      <c r="AB24" s="31">
        <v>1750.0</v>
      </c>
      <c r="AC24" s="18"/>
      <c r="AD24" s="31">
        <v>1000.0</v>
      </c>
      <c r="AE24" s="17" t="s">
        <v>304</v>
      </c>
      <c r="AF24" s="31">
        <v>250.0</v>
      </c>
      <c r="AG24" s="17" t="s">
        <v>41</v>
      </c>
      <c r="AH24" s="31">
        <v>1750.0</v>
      </c>
      <c r="AI24" s="17" t="s">
        <v>41</v>
      </c>
      <c r="AJ24" s="31">
        <v>2200.0</v>
      </c>
      <c r="AK24" s="18"/>
      <c r="AL24" s="18"/>
      <c r="AM24" s="18"/>
    </row>
    <row r="25">
      <c r="A25" s="17">
        <v>11.0</v>
      </c>
      <c r="B25" s="17" t="s">
        <v>34</v>
      </c>
      <c r="C25" s="17" t="s">
        <v>78</v>
      </c>
      <c r="D25" s="17" t="s">
        <v>305</v>
      </c>
      <c r="E25" s="17"/>
      <c r="F25" s="17"/>
      <c r="G25" s="31">
        <v>16920.0</v>
      </c>
      <c r="H25" s="17" t="s">
        <v>58</v>
      </c>
      <c r="I25" s="31">
        <v>0.0</v>
      </c>
      <c r="J25" s="17" t="s">
        <v>58</v>
      </c>
      <c r="K25" s="20">
        <f t="shared" si="44"/>
        <v>169</v>
      </c>
      <c r="L25" s="31">
        <f t="shared" si="35"/>
        <v>4750</v>
      </c>
      <c r="M25" s="18">
        <f t="shared" si="36"/>
        <v>12001</v>
      </c>
      <c r="N25" s="18">
        <f t="shared" si="37"/>
        <v>768</v>
      </c>
      <c r="O25" s="21">
        <v>0.064</v>
      </c>
      <c r="P25" s="18">
        <f t="shared" si="38"/>
        <v>1123</v>
      </c>
      <c r="Q25" s="18">
        <f t="shared" si="39"/>
        <v>125</v>
      </c>
      <c r="R25" s="21">
        <v>0.1</v>
      </c>
      <c r="S25" s="18">
        <f t="shared" si="40"/>
        <v>9985</v>
      </c>
      <c r="T25" s="18">
        <f t="shared" si="42"/>
        <v>1997</v>
      </c>
      <c r="U25" s="31">
        <f t="shared" si="43"/>
        <v>2000</v>
      </c>
      <c r="V25" s="18">
        <f t="shared" si="41"/>
        <v>-15</v>
      </c>
      <c r="W25" s="17" t="s">
        <v>58</v>
      </c>
      <c r="X25" s="23"/>
      <c r="Y25" s="18"/>
      <c r="Z25" s="23"/>
      <c r="AA25" s="17" t="s">
        <v>38</v>
      </c>
      <c r="AB25" s="31">
        <v>1000.0</v>
      </c>
      <c r="AC25" s="17" t="s">
        <v>289</v>
      </c>
      <c r="AD25" s="31">
        <v>1250.0</v>
      </c>
      <c r="AE25" s="17" t="s">
        <v>304</v>
      </c>
      <c r="AF25" s="31">
        <v>2000.0</v>
      </c>
      <c r="AG25" s="17"/>
      <c r="AH25" s="17"/>
      <c r="AI25" s="17"/>
      <c r="AJ25" s="17"/>
      <c r="AK25" s="17"/>
      <c r="AL25" s="31">
        <v>500.0</v>
      </c>
      <c r="AM25" s="17"/>
    </row>
    <row r="26">
      <c r="A26" s="17">
        <v>15.0</v>
      </c>
      <c r="B26" s="17" t="s">
        <v>34</v>
      </c>
      <c r="C26" s="17" t="s">
        <v>35</v>
      </c>
      <c r="D26" s="17" t="s">
        <v>306</v>
      </c>
      <c r="E26" s="17"/>
      <c r="F26" s="17"/>
      <c r="G26" s="31">
        <v>3850.0</v>
      </c>
      <c r="H26" s="17" t="s">
        <v>37</v>
      </c>
      <c r="I26" s="31">
        <v>300.0</v>
      </c>
      <c r="J26" s="17" t="s">
        <v>37</v>
      </c>
      <c r="K26" s="20">
        <f>round(I26*1%,0)</f>
        <v>3</v>
      </c>
      <c r="L26" s="31">
        <f t="shared" si="35"/>
        <v>570</v>
      </c>
      <c r="M26" s="18">
        <f t="shared" si="36"/>
        <v>3277</v>
      </c>
      <c r="N26" s="18">
        <f t="shared" si="37"/>
        <v>759</v>
      </c>
      <c r="O26" s="21">
        <v>0.14</v>
      </c>
      <c r="P26" s="18">
        <f t="shared" si="38"/>
        <v>0</v>
      </c>
      <c r="Q26" s="18">
        <f t="shared" si="39"/>
        <v>0</v>
      </c>
      <c r="R26" s="21">
        <v>0.0</v>
      </c>
      <c r="S26" s="18">
        <f t="shared" si="40"/>
        <v>2518</v>
      </c>
      <c r="T26" s="18">
        <f t="shared" si="42"/>
        <v>503.6</v>
      </c>
      <c r="U26" s="31">
        <f t="shared" si="43"/>
        <v>500</v>
      </c>
      <c r="V26" s="18">
        <f t="shared" si="41"/>
        <v>18</v>
      </c>
      <c r="W26" s="17" t="s">
        <v>37</v>
      </c>
      <c r="X26" s="23"/>
      <c r="Y26" s="18"/>
      <c r="Z26" s="23"/>
      <c r="AA26" s="17" t="s">
        <v>285</v>
      </c>
      <c r="AB26" s="31">
        <v>350.0</v>
      </c>
      <c r="AC26" s="18"/>
      <c r="AD26" s="31">
        <v>120.0</v>
      </c>
      <c r="AE26" s="17" t="s">
        <v>304</v>
      </c>
      <c r="AF26" s="31">
        <v>50.0</v>
      </c>
      <c r="AG26" s="18"/>
      <c r="AH26" s="18"/>
      <c r="AI26" s="18"/>
      <c r="AJ26" s="18"/>
      <c r="AK26" s="17"/>
      <c r="AL26" s="31">
        <v>50.0</v>
      </c>
      <c r="AM26" s="17"/>
    </row>
    <row r="27">
      <c r="A27" s="17">
        <v>21.0</v>
      </c>
      <c r="B27" s="17" t="s">
        <v>54</v>
      </c>
      <c r="C27" s="17" t="s">
        <v>64</v>
      </c>
      <c r="D27" s="17" t="s">
        <v>80</v>
      </c>
      <c r="E27" s="17" t="s">
        <v>81</v>
      </c>
      <c r="F27" s="17"/>
      <c r="G27" s="31">
        <v>7465.0</v>
      </c>
      <c r="H27" s="17" t="s">
        <v>58</v>
      </c>
      <c r="I27" s="31">
        <v>0.0</v>
      </c>
      <c r="J27" s="17" t="s">
        <v>58</v>
      </c>
      <c r="K27" s="20">
        <f>round(G27*1%,0)</f>
        <v>75</v>
      </c>
      <c r="L27" s="31">
        <f t="shared" si="35"/>
        <v>1500</v>
      </c>
      <c r="M27" s="18">
        <f t="shared" si="36"/>
        <v>5890</v>
      </c>
      <c r="N27" s="18">
        <f t="shared" si="37"/>
        <v>295</v>
      </c>
      <c r="O27" s="21">
        <v>0.05</v>
      </c>
      <c r="P27" s="18">
        <f t="shared" si="38"/>
        <v>560</v>
      </c>
      <c r="Q27" s="18">
        <f t="shared" si="39"/>
        <v>50</v>
      </c>
      <c r="R27" s="21">
        <v>0.1</v>
      </c>
      <c r="S27" s="18">
        <f t="shared" si="40"/>
        <v>4985</v>
      </c>
      <c r="T27" s="18">
        <f t="shared" si="42"/>
        <v>997</v>
      </c>
      <c r="U27" s="31">
        <f t="shared" si="43"/>
        <v>1000</v>
      </c>
      <c r="V27" s="18">
        <f t="shared" si="41"/>
        <v>-15</v>
      </c>
      <c r="W27" s="17" t="s">
        <v>58</v>
      </c>
      <c r="X27" s="23"/>
      <c r="Y27" s="18"/>
      <c r="Z27" s="23"/>
      <c r="AA27" s="17" t="s">
        <v>38</v>
      </c>
      <c r="AB27" s="31">
        <v>1000.0</v>
      </c>
      <c r="AC27" s="18"/>
      <c r="AD27" s="31">
        <v>500.0</v>
      </c>
      <c r="AE27" s="17"/>
      <c r="AF27" s="17"/>
      <c r="AG27" s="18"/>
      <c r="AH27" s="18"/>
      <c r="AI27" s="18"/>
      <c r="AJ27" s="18"/>
      <c r="AK27" s="18"/>
      <c r="AL27" s="18"/>
      <c r="AM27" s="18"/>
    </row>
    <row r="28">
      <c r="A28" s="69">
        <v>21.0</v>
      </c>
      <c r="B28" s="17" t="s">
        <v>34</v>
      </c>
      <c r="C28" s="17" t="s">
        <v>35</v>
      </c>
      <c r="D28" s="17" t="s">
        <v>45</v>
      </c>
      <c r="F28" s="69">
        <v>195.0</v>
      </c>
      <c r="G28" s="31">
        <v>4050.0</v>
      </c>
      <c r="H28" s="17" t="s">
        <v>37</v>
      </c>
      <c r="I28" s="31">
        <v>300.0</v>
      </c>
      <c r="J28" s="17" t="s">
        <v>37</v>
      </c>
      <c r="K28" s="20">
        <f>round(I28*1%,0)</f>
        <v>3</v>
      </c>
      <c r="L28" s="31">
        <f t="shared" si="35"/>
        <v>1100</v>
      </c>
      <c r="M28" s="18">
        <f t="shared" si="36"/>
        <v>2947</v>
      </c>
      <c r="N28" s="18">
        <f t="shared" si="37"/>
        <v>447</v>
      </c>
      <c r="O28" s="21">
        <v>0.05</v>
      </c>
      <c r="P28" s="18">
        <f t="shared" si="38"/>
        <v>0</v>
      </c>
      <c r="Q28" s="18">
        <f t="shared" si="39"/>
        <v>0</v>
      </c>
      <c r="R28" s="21">
        <v>0.0</v>
      </c>
      <c r="S28" s="18">
        <f t="shared" si="40"/>
        <v>2500</v>
      </c>
      <c r="T28" s="18">
        <f t="shared" si="42"/>
        <v>500</v>
      </c>
      <c r="U28" s="31">
        <f t="shared" si="43"/>
        <v>500</v>
      </c>
      <c r="V28" s="18">
        <f t="shared" si="41"/>
        <v>0</v>
      </c>
      <c r="W28" s="17" t="s">
        <v>37</v>
      </c>
      <c r="X28" s="23"/>
      <c r="Z28" s="23"/>
      <c r="AA28" s="17" t="s">
        <v>38</v>
      </c>
      <c r="AB28" s="31">
        <v>350.0</v>
      </c>
      <c r="AC28" s="18"/>
      <c r="AD28" s="31">
        <v>200.0</v>
      </c>
      <c r="AE28" s="17" t="s">
        <v>304</v>
      </c>
      <c r="AF28" s="31">
        <v>50.0</v>
      </c>
      <c r="AG28" s="17" t="s">
        <v>41</v>
      </c>
      <c r="AH28" s="31">
        <v>500.0</v>
      </c>
    </row>
    <row r="29">
      <c r="A29" s="69">
        <v>27.0</v>
      </c>
      <c r="B29" s="17" t="s">
        <v>34</v>
      </c>
      <c r="C29" s="17" t="s">
        <v>78</v>
      </c>
      <c r="D29" s="17" t="s">
        <v>307</v>
      </c>
      <c r="F29" s="69"/>
      <c r="G29" s="31">
        <v>12940.0</v>
      </c>
      <c r="H29" s="17" t="s">
        <v>58</v>
      </c>
      <c r="I29" s="31">
        <v>0.0</v>
      </c>
      <c r="J29" s="17" t="s">
        <v>58</v>
      </c>
      <c r="K29" s="20">
        <f>round(G29*1%,0)</f>
        <v>129</v>
      </c>
      <c r="L29" s="31">
        <f t="shared" si="35"/>
        <v>2750</v>
      </c>
      <c r="M29" s="18">
        <f t="shared" si="36"/>
        <v>10061</v>
      </c>
      <c r="N29" s="18">
        <f t="shared" si="37"/>
        <v>503</v>
      </c>
      <c r="O29" s="21">
        <v>0.05</v>
      </c>
      <c r="P29" s="18">
        <f t="shared" si="38"/>
        <v>956</v>
      </c>
      <c r="Q29" s="18">
        <f t="shared" si="39"/>
        <v>100</v>
      </c>
      <c r="R29" s="21">
        <v>0.1</v>
      </c>
      <c r="S29" s="18">
        <f t="shared" si="40"/>
        <v>8502</v>
      </c>
      <c r="T29" s="18">
        <f t="shared" si="42"/>
        <v>1700.4</v>
      </c>
      <c r="U29" s="31">
        <f t="shared" si="43"/>
        <v>1700</v>
      </c>
      <c r="V29" s="18">
        <f t="shared" si="41"/>
        <v>2</v>
      </c>
      <c r="W29" s="17" t="s">
        <v>58</v>
      </c>
      <c r="X29" s="23"/>
      <c r="Z29" s="23"/>
      <c r="AA29" s="17" t="s">
        <v>285</v>
      </c>
      <c r="AB29" s="31">
        <v>1750.0</v>
      </c>
      <c r="AC29" s="18"/>
      <c r="AD29" s="31">
        <v>1000.0</v>
      </c>
      <c r="AE29" s="17"/>
      <c r="AF29" s="17"/>
    </row>
    <row r="30">
      <c r="A30" s="17">
        <v>29.0</v>
      </c>
      <c r="B30" s="17" t="s">
        <v>34</v>
      </c>
      <c r="C30" s="17" t="s">
        <v>35</v>
      </c>
      <c r="D30" s="17" t="s">
        <v>45</v>
      </c>
      <c r="E30" s="17"/>
      <c r="F30" s="17">
        <v>184.0</v>
      </c>
      <c r="G30" s="31">
        <v>3450.0</v>
      </c>
      <c r="H30" s="17" t="s">
        <v>37</v>
      </c>
      <c r="I30" s="31">
        <v>300.0</v>
      </c>
      <c r="J30" s="17" t="s">
        <v>37</v>
      </c>
      <c r="K30" s="20">
        <f>round(I30*1%,0)</f>
        <v>3</v>
      </c>
      <c r="L30" s="31">
        <f t="shared" si="35"/>
        <v>450</v>
      </c>
      <c r="M30" s="18">
        <f t="shared" si="36"/>
        <v>2997</v>
      </c>
      <c r="N30" s="18">
        <f t="shared" si="37"/>
        <v>480</v>
      </c>
      <c r="O30" s="21">
        <v>0.06</v>
      </c>
      <c r="P30" s="18">
        <f t="shared" si="38"/>
        <v>0</v>
      </c>
      <c r="Q30" s="18">
        <f t="shared" si="39"/>
        <v>0</v>
      </c>
      <c r="R30" s="21">
        <v>0.0</v>
      </c>
      <c r="S30" s="18">
        <f t="shared" si="40"/>
        <v>2517</v>
      </c>
      <c r="T30" s="18">
        <f t="shared" si="42"/>
        <v>503.4</v>
      </c>
      <c r="U30" s="31">
        <f t="shared" si="43"/>
        <v>500</v>
      </c>
      <c r="V30" s="18">
        <f t="shared" si="41"/>
        <v>17</v>
      </c>
      <c r="W30" s="17" t="s">
        <v>37</v>
      </c>
      <c r="X30" s="23"/>
      <c r="Y30" s="18"/>
      <c r="Z30" s="23"/>
      <c r="AA30" s="17" t="s">
        <v>38</v>
      </c>
      <c r="AB30" s="31">
        <v>200.0</v>
      </c>
      <c r="AC30" s="18"/>
      <c r="AD30" s="31">
        <v>200.0</v>
      </c>
      <c r="AE30" s="17" t="s">
        <v>304</v>
      </c>
      <c r="AF30" s="31">
        <v>50.0</v>
      </c>
      <c r="AG30" s="18"/>
      <c r="AH30" s="18"/>
      <c r="AI30" s="18"/>
      <c r="AJ30" s="18"/>
      <c r="AK30" s="18"/>
      <c r="AL30" s="18"/>
      <c r="AM30" s="18"/>
    </row>
    <row r="31">
      <c r="A31" s="24" t="s">
        <v>42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6"/>
      <c r="P31" s="25"/>
      <c r="Q31" s="25"/>
      <c r="R31" s="26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</row>
    <row r="32">
      <c r="A32" s="17">
        <v>5.0</v>
      </c>
      <c r="B32" s="17" t="s">
        <v>34</v>
      </c>
      <c r="C32" s="17" t="s">
        <v>35</v>
      </c>
      <c r="D32" s="17" t="s">
        <v>45</v>
      </c>
      <c r="E32" s="17"/>
      <c r="F32" s="17">
        <v>198.0</v>
      </c>
      <c r="G32" s="31">
        <v>3600.0</v>
      </c>
      <c r="H32" s="17" t="s">
        <v>37</v>
      </c>
      <c r="I32" s="31">
        <v>300.0</v>
      </c>
      <c r="J32" s="17" t="s">
        <v>37</v>
      </c>
      <c r="K32" s="20">
        <f t="shared" ref="K32:K33" si="45">round(I32*1%,0)</f>
        <v>3</v>
      </c>
      <c r="L32" s="31">
        <f t="shared" ref="L32:L35" si="46">sum(AB32+AD32+AF32+AH32+AJ32+AL32)</f>
        <v>850</v>
      </c>
      <c r="M32" s="18">
        <f t="shared" ref="M32:M35" si="47">G32-K32-L32</f>
        <v>2747</v>
      </c>
      <c r="N32" s="18">
        <f t="shared" ref="N32:N35" si="48">round(O32*M32+I32,0)</f>
        <v>492</v>
      </c>
      <c r="O32" s="21">
        <v>0.07</v>
      </c>
      <c r="P32" s="18">
        <f t="shared" ref="P32:P35" si="49">round(R32*(M32-N32),0)</f>
        <v>0</v>
      </c>
      <c r="Q32" s="18">
        <f t="shared" ref="Q32:Q35" si="50">round(R32*AD32,0)</f>
        <v>0</v>
      </c>
      <c r="R32" s="21">
        <v>0.0</v>
      </c>
      <c r="S32" s="18">
        <f t="shared" ref="S32:S35" si="51">round(M32-N32-P32-Q32,0)</f>
        <v>2255</v>
      </c>
      <c r="T32" s="18">
        <f t="shared" ref="T32:T35" si="52">S32/5</f>
        <v>451</v>
      </c>
      <c r="U32" s="31">
        <f t="shared" ref="U32:U33" si="53">round(T32,-1)</f>
        <v>450</v>
      </c>
      <c r="V32" s="18">
        <f t="shared" ref="V32:V35" si="54">5*(T32-U32)</f>
        <v>5</v>
      </c>
      <c r="W32" s="17" t="s">
        <v>37</v>
      </c>
      <c r="X32" s="23"/>
      <c r="Y32" s="18"/>
      <c r="Z32" s="23"/>
      <c r="AA32" s="17" t="s">
        <v>38</v>
      </c>
      <c r="AB32" s="31">
        <v>200.0</v>
      </c>
      <c r="AC32" s="18"/>
      <c r="AD32" s="31">
        <v>200.0</v>
      </c>
      <c r="AE32" s="17" t="s">
        <v>304</v>
      </c>
      <c r="AF32" s="31">
        <v>50.0</v>
      </c>
      <c r="AG32" s="17" t="s">
        <v>308</v>
      </c>
      <c r="AH32" s="31">
        <v>400.0</v>
      </c>
      <c r="AI32" s="18"/>
      <c r="AJ32" s="18"/>
      <c r="AK32" s="18"/>
      <c r="AL32" s="18"/>
      <c r="AM32" s="18"/>
    </row>
    <row r="33">
      <c r="A33" s="17">
        <v>12.0</v>
      </c>
      <c r="B33" s="17" t="s">
        <v>34</v>
      </c>
      <c r="C33" s="17" t="s">
        <v>35</v>
      </c>
      <c r="D33" s="17" t="s">
        <v>309</v>
      </c>
      <c r="E33" s="17"/>
      <c r="F33" s="17">
        <v>177.0</v>
      </c>
      <c r="G33" s="31">
        <v>2750.0</v>
      </c>
      <c r="H33" s="17" t="s">
        <v>37</v>
      </c>
      <c r="I33" s="31">
        <v>300.0</v>
      </c>
      <c r="J33" s="17" t="s">
        <v>37</v>
      </c>
      <c r="K33" s="20">
        <f t="shared" si="45"/>
        <v>3</v>
      </c>
      <c r="L33" s="31">
        <f t="shared" si="46"/>
        <v>400</v>
      </c>
      <c r="M33" s="18">
        <f t="shared" si="47"/>
        <v>2347</v>
      </c>
      <c r="N33" s="18">
        <f t="shared" si="48"/>
        <v>323</v>
      </c>
      <c r="O33" s="21">
        <v>0.01</v>
      </c>
      <c r="P33" s="18">
        <f t="shared" si="49"/>
        <v>0</v>
      </c>
      <c r="Q33" s="18">
        <f t="shared" si="50"/>
        <v>0</v>
      </c>
      <c r="R33" s="21">
        <v>0.0</v>
      </c>
      <c r="S33" s="18">
        <f t="shared" si="51"/>
        <v>2024</v>
      </c>
      <c r="T33" s="18">
        <f t="shared" si="52"/>
        <v>404.8</v>
      </c>
      <c r="U33" s="31">
        <f t="shared" si="53"/>
        <v>400</v>
      </c>
      <c r="V33" s="18">
        <f t="shared" si="54"/>
        <v>24</v>
      </c>
      <c r="W33" s="17" t="s">
        <v>37</v>
      </c>
      <c r="X33" s="23"/>
      <c r="Y33" s="18"/>
      <c r="Z33" s="23"/>
      <c r="AA33" s="17" t="s">
        <v>38</v>
      </c>
      <c r="AB33" s="31">
        <v>200.0</v>
      </c>
      <c r="AC33" s="18"/>
      <c r="AD33" s="31">
        <v>200.0</v>
      </c>
      <c r="AE33" s="17"/>
      <c r="AF33" s="17"/>
      <c r="AG33" s="18"/>
      <c r="AH33" s="18"/>
      <c r="AI33" s="18"/>
      <c r="AJ33" s="18"/>
      <c r="AK33" s="18"/>
      <c r="AL33" s="18"/>
      <c r="AM33" s="18"/>
    </row>
    <row r="34">
      <c r="A34" s="17">
        <v>20.0</v>
      </c>
      <c r="B34" s="17" t="s">
        <v>54</v>
      </c>
      <c r="C34" s="17" t="s">
        <v>64</v>
      </c>
      <c r="D34" s="17" t="s">
        <v>310</v>
      </c>
      <c r="E34" s="17" t="s">
        <v>311</v>
      </c>
      <c r="F34" s="17"/>
      <c r="G34" s="31">
        <v>7500.0</v>
      </c>
      <c r="H34" s="17" t="s">
        <v>58</v>
      </c>
      <c r="I34" s="31">
        <v>0.0</v>
      </c>
      <c r="J34" s="17" t="s">
        <v>58</v>
      </c>
      <c r="K34" s="20">
        <f t="shared" ref="K34:K35" si="55">round(G34*1%,0)</f>
        <v>75</v>
      </c>
      <c r="L34" s="31">
        <f t="shared" si="46"/>
        <v>2200</v>
      </c>
      <c r="M34" s="18">
        <f t="shared" si="47"/>
        <v>5225</v>
      </c>
      <c r="N34" s="18">
        <f t="shared" si="48"/>
        <v>0</v>
      </c>
      <c r="O34" s="21">
        <v>0.0</v>
      </c>
      <c r="P34" s="18">
        <f t="shared" si="49"/>
        <v>523</v>
      </c>
      <c r="Q34" s="18">
        <f t="shared" si="50"/>
        <v>70</v>
      </c>
      <c r="R34" s="21">
        <v>0.1</v>
      </c>
      <c r="S34" s="18">
        <f t="shared" si="51"/>
        <v>4632</v>
      </c>
      <c r="T34" s="18">
        <f t="shared" si="52"/>
        <v>926.4</v>
      </c>
      <c r="U34" s="31">
        <v>950.0</v>
      </c>
      <c r="V34" s="18">
        <f t="shared" si="54"/>
        <v>-118</v>
      </c>
      <c r="W34" s="17" t="s">
        <v>58</v>
      </c>
      <c r="X34" s="23"/>
      <c r="Y34" s="18"/>
      <c r="Z34" s="23"/>
      <c r="AA34" s="17" t="s">
        <v>38</v>
      </c>
      <c r="AB34" s="31">
        <v>1000.0</v>
      </c>
      <c r="AC34" s="17"/>
      <c r="AD34" s="31">
        <v>700.0</v>
      </c>
      <c r="AE34" s="17" t="s">
        <v>304</v>
      </c>
      <c r="AF34" s="31">
        <v>500.0</v>
      </c>
      <c r="AG34" s="18"/>
      <c r="AH34" s="18"/>
      <c r="AI34" s="18"/>
      <c r="AJ34" s="18"/>
      <c r="AK34" s="18"/>
      <c r="AL34" s="18"/>
      <c r="AM34" s="18"/>
    </row>
    <row r="35">
      <c r="A35" s="17">
        <v>25.0</v>
      </c>
      <c r="B35" s="17" t="s">
        <v>54</v>
      </c>
      <c r="C35" s="17" t="s">
        <v>55</v>
      </c>
      <c r="D35" s="17" t="s">
        <v>312</v>
      </c>
      <c r="E35" s="17" t="s">
        <v>313</v>
      </c>
      <c r="F35" s="17"/>
      <c r="G35" s="31">
        <v>9952.0</v>
      </c>
      <c r="H35" s="17" t="s">
        <v>58</v>
      </c>
      <c r="I35" s="31">
        <v>0.0</v>
      </c>
      <c r="J35" s="17" t="s">
        <v>58</v>
      </c>
      <c r="K35" s="20">
        <f t="shared" si="55"/>
        <v>100</v>
      </c>
      <c r="L35" s="31">
        <f t="shared" si="46"/>
        <v>2000</v>
      </c>
      <c r="M35" s="18">
        <f t="shared" si="47"/>
        <v>7852</v>
      </c>
      <c r="N35" s="18">
        <f t="shared" si="48"/>
        <v>236</v>
      </c>
      <c r="O35" s="21">
        <v>0.03</v>
      </c>
      <c r="P35" s="18">
        <f t="shared" si="49"/>
        <v>762</v>
      </c>
      <c r="Q35" s="18">
        <f t="shared" si="50"/>
        <v>100</v>
      </c>
      <c r="R35" s="21">
        <v>0.1</v>
      </c>
      <c r="S35" s="18">
        <f t="shared" si="51"/>
        <v>6754</v>
      </c>
      <c r="T35" s="18">
        <f t="shared" si="52"/>
        <v>1350.8</v>
      </c>
      <c r="U35" s="31">
        <f>round(T35,-1)</f>
        <v>1350</v>
      </c>
      <c r="V35" s="18">
        <f t="shared" si="54"/>
        <v>4</v>
      </c>
      <c r="W35" s="17" t="s">
        <v>58</v>
      </c>
      <c r="X35" s="23"/>
      <c r="Y35" s="18"/>
      <c r="Z35" s="23"/>
      <c r="AA35" s="17" t="s">
        <v>38</v>
      </c>
      <c r="AB35" s="31">
        <v>1000.0</v>
      </c>
      <c r="AC35" s="18"/>
      <c r="AD35" s="31">
        <v>1000.0</v>
      </c>
      <c r="AE35" s="18"/>
      <c r="AF35" s="17"/>
      <c r="AG35" s="18"/>
      <c r="AH35" s="18"/>
      <c r="AI35" s="18"/>
      <c r="AJ35" s="18"/>
      <c r="AK35" s="18"/>
      <c r="AL35" s="18"/>
      <c r="AM35" s="18"/>
    </row>
    <row r="36">
      <c r="A36" s="27" t="s">
        <v>44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5"/>
      <c r="P36" s="14"/>
      <c r="Q36" s="14"/>
      <c r="R36" s="15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</row>
    <row r="37">
      <c r="A37" s="17">
        <v>15.0</v>
      </c>
      <c r="B37" s="17" t="s">
        <v>54</v>
      </c>
      <c r="C37" s="17" t="s">
        <v>64</v>
      </c>
      <c r="D37" s="17" t="s">
        <v>314</v>
      </c>
      <c r="E37" s="17" t="s">
        <v>315</v>
      </c>
      <c r="F37" s="17"/>
      <c r="G37" s="31">
        <v>9940.0</v>
      </c>
      <c r="H37" s="17" t="s">
        <v>58</v>
      </c>
      <c r="I37" s="31">
        <v>0.0</v>
      </c>
      <c r="J37" s="17" t="s">
        <v>58</v>
      </c>
      <c r="K37" s="20">
        <f t="shared" ref="K37:K40" si="56">round(G37*1%,0)</f>
        <v>99</v>
      </c>
      <c r="L37" s="31">
        <f t="shared" ref="L37:L41" si="57">sum(AB37+AD37+AF37+AH37+AJ37+AL37)</f>
        <v>3500</v>
      </c>
      <c r="M37" s="18">
        <f t="shared" ref="M37:M41" si="58">G37-K37-L37</f>
        <v>6341</v>
      </c>
      <c r="N37" s="18">
        <f t="shared" ref="N37:N41" si="59">round(O37*M37+I37,0)</f>
        <v>698</v>
      </c>
      <c r="O37" s="21">
        <v>0.11</v>
      </c>
      <c r="P37" s="18">
        <f t="shared" ref="P37:P41" si="60">round(R37*(M37-N37),0)</f>
        <v>564</v>
      </c>
      <c r="Q37" s="18">
        <f t="shared" ref="Q37:Q41" si="61">round(R37*AD37,0)</f>
        <v>100</v>
      </c>
      <c r="R37" s="21">
        <v>0.1</v>
      </c>
      <c r="S37" s="18">
        <f t="shared" ref="S37:S41" si="62">round(M37-N37-P37-Q37,0)</f>
        <v>4979</v>
      </c>
      <c r="T37" s="18">
        <f t="shared" ref="T37:T41" si="63">S37/5</f>
        <v>995.8</v>
      </c>
      <c r="U37" s="31">
        <f t="shared" ref="U37:U40" si="64">round(T37,-1)</f>
        <v>1000</v>
      </c>
      <c r="V37" s="18">
        <f t="shared" ref="V37:V41" si="65">5*(T37-U37)</f>
        <v>-21</v>
      </c>
      <c r="W37" s="17" t="s">
        <v>58</v>
      </c>
      <c r="X37" s="23"/>
      <c r="Y37" s="18"/>
      <c r="Z37" s="23"/>
      <c r="AA37" s="17" t="s">
        <v>38</v>
      </c>
      <c r="AB37" s="31">
        <v>1000.0</v>
      </c>
      <c r="AC37" s="18"/>
      <c r="AD37" s="31">
        <v>1000.0</v>
      </c>
      <c r="AE37" s="17" t="s">
        <v>304</v>
      </c>
      <c r="AF37" s="31">
        <v>500.0</v>
      </c>
      <c r="AG37" s="18"/>
      <c r="AH37" s="18"/>
      <c r="AI37" s="18"/>
      <c r="AJ37" s="18"/>
      <c r="AK37" s="17" t="s">
        <v>316</v>
      </c>
      <c r="AL37" s="31">
        <v>1000.0</v>
      </c>
      <c r="AM37" s="18"/>
    </row>
    <row r="38">
      <c r="A38" s="17">
        <v>17.0</v>
      </c>
      <c r="B38" s="17" t="s">
        <v>54</v>
      </c>
      <c r="C38" s="17" t="s">
        <v>64</v>
      </c>
      <c r="D38" s="17" t="s">
        <v>317</v>
      </c>
      <c r="E38" s="17" t="s">
        <v>315</v>
      </c>
      <c r="F38" s="17"/>
      <c r="G38" s="31">
        <v>9940.0</v>
      </c>
      <c r="H38" s="17" t="s">
        <v>58</v>
      </c>
      <c r="I38" s="31">
        <v>0.0</v>
      </c>
      <c r="J38" s="17" t="s">
        <v>58</v>
      </c>
      <c r="K38" s="20">
        <f t="shared" si="56"/>
        <v>99</v>
      </c>
      <c r="L38" s="31">
        <f t="shared" si="57"/>
        <v>2500</v>
      </c>
      <c r="M38" s="18">
        <f t="shared" si="58"/>
        <v>7341</v>
      </c>
      <c r="N38" s="18">
        <f t="shared" si="59"/>
        <v>587</v>
      </c>
      <c r="O38" s="21">
        <v>0.08</v>
      </c>
      <c r="P38" s="18">
        <f t="shared" si="60"/>
        <v>675</v>
      </c>
      <c r="Q38" s="18">
        <f t="shared" si="61"/>
        <v>100</v>
      </c>
      <c r="R38" s="21">
        <v>0.1</v>
      </c>
      <c r="S38" s="18">
        <f t="shared" si="62"/>
        <v>5979</v>
      </c>
      <c r="T38" s="18">
        <f t="shared" si="63"/>
        <v>1195.8</v>
      </c>
      <c r="U38" s="31">
        <f t="shared" si="64"/>
        <v>1200</v>
      </c>
      <c r="V38" s="18">
        <f t="shared" si="65"/>
        <v>-21</v>
      </c>
      <c r="W38" s="17" t="s">
        <v>58</v>
      </c>
      <c r="X38" s="23"/>
      <c r="Y38" s="18"/>
      <c r="Z38" s="23"/>
      <c r="AA38" s="17" t="s">
        <v>38</v>
      </c>
      <c r="AB38" s="31">
        <v>1000.0</v>
      </c>
      <c r="AC38" s="18"/>
      <c r="AD38" s="31">
        <v>1000.0</v>
      </c>
      <c r="AE38" s="17" t="s">
        <v>304</v>
      </c>
      <c r="AF38" s="31">
        <v>500.0</v>
      </c>
      <c r="AG38" s="18"/>
      <c r="AH38" s="18"/>
      <c r="AI38" s="18"/>
      <c r="AJ38" s="18"/>
      <c r="AK38" s="18"/>
      <c r="AL38" s="18"/>
      <c r="AM38" s="18"/>
    </row>
    <row r="39">
      <c r="A39" s="17">
        <v>25.0</v>
      </c>
      <c r="B39" s="17" t="s">
        <v>34</v>
      </c>
      <c r="C39" s="17" t="s">
        <v>35</v>
      </c>
      <c r="D39" s="17" t="s">
        <v>318</v>
      </c>
      <c r="E39" s="17"/>
      <c r="F39" s="17"/>
      <c r="G39" s="31">
        <v>12434.0</v>
      </c>
      <c r="H39" s="17" t="s">
        <v>58</v>
      </c>
      <c r="I39" s="31">
        <v>0.0</v>
      </c>
      <c r="J39" s="17" t="s">
        <v>58</v>
      </c>
      <c r="K39" s="20">
        <f t="shared" si="56"/>
        <v>124</v>
      </c>
      <c r="L39" s="31">
        <f t="shared" si="57"/>
        <v>2000</v>
      </c>
      <c r="M39" s="18">
        <f t="shared" si="58"/>
        <v>10310</v>
      </c>
      <c r="N39" s="18">
        <f t="shared" si="59"/>
        <v>464</v>
      </c>
      <c r="O39" s="21">
        <v>0.045</v>
      </c>
      <c r="P39" s="18">
        <f t="shared" si="60"/>
        <v>985</v>
      </c>
      <c r="Q39" s="18">
        <f t="shared" si="61"/>
        <v>100</v>
      </c>
      <c r="R39" s="21">
        <v>0.1</v>
      </c>
      <c r="S39" s="18">
        <f t="shared" si="62"/>
        <v>8761</v>
      </c>
      <c r="T39" s="18">
        <f t="shared" si="63"/>
        <v>1752.2</v>
      </c>
      <c r="U39" s="31">
        <f t="shared" si="64"/>
        <v>1750</v>
      </c>
      <c r="V39" s="18">
        <f t="shared" si="65"/>
        <v>11</v>
      </c>
      <c r="W39" s="17" t="s">
        <v>58</v>
      </c>
      <c r="X39" s="23"/>
      <c r="Y39" s="18"/>
      <c r="Z39" s="23"/>
      <c r="AA39" s="17" t="s">
        <v>38</v>
      </c>
      <c r="AB39" s="31">
        <v>1000.0</v>
      </c>
      <c r="AC39" s="18"/>
      <c r="AD39" s="31">
        <v>1000.0</v>
      </c>
      <c r="AE39" s="17"/>
      <c r="AF39" s="17"/>
      <c r="AG39" s="18"/>
      <c r="AH39" s="18"/>
      <c r="AI39" s="18"/>
      <c r="AJ39" s="18"/>
      <c r="AK39" s="18"/>
      <c r="AL39" s="18"/>
      <c r="AM39" s="18"/>
    </row>
    <row r="40">
      <c r="A40" s="17">
        <v>30.0</v>
      </c>
      <c r="B40" s="17" t="s">
        <v>54</v>
      </c>
      <c r="C40" s="17" t="s">
        <v>64</v>
      </c>
      <c r="D40" s="17" t="s">
        <v>302</v>
      </c>
      <c r="E40" s="17" t="s">
        <v>319</v>
      </c>
      <c r="F40" s="17"/>
      <c r="G40" s="31">
        <v>8700.0</v>
      </c>
      <c r="H40" s="17" t="s">
        <v>58</v>
      </c>
      <c r="I40" s="31">
        <v>0.0</v>
      </c>
      <c r="J40" s="17" t="s">
        <v>58</v>
      </c>
      <c r="K40" s="20">
        <f t="shared" si="56"/>
        <v>87</v>
      </c>
      <c r="L40" s="31">
        <f t="shared" si="57"/>
        <v>2500</v>
      </c>
      <c r="M40" s="18">
        <f t="shared" si="58"/>
        <v>6113</v>
      </c>
      <c r="N40" s="18">
        <f t="shared" si="59"/>
        <v>428</v>
      </c>
      <c r="O40" s="21">
        <v>0.07</v>
      </c>
      <c r="P40" s="18">
        <f t="shared" si="60"/>
        <v>569</v>
      </c>
      <c r="Q40" s="18">
        <f t="shared" si="61"/>
        <v>100</v>
      </c>
      <c r="R40" s="21">
        <v>0.1</v>
      </c>
      <c r="S40" s="18">
        <f t="shared" si="62"/>
        <v>5016</v>
      </c>
      <c r="T40" s="18">
        <f t="shared" si="63"/>
        <v>1003.2</v>
      </c>
      <c r="U40" s="31">
        <f t="shared" si="64"/>
        <v>1000</v>
      </c>
      <c r="V40" s="18">
        <f t="shared" si="65"/>
        <v>16</v>
      </c>
      <c r="W40" s="17" t="s">
        <v>58</v>
      </c>
      <c r="X40" s="23"/>
      <c r="Y40" s="18"/>
      <c r="Z40" s="23"/>
      <c r="AA40" s="17" t="s">
        <v>38</v>
      </c>
      <c r="AB40" s="31">
        <v>1000.0</v>
      </c>
      <c r="AC40" s="18"/>
      <c r="AD40" s="31">
        <v>1000.0</v>
      </c>
      <c r="AE40" s="17"/>
      <c r="AF40" s="31">
        <v>500.0</v>
      </c>
      <c r="AG40" s="18"/>
      <c r="AH40" s="18"/>
      <c r="AI40" s="18"/>
      <c r="AJ40" s="18"/>
      <c r="AK40" s="18"/>
      <c r="AL40" s="18"/>
      <c r="AM40" s="18"/>
    </row>
    <row r="41">
      <c r="A41" s="17">
        <v>31.0</v>
      </c>
      <c r="B41" s="17" t="s">
        <v>34</v>
      </c>
      <c r="C41" s="17" t="s">
        <v>35</v>
      </c>
      <c r="D41" s="17" t="s">
        <v>320</v>
      </c>
      <c r="E41" s="17"/>
      <c r="F41" s="17">
        <v>171.0</v>
      </c>
      <c r="G41" s="31">
        <v>2950.0</v>
      </c>
      <c r="H41" s="17" t="s">
        <v>37</v>
      </c>
      <c r="I41" s="31">
        <v>300.0</v>
      </c>
      <c r="J41" s="17" t="s">
        <v>37</v>
      </c>
      <c r="K41" s="20">
        <f>round(I41*1%,0)</f>
        <v>3</v>
      </c>
      <c r="L41" s="31">
        <f t="shared" si="57"/>
        <v>400</v>
      </c>
      <c r="M41" s="18">
        <f t="shared" si="58"/>
        <v>2547</v>
      </c>
      <c r="N41" s="18">
        <f t="shared" si="59"/>
        <v>300</v>
      </c>
      <c r="O41" s="21">
        <v>0.0</v>
      </c>
      <c r="P41" s="18">
        <f t="shared" si="60"/>
        <v>0</v>
      </c>
      <c r="Q41" s="18">
        <f t="shared" si="61"/>
        <v>0</v>
      </c>
      <c r="R41" s="21">
        <v>0.0</v>
      </c>
      <c r="S41" s="18">
        <f t="shared" si="62"/>
        <v>2247</v>
      </c>
      <c r="T41" s="18">
        <f t="shared" si="63"/>
        <v>449.4</v>
      </c>
      <c r="U41" s="31">
        <v>450.0</v>
      </c>
      <c r="V41" s="18">
        <f t="shared" si="65"/>
        <v>-3</v>
      </c>
      <c r="W41" s="17" t="s">
        <v>37</v>
      </c>
      <c r="X41" s="23"/>
      <c r="Y41" s="18"/>
      <c r="Z41" s="23"/>
      <c r="AA41" s="17" t="s">
        <v>38</v>
      </c>
      <c r="AB41" s="31">
        <v>200.0</v>
      </c>
      <c r="AC41" s="18"/>
      <c r="AD41" s="31">
        <v>200.0</v>
      </c>
      <c r="AE41" s="17"/>
      <c r="AF41" s="17"/>
      <c r="AG41" s="18"/>
      <c r="AH41" s="18"/>
      <c r="AI41" s="18"/>
      <c r="AJ41" s="18"/>
      <c r="AK41" s="18"/>
      <c r="AL41" s="18"/>
      <c r="AM41" s="18"/>
    </row>
    <row r="42">
      <c r="A42" s="27" t="s">
        <v>47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5"/>
      <c r="P42" s="14"/>
      <c r="Q42" s="14"/>
      <c r="R42" s="15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</row>
    <row r="43">
      <c r="A43" s="17">
        <v>1.0</v>
      </c>
      <c r="B43" s="17" t="s">
        <v>34</v>
      </c>
      <c r="C43" s="17" t="s">
        <v>78</v>
      </c>
      <c r="D43" s="17" t="s">
        <v>321</v>
      </c>
      <c r="E43" s="17" t="s">
        <v>322</v>
      </c>
      <c r="F43" s="17"/>
      <c r="G43" s="31">
        <v>10949.0</v>
      </c>
      <c r="H43" s="17" t="s">
        <v>58</v>
      </c>
      <c r="I43" s="31">
        <v>0.0</v>
      </c>
      <c r="J43" s="17" t="s">
        <v>58</v>
      </c>
      <c r="K43" s="20">
        <f>round(G43*1%,0)</f>
        <v>109</v>
      </c>
      <c r="L43" s="31">
        <f t="shared" ref="L43:L48" si="66">sum(AB43+AD43+AF43+AH43+AJ43+AL43)</f>
        <v>2000</v>
      </c>
      <c r="M43" s="18">
        <f t="shared" ref="M43:M48" si="67">G43-K43-L43</f>
        <v>8840</v>
      </c>
      <c r="N43" s="18">
        <f t="shared" ref="N43:N48" si="68">round(O43*M43+I43,0)</f>
        <v>398</v>
      </c>
      <c r="O43" s="21">
        <v>0.045</v>
      </c>
      <c r="P43" s="18">
        <f t="shared" ref="P43:P48" si="69">round(R43*(M43-N43),0)</f>
        <v>844</v>
      </c>
      <c r="Q43" s="18">
        <f t="shared" ref="Q43:Q48" si="70">round(R43*AD43,0)</f>
        <v>100</v>
      </c>
      <c r="R43" s="21">
        <v>0.1</v>
      </c>
      <c r="S43" s="18">
        <f t="shared" ref="S43:S48" si="71">round(M43-N43-P43-Q43,0)</f>
        <v>7498</v>
      </c>
      <c r="T43" s="18">
        <f t="shared" ref="T43:T48" si="72">S43/5</f>
        <v>1499.6</v>
      </c>
      <c r="U43" s="31">
        <f t="shared" ref="U43:U48" si="73">round(T43,-1)</f>
        <v>1500</v>
      </c>
      <c r="V43" s="18">
        <f t="shared" ref="V43:V48" si="74">5*(T43-U43)</f>
        <v>-2</v>
      </c>
      <c r="W43" s="17" t="s">
        <v>58</v>
      </c>
      <c r="X43" s="23"/>
      <c r="Y43" s="18"/>
      <c r="Z43" s="23"/>
      <c r="AA43" s="17" t="s">
        <v>38</v>
      </c>
      <c r="AB43" s="31">
        <v>1000.0</v>
      </c>
      <c r="AC43" s="18"/>
      <c r="AD43" s="31">
        <v>1000.0</v>
      </c>
      <c r="AE43" s="18"/>
      <c r="AF43" s="18"/>
      <c r="AG43" s="18"/>
      <c r="AH43" s="18"/>
      <c r="AI43" s="18"/>
      <c r="AJ43" s="18"/>
      <c r="AK43" s="18"/>
      <c r="AL43" s="18"/>
      <c r="AM43" s="18"/>
    </row>
    <row r="44">
      <c r="A44" s="17">
        <v>14.0</v>
      </c>
      <c r="B44" s="17" t="s">
        <v>34</v>
      </c>
      <c r="C44" s="17" t="s">
        <v>35</v>
      </c>
      <c r="D44" s="17" t="s">
        <v>36</v>
      </c>
      <c r="E44" s="17"/>
      <c r="F44" s="17"/>
      <c r="G44" s="31">
        <v>17250.0</v>
      </c>
      <c r="H44" s="17" t="s">
        <v>58</v>
      </c>
      <c r="I44" s="31">
        <v>0.0</v>
      </c>
      <c r="J44" s="17" t="s">
        <v>58</v>
      </c>
      <c r="K44" s="20">
        <f t="shared" ref="K44:K48" si="75">round(I44*1%,0)</f>
        <v>0</v>
      </c>
      <c r="L44" s="31">
        <f t="shared" si="66"/>
        <v>2250</v>
      </c>
      <c r="M44" s="18">
        <f t="shared" si="67"/>
        <v>15000</v>
      </c>
      <c r="N44" s="18">
        <f t="shared" si="68"/>
        <v>3000</v>
      </c>
      <c r="O44" s="21">
        <v>0.2</v>
      </c>
      <c r="P44" s="18">
        <f t="shared" si="69"/>
        <v>0</v>
      </c>
      <c r="Q44" s="18">
        <f t="shared" si="70"/>
        <v>0</v>
      </c>
      <c r="R44" s="21">
        <v>0.0</v>
      </c>
      <c r="S44" s="18">
        <f t="shared" si="71"/>
        <v>12000</v>
      </c>
      <c r="T44" s="18">
        <f t="shared" si="72"/>
        <v>2400</v>
      </c>
      <c r="U44" s="31">
        <f t="shared" si="73"/>
        <v>2400</v>
      </c>
      <c r="V44" s="18">
        <f t="shared" si="74"/>
        <v>0</v>
      </c>
      <c r="W44" s="17" t="s">
        <v>58</v>
      </c>
      <c r="X44" s="23"/>
      <c r="Y44" s="18"/>
      <c r="Z44" s="23"/>
      <c r="AA44" s="17" t="s">
        <v>38</v>
      </c>
      <c r="AB44" s="31">
        <v>1000.0</v>
      </c>
      <c r="AC44" s="18"/>
      <c r="AD44" s="31">
        <v>1000.0</v>
      </c>
      <c r="AE44" s="17"/>
      <c r="AF44" s="31">
        <v>250.0</v>
      </c>
      <c r="AG44" s="18"/>
      <c r="AH44" s="18"/>
      <c r="AI44" s="18"/>
      <c r="AJ44" s="18"/>
      <c r="AK44" s="18"/>
      <c r="AL44" s="18"/>
      <c r="AM44" s="18"/>
    </row>
    <row r="45">
      <c r="A45" s="17">
        <v>15.0</v>
      </c>
      <c r="B45" s="17" t="s">
        <v>34</v>
      </c>
      <c r="C45" s="17" t="s">
        <v>35</v>
      </c>
      <c r="D45" s="17" t="s">
        <v>323</v>
      </c>
      <c r="E45" s="17"/>
      <c r="F45" s="17">
        <v>186.0</v>
      </c>
      <c r="G45" s="31">
        <v>3800.0</v>
      </c>
      <c r="H45" s="17" t="s">
        <v>37</v>
      </c>
      <c r="I45" s="31">
        <v>300.0</v>
      </c>
      <c r="J45" s="17" t="s">
        <v>37</v>
      </c>
      <c r="K45" s="20">
        <f t="shared" si="75"/>
        <v>3</v>
      </c>
      <c r="L45" s="31">
        <f t="shared" si="66"/>
        <v>550</v>
      </c>
      <c r="M45" s="18">
        <f t="shared" si="67"/>
        <v>3247</v>
      </c>
      <c r="N45" s="18">
        <f t="shared" si="68"/>
        <v>755</v>
      </c>
      <c r="O45" s="21">
        <v>0.14</v>
      </c>
      <c r="P45" s="18">
        <f t="shared" si="69"/>
        <v>0</v>
      </c>
      <c r="Q45" s="18">
        <f t="shared" si="70"/>
        <v>0</v>
      </c>
      <c r="R45" s="21">
        <v>0.0</v>
      </c>
      <c r="S45" s="18">
        <f t="shared" si="71"/>
        <v>2492</v>
      </c>
      <c r="T45" s="18">
        <f t="shared" si="72"/>
        <v>498.4</v>
      </c>
      <c r="U45" s="31">
        <f t="shared" si="73"/>
        <v>500</v>
      </c>
      <c r="V45" s="18">
        <f t="shared" si="74"/>
        <v>-8</v>
      </c>
      <c r="W45" s="17" t="s">
        <v>37</v>
      </c>
      <c r="X45" s="23"/>
      <c r="Y45" s="18"/>
      <c r="Z45" s="23"/>
      <c r="AA45" s="17" t="s">
        <v>285</v>
      </c>
      <c r="AB45" s="31">
        <v>350.0</v>
      </c>
      <c r="AC45" s="18"/>
      <c r="AD45" s="31">
        <v>200.0</v>
      </c>
      <c r="AE45" s="17"/>
      <c r="AF45" s="17"/>
      <c r="AG45" s="18"/>
      <c r="AH45" s="18"/>
      <c r="AI45" s="18"/>
      <c r="AJ45" s="18"/>
      <c r="AK45" s="18"/>
      <c r="AL45" s="18"/>
      <c r="AM45" s="18"/>
    </row>
    <row r="46">
      <c r="A46" s="17">
        <v>22.0</v>
      </c>
      <c r="B46" s="17" t="s">
        <v>34</v>
      </c>
      <c r="C46" s="17" t="s">
        <v>35</v>
      </c>
      <c r="D46" s="17" t="s">
        <v>318</v>
      </c>
      <c r="E46" s="17"/>
      <c r="F46" s="17">
        <v>185.0</v>
      </c>
      <c r="G46" s="31">
        <v>3450.0</v>
      </c>
      <c r="H46" s="17" t="s">
        <v>37</v>
      </c>
      <c r="I46" s="31">
        <v>300.0</v>
      </c>
      <c r="J46" s="17" t="s">
        <v>37</v>
      </c>
      <c r="K46" s="20">
        <f t="shared" si="75"/>
        <v>3</v>
      </c>
      <c r="L46" s="31">
        <f t="shared" si="66"/>
        <v>400</v>
      </c>
      <c r="M46" s="18">
        <f t="shared" si="67"/>
        <v>3047</v>
      </c>
      <c r="N46" s="18">
        <f t="shared" si="68"/>
        <v>529</v>
      </c>
      <c r="O46" s="21">
        <v>0.075</v>
      </c>
      <c r="P46" s="18">
        <f t="shared" si="69"/>
        <v>0</v>
      </c>
      <c r="Q46" s="18">
        <f t="shared" si="70"/>
        <v>0</v>
      </c>
      <c r="R46" s="21">
        <v>0.0</v>
      </c>
      <c r="S46" s="18">
        <f t="shared" si="71"/>
        <v>2518</v>
      </c>
      <c r="T46" s="18">
        <f t="shared" si="72"/>
        <v>503.6</v>
      </c>
      <c r="U46" s="31">
        <f t="shared" si="73"/>
        <v>500</v>
      </c>
      <c r="V46" s="18">
        <f t="shared" si="74"/>
        <v>18</v>
      </c>
      <c r="W46" s="17" t="s">
        <v>37</v>
      </c>
      <c r="X46" s="23"/>
      <c r="Y46" s="18"/>
      <c r="Z46" s="23"/>
      <c r="AA46" s="17" t="s">
        <v>38</v>
      </c>
      <c r="AB46" s="31">
        <v>200.0</v>
      </c>
      <c r="AC46" s="18"/>
      <c r="AD46" s="31">
        <v>200.0</v>
      </c>
      <c r="AE46" s="17"/>
      <c r="AF46" s="17"/>
      <c r="AG46" s="18"/>
      <c r="AH46" s="18"/>
      <c r="AI46" s="18"/>
      <c r="AJ46" s="18"/>
      <c r="AK46" s="18"/>
      <c r="AL46" s="18"/>
      <c r="AM46" s="18"/>
    </row>
    <row r="47">
      <c r="A47" s="17">
        <v>28.0</v>
      </c>
      <c r="B47" s="17" t="s">
        <v>34</v>
      </c>
      <c r="C47" s="17" t="s">
        <v>35</v>
      </c>
      <c r="D47" s="17" t="s">
        <v>36</v>
      </c>
      <c r="E47" s="17"/>
      <c r="F47" s="17"/>
      <c r="G47" s="31">
        <v>3000.0</v>
      </c>
      <c r="H47" s="17" t="s">
        <v>37</v>
      </c>
      <c r="I47" s="31">
        <v>300.0</v>
      </c>
      <c r="J47" s="17" t="s">
        <v>37</v>
      </c>
      <c r="K47" s="20">
        <f t="shared" si="75"/>
        <v>3</v>
      </c>
      <c r="L47" s="31">
        <f t="shared" si="66"/>
        <v>400</v>
      </c>
      <c r="M47" s="18">
        <f t="shared" si="67"/>
        <v>2597</v>
      </c>
      <c r="N47" s="18">
        <f t="shared" si="68"/>
        <v>352</v>
      </c>
      <c r="O47" s="21">
        <v>0.02</v>
      </c>
      <c r="P47" s="18">
        <f t="shared" si="69"/>
        <v>0</v>
      </c>
      <c r="Q47" s="18">
        <f t="shared" si="70"/>
        <v>0</v>
      </c>
      <c r="R47" s="21">
        <v>0.0</v>
      </c>
      <c r="S47" s="18">
        <f t="shared" si="71"/>
        <v>2245</v>
      </c>
      <c r="T47" s="18">
        <f t="shared" si="72"/>
        <v>449</v>
      </c>
      <c r="U47" s="31">
        <f t="shared" si="73"/>
        <v>450</v>
      </c>
      <c r="V47" s="18">
        <f t="shared" si="74"/>
        <v>-5</v>
      </c>
      <c r="W47" s="17" t="s">
        <v>37</v>
      </c>
      <c r="X47" s="23"/>
      <c r="Y47" s="18"/>
      <c r="Z47" s="23"/>
      <c r="AA47" s="17" t="s">
        <v>38</v>
      </c>
      <c r="AB47" s="31">
        <v>200.0</v>
      </c>
      <c r="AC47" s="18"/>
      <c r="AD47" s="31">
        <v>200.0</v>
      </c>
      <c r="AE47" s="17"/>
      <c r="AF47" s="17"/>
      <c r="AG47" s="18"/>
      <c r="AH47" s="18"/>
      <c r="AI47" s="18"/>
      <c r="AJ47" s="18"/>
      <c r="AK47" s="18"/>
      <c r="AL47" s="18"/>
      <c r="AM47" s="18"/>
    </row>
    <row r="48">
      <c r="A48" s="17">
        <v>29.0</v>
      </c>
      <c r="B48" s="17" t="s">
        <v>34</v>
      </c>
      <c r="C48" s="17" t="s">
        <v>35</v>
      </c>
      <c r="D48" s="17" t="s">
        <v>324</v>
      </c>
      <c r="E48" s="17"/>
      <c r="F48" s="17">
        <v>196.0</v>
      </c>
      <c r="G48" s="31">
        <v>6600.0</v>
      </c>
      <c r="H48" s="17" t="s">
        <v>37</v>
      </c>
      <c r="I48" s="31">
        <v>660.0</v>
      </c>
      <c r="J48" s="17" t="s">
        <v>37</v>
      </c>
      <c r="K48" s="20">
        <f t="shared" si="75"/>
        <v>7</v>
      </c>
      <c r="L48" s="31">
        <f t="shared" si="66"/>
        <v>2650</v>
      </c>
      <c r="M48" s="18">
        <f t="shared" si="67"/>
        <v>3943</v>
      </c>
      <c r="N48" s="18">
        <f t="shared" si="68"/>
        <v>936</v>
      </c>
      <c r="O48" s="21">
        <v>0.07</v>
      </c>
      <c r="P48" s="18">
        <f t="shared" si="69"/>
        <v>0</v>
      </c>
      <c r="Q48" s="18">
        <f t="shared" si="70"/>
        <v>0</v>
      </c>
      <c r="R48" s="21">
        <v>0.0</v>
      </c>
      <c r="S48" s="18">
        <f t="shared" si="71"/>
        <v>3007</v>
      </c>
      <c r="T48" s="18">
        <f t="shared" si="72"/>
        <v>601.4</v>
      </c>
      <c r="U48" s="31">
        <f t="shared" si="73"/>
        <v>600</v>
      </c>
      <c r="V48" s="18">
        <f t="shared" si="74"/>
        <v>7</v>
      </c>
      <c r="W48" s="17" t="s">
        <v>37</v>
      </c>
      <c r="X48" s="23"/>
      <c r="Y48" s="18"/>
      <c r="Z48" s="23"/>
      <c r="AA48" s="17" t="s">
        <v>285</v>
      </c>
      <c r="AB48" s="31">
        <v>350.0</v>
      </c>
      <c r="AC48" s="18"/>
      <c r="AD48" s="31">
        <v>400.0</v>
      </c>
      <c r="AE48" s="17" t="s">
        <v>325</v>
      </c>
      <c r="AF48" s="31">
        <v>650.0</v>
      </c>
      <c r="AG48" s="17" t="s">
        <v>41</v>
      </c>
      <c r="AH48" s="31">
        <v>600.0</v>
      </c>
      <c r="AI48" s="17" t="s">
        <v>41</v>
      </c>
      <c r="AJ48" s="31">
        <v>500.0</v>
      </c>
      <c r="AK48" s="17" t="s">
        <v>326</v>
      </c>
      <c r="AL48" s="31">
        <v>150.0</v>
      </c>
      <c r="AM48" s="18"/>
    </row>
    <row r="49">
      <c r="A49" s="28" t="s">
        <v>50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6"/>
      <c r="P49" s="25"/>
      <c r="Q49" s="25"/>
      <c r="R49" s="26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4"/>
      <c r="AL49" s="25"/>
      <c r="AM49" s="25"/>
    </row>
    <row r="50">
      <c r="A50" s="17">
        <v>5.0</v>
      </c>
      <c r="B50" s="17" t="s">
        <v>34</v>
      </c>
      <c r="C50" s="17" t="s">
        <v>35</v>
      </c>
      <c r="D50" s="17" t="s">
        <v>36</v>
      </c>
      <c r="E50" s="17"/>
      <c r="F50" s="17"/>
      <c r="G50" s="31">
        <v>3450.0</v>
      </c>
      <c r="H50" s="17" t="s">
        <v>37</v>
      </c>
      <c r="I50" s="31">
        <v>300.0</v>
      </c>
      <c r="J50" s="17" t="s">
        <v>37</v>
      </c>
      <c r="K50" s="20">
        <f>round(I50*1%,0)</f>
        <v>3</v>
      </c>
      <c r="L50" s="31">
        <f t="shared" ref="L50:L51" si="76">sum(AB50+AD50+AF50+AH50+AJ50+AL50)</f>
        <v>400</v>
      </c>
      <c r="M50" s="18">
        <f t="shared" ref="M50:M51" si="77">G50-K50-L50</f>
        <v>3047</v>
      </c>
      <c r="N50" s="18">
        <f t="shared" ref="N50:N51" si="78">round(O50*M50+I50,0)</f>
        <v>544</v>
      </c>
      <c r="O50" s="21">
        <v>0.08</v>
      </c>
      <c r="P50" s="18">
        <f t="shared" ref="P50:P51" si="79">round(R50*(M50-N50),0)</f>
        <v>0</v>
      </c>
      <c r="Q50" s="18">
        <f t="shared" ref="Q50:Q51" si="80">round(R50*AD50,0)</f>
        <v>0</v>
      </c>
      <c r="R50" s="21">
        <v>0.0</v>
      </c>
      <c r="S50" s="18">
        <f t="shared" ref="S50:S51" si="81">round(M50-N50-P50-Q50,0)</f>
        <v>2503</v>
      </c>
      <c r="T50" s="18">
        <f t="shared" ref="T50:T51" si="82">S50/5</f>
        <v>500.6</v>
      </c>
      <c r="U50" s="31">
        <f t="shared" ref="U50:U51" si="83">round(T50,-1)</f>
        <v>500</v>
      </c>
      <c r="V50" s="18">
        <f t="shared" ref="V50:V51" si="84">5*(T50-U50)</f>
        <v>3</v>
      </c>
      <c r="W50" s="17" t="s">
        <v>37</v>
      </c>
      <c r="X50" s="23"/>
      <c r="Y50" s="18"/>
      <c r="Z50" s="23"/>
      <c r="AA50" s="17" t="s">
        <v>38</v>
      </c>
      <c r="AB50" s="31">
        <v>200.0</v>
      </c>
      <c r="AC50" s="18"/>
      <c r="AD50" s="31">
        <v>200.0</v>
      </c>
      <c r="AE50" s="17"/>
      <c r="AF50" s="17"/>
      <c r="AG50" s="18"/>
      <c r="AH50" s="18"/>
      <c r="AI50" s="18"/>
      <c r="AJ50" s="18"/>
      <c r="AK50" s="18"/>
      <c r="AL50" s="18"/>
      <c r="AM50" s="18"/>
    </row>
    <row r="51">
      <c r="A51" s="17">
        <v>12.0</v>
      </c>
      <c r="B51" s="17" t="s">
        <v>34</v>
      </c>
      <c r="C51" s="17" t="s">
        <v>35</v>
      </c>
      <c r="D51" s="17" t="s">
        <v>318</v>
      </c>
      <c r="E51" s="17"/>
      <c r="F51" s="17">
        <v>173.0</v>
      </c>
      <c r="G51" s="31">
        <v>16166.0</v>
      </c>
      <c r="H51" s="17" t="s">
        <v>58</v>
      </c>
      <c r="I51" s="31">
        <v>1492.0</v>
      </c>
      <c r="J51" s="17" t="s">
        <v>58</v>
      </c>
      <c r="K51" s="20">
        <f>round(G51*1%,0)</f>
        <v>162</v>
      </c>
      <c r="L51" s="31">
        <f t="shared" si="76"/>
        <v>2000</v>
      </c>
      <c r="M51" s="18">
        <f t="shared" si="77"/>
        <v>14004</v>
      </c>
      <c r="N51" s="18">
        <f t="shared" si="78"/>
        <v>2780</v>
      </c>
      <c r="O51" s="21">
        <v>0.092</v>
      </c>
      <c r="P51" s="18">
        <f t="shared" si="79"/>
        <v>1122</v>
      </c>
      <c r="Q51" s="18">
        <f t="shared" si="80"/>
        <v>100</v>
      </c>
      <c r="R51" s="21">
        <v>0.1</v>
      </c>
      <c r="S51" s="18">
        <f t="shared" si="81"/>
        <v>10002</v>
      </c>
      <c r="T51" s="18">
        <f t="shared" si="82"/>
        <v>2000.4</v>
      </c>
      <c r="U51" s="31">
        <f t="shared" si="83"/>
        <v>2000</v>
      </c>
      <c r="V51" s="18">
        <f t="shared" si="84"/>
        <v>2</v>
      </c>
      <c r="W51" s="17" t="s">
        <v>58</v>
      </c>
      <c r="X51" s="23"/>
      <c r="Y51" s="18"/>
      <c r="Z51" s="23"/>
      <c r="AA51" s="17" t="s">
        <v>38</v>
      </c>
      <c r="AB51" s="31">
        <v>1000.0</v>
      </c>
      <c r="AC51" s="18"/>
      <c r="AD51" s="31">
        <v>1000.0</v>
      </c>
      <c r="AE51" s="17"/>
      <c r="AF51" s="17"/>
      <c r="AG51" s="18"/>
      <c r="AH51" s="18"/>
      <c r="AI51" s="18"/>
      <c r="AJ51" s="18"/>
      <c r="AK51" s="18"/>
      <c r="AL51" s="18"/>
      <c r="AM51" s="18"/>
    </row>
    <row r="52">
      <c r="A52" s="28" t="s">
        <v>97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6"/>
      <c r="P52" s="25"/>
      <c r="Q52" s="25"/>
      <c r="R52" s="26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</row>
    <row r="53">
      <c r="A53" s="17">
        <v>8.0</v>
      </c>
      <c r="B53" s="17" t="s">
        <v>34</v>
      </c>
      <c r="C53" s="17" t="s">
        <v>35</v>
      </c>
      <c r="D53" s="17" t="s">
        <v>307</v>
      </c>
      <c r="E53" s="18"/>
      <c r="F53" s="17"/>
      <c r="G53" s="31">
        <v>2950.0</v>
      </c>
      <c r="H53" s="17" t="s">
        <v>37</v>
      </c>
      <c r="I53" s="31">
        <v>0.0</v>
      </c>
      <c r="J53" s="17" t="s">
        <v>37</v>
      </c>
      <c r="K53" s="20">
        <f>round(I53*1%,0)</f>
        <v>0</v>
      </c>
      <c r="L53" s="31">
        <f t="shared" ref="L53:L57" si="85">sum(AB53+AD53+AF53+AH53+AJ53+AL53)</f>
        <v>400</v>
      </c>
      <c r="M53" s="18">
        <f t="shared" ref="M53:M57" si="86">G53-K53-L53</f>
        <v>2550</v>
      </c>
      <c r="N53" s="18">
        <f t="shared" ref="N53:N57" si="87">round(O53*M53+I53,0)</f>
        <v>26</v>
      </c>
      <c r="O53" s="21">
        <v>0.01</v>
      </c>
      <c r="P53" s="18">
        <f t="shared" ref="P53:P57" si="88">round(R53*(M53-N53),0)</f>
        <v>0</v>
      </c>
      <c r="Q53" s="18">
        <f t="shared" ref="Q53:Q57" si="89">round(R53*AD53,0)</f>
        <v>0</v>
      </c>
      <c r="R53" s="21">
        <v>0.0</v>
      </c>
      <c r="S53" s="18">
        <f t="shared" ref="S53:S57" si="90">round(M53-N53-P53-Q53,0)</f>
        <v>2524</v>
      </c>
      <c r="T53" s="18">
        <f t="shared" ref="T53:T57" si="91">S53/5</f>
        <v>504.8</v>
      </c>
      <c r="U53" s="31">
        <f t="shared" ref="U53:U57" si="92">round(T53,-1)</f>
        <v>500</v>
      </c>
      <c r="V53" s="18">
        <f t="shared" ref="V53:V57" si="93">5*(T53-U53)</f>
        <v>24</v>
      </c>
      <c r="W53" s="17" t="s">
        <v>37</v>
      </c>
      <c r="X53" s="23"/>
      <c r="Y53" s="18"/>
      <c r="Z53" s="23"/>
      <c r="AA53" s="17" t="s">
        <v>38</v>
      </c>
      <c r="AB53" s="31">
        <v>200.0</v>
      </c>
      <c r="AC53" s="18"/>
      <c r="AD53" s="31">
        <v>200.0</v>
      </c>
      <c r="AE53" s="18"/>
      <c r="AF53" s="18"/>
      <c r="AG53" s="18"/>
      <c r="AH53" s="18"/>
      <c r="AI53" s="18"/>
      <c r="AJ53" s="18"/>
      <c r="AK53" s="18"/>
      <c r="AL53" s="18"/>
      <c r="AM53" s="18"/>
    </row>
    <row r="54">
      <c r="A54" s="17">
        <v>21.0</v>
      </c>
      <c r="B54" s="17" t="s">
        <v>54</v>
      </c>
      <c r="C54" s="17" t="s">
        <v>55</v>
      </c>
      <c r="D54" s="17" t="s">
        <v>327</v>
      </c>
      <c r="E54" s="17" t="s">
        <v>328</v>
      </c>
      <c r="F54" s="17"/>
      <c r="G54" s="31">
        <v>9950.0</v>
      </c>
      <c r="H54" s="17" t="s">
        <v>58</v>
      </c>
      <c r="I54" s="31">
        <v>0.0</v>
      </c>
      <c r="J54" s="17" t="s">
        <v>58</v>
      </c>
      <c r="K54" s="20">
        <f t="shared" ref="K54:K57" si="94">round(G54*1%,0)</f>
        <v>100</v>
      </c>
      <c r="L54" s="31">
        <f t="shared" si="85"/>
        <v>2250</v>
      </c>
      <c r="M54" s="18">
        <f t="shared" si="86"/>
        <v>7600</v>
      </c>
      <c r="N54" s="18">
        <f t="shared" si="87"/>
        <v>532</v>
      </c>
      <c r="O54" s="21">
        <v>0.07</v>
      </c>
      <c r="P54" s="18">
        <f t="shared" si="88"/>
        <v>707</v>
      </c>
      <c r="Q54" s="18">
        <f t="shared" si="89"/>
        <v>100</v>
      </c>
      <c r="R54" s="21">
        <v>0.1</v>
      </c>
      <c r="S54" s="18">
        <f t="shared" si="90"/>
        <v>6261</v>
      </c>
      <c r="T54" s="18">
        <f t="shared" si="91"/>
        <v>1252.2</v>
      </c>
      <c r="U54" s="31">
        <f t="shared" si="92"/>
        <v>1250</v>
      </c>
      <c r="V54" s="18">
        <f t="shared" si="93"/>
        <v>11</v>
      </c>
      <c r="W54" s="17" t="s">
        <v>58</v>
      </c>
      <c r="X54" s="23"/>
      <c r="Y54" s="18"/>
      <c r="Z54" s="23"/>
      <c r="AA54" s="17" t="s">
        <v>38</v>
      </c>
      <c r="AB54" s="31">
        <v>1250.0</v>
      </c>
      <c r="AC54" s="18"/>
      <c r="AD54" s="31">
        <v>1000.0</v>
      </c>
      <c r="AE54" s="18"/>
      <c r="AF54" s="18"/>
      <c r="AG54" s="18"/>
      <c r="AH54" s="18"/>
      <c r="AI54" s="18"/>
      <c r="AJ54" s="18"/>
      <c r="AK54" s="18"/>
      <c r="AL54" s="18"/>
      <c r="AM54" s="18"/>
    </row>
    <row r="55">
      <c r="A55" s="17">
        <v>22.0</v>
      </c>
      <c r="B55" s="17" t="s">
        <v>54</v>
      </c>
      <c r="C55" s="17" t="s">
        <v>55</v>
      </c>
      <c r="D55" s="17" t="s">
        <v>59</v>
      </c>
      <c r="E55" s="18"/>
      <c r="F55" s="17"/>
      <c r="G55" s="31">
        <v>6000.0</v>
      </c>
      <c r="H55" s="17" t="s">
        <v>58</v>
      </c>
      <c r="I55" s="31">
        <v>0.0</v>
      </c>
      <c r="J55" s="17" t="s">
        <v>58</v>
      </c>
      <c r="K55" s="20">
        <f t="shared" si="94"/>
        <v>60</v>
      </c>
      <c r="L55" s="31">
        <f t="shared" si="85"/>
        <v>2000</v>
      </c>
      <c r="M55" s="18">
        <f t="shared" si="86"/>
        <v>3940</v>
      </c>
      <c r="N55" s="18">
        <f t="shared" si="87"/>
        <v>-39</v>
      </c>
      <c r="O55" s="21">
        <v>-0.01</v>
      </c>
      <c r="P55" s="18">
        <f t="shared" si="88"/>
        <v>398</v>
      </c>
      <c r="Q55" s="18">
        <f t="shared" si="89"/>
        <v>100</v>
      </c>
      <c r="R55" s="21">
        <v>0.1</v>
      </c>
      <c r="S55" s="18">
        <f t="shared" si="90"/>
        <v>3481</v>
      </c>
      <c r="T55" s="18">
        <f t="shared" si="91"/>
        <v>696.2</v>
      </c>
      <c r="U55" s="31">
        <f t="shared" si="92"/>
        <v>700</v>
      </c>
      <c r="V55" s="18">
        <f t="shared" si="93"/>
        <v>-19</v>
      </c>
      <c r="W55" s="17" t="s">
        <v>58</v>
      </c>
      <c r="X55" s="23"/>
      <c r="Y55" s="18"/>
      <c r="Z55" s="23"/>
      <c r="AA55" s="17" t="s">
        <v>38</v>
      </c>
      <c r="AB55" s="31">
        <v>1000.0</v>
      </c>
      <c r="AC55" s="18"/>
      <c r="AD55" s="31">
        <v>1000.0</v>
      </c>
      <c r="AE55" s="18"/>
      <c r="AF55" s="18"/>
      <c r="AG55" s="18"/>
      <c r="AH55" s="18"/>
      <c r="AI55" s="18"/>
      <c r="AJ55" s="18"/>
      <c r="AK55" s="18"/>
      <c r="AL55" s="18"/>
      <c r="AM55" s="18"/>
    </row>
    <row r="56">
      <c r="A56" s="17">
        <v>23.0</v>
      </c>
      <c r="B56" s="17" t="s">
        <v>34</v>
      </c>
      <c r="C56" s="17" t="s">
        <v>78</v>
      </c>
      <c r="D56" s="17" t="s">
        <v>329</v>
      </c>
      <c r="E56" s="17" t="s">
        <v>330</v>
      </c>
      <c r="F56" s="17"/>
      <c r="G56" s="31">
        <v>15920.0</v>
      </c>
      <c r="H56" s="17" t="s">
        <v>58</v>
      </c>
      <c r="I56" s="31">
        <v>0.0</v>
      </c>
      <c r="J56" s="17" t="s">
        <v>58</v>
      </c>
      <c r="K56" s="20">
        <f t="shared" si="94"/>
        <v>159</v>
      </c>
      <c r="L56" s="31">
        <f t="shared" si="85"/>
        <v>3500</v>
      </c>
      <c r="M56" s="18">
        <f t="shared" si="86"/>
        <v>12261</v>
      </c>
      <c r="N56" s="18">
        <f t="shared" si="87"/>
        <v>1042</v>
      </c>
      <c r="O56" s="21">
        <v>0.085</v>
      </c>
      <c r="P56" s="18">
        <f t="shared" si="88"/>
        <v>1122</v>
      </c>
      <c r="Q56" s="18">
        <f t="shared" si="89"/>
        <v>100</v>
      </c>
      <c r="R56" s="21">
        <v>0.1</v>
      </c>
      <c r="S56" s="18">
        <f t="shared" si="90"/>
        <v>9997</v>
      </c>
      <c r="T56" s="18">
        <f t="shared" si="91"/>
        <v>1999.4</v>
      </c>
      <c r="U56" s="31">
        <f t="shared" si="92"/>
        <v>2000</v>
      </c>
      <c r="V56" s="18">
        <f t="shared" si="93"/>
        <v>-3</v>
      </c>
      <c r="W56" s="17" t="s">
        <v>58</v>
      </c>
      <c r="X56" s="23"/>
      <c r="Y56" s="18"/>
      <c r="Z56" s="23"/>
      <c r="AA56" s="17" t="s">
        <v>285</v>
      </c>
      <c r="AB56" s="31">
        <v>2000.0</v>
      </c>
      <c r="AC56" s="18"/>
      <c r="AD56" s="31">
        <v>1000.0</v>
      </c>
      <c r="AE56" s="18"/>
      <c r="AF56" s="31">
        <v>500.0</v>
      </c>
      <c r="AG56" s="18"/>
      <c r="AH56" s="18"/>
      <c r="AI56" s="18"/>
      <c r="AJ56" s="18"/>
      <c r="AK56" s="18"/>
      <c r="AL56" s="18"/>
      <c r="AM56" s="18"/>
    </row>
    <row r="57">
      <c r="A57" s="17">
        <v>30.0</v>
      </c>
      <c r="B57" s="17" t="s">
        <v>54</v>
      </c>
      <c r="C57" s="17" t="s">
        <v>55</v>
      </c>
      <c r="D57" s="17" t="s">
        <v>296</v>
      </c>
      <c r="E57" s="17"/>
      <c r="F57" s="17"/>
      <c r="G57" s="31">
        <v>7000.0</v>
      </c>
      <c r="H57" s="17" t="s">
        <v>58</v>
      </c>
      <c r="I57" s="31">
        <v>0.0</v>
      </c>
      <c r="J57" s="17" t="s">
        <v>58</v>
      </c>
      <c r="K57" s="20">
        <f t="shared" si="94"/>
        <v>70</v>
      </c>
      <c r="L57" s="31">
        <f t="shared" si="85"/>
        <v>3700</v>
      </c>
      <c r="M57" s="18">
        <f t="shared" si="86"/>
        <v>3230</v>
      </c>
      <c r="N57" s="18">
        <f t="shared" si="87"/>
        <v>-743</v>
      </c>
      <c r="O57" s="21">
        <v>-0.23</v>
      </c>
      <c r="P57" s="18">
        <f t="shared" si="88"/>
        <v>397</v>
      </c>
      <c r="Q57" s="18">
        <f t="shared" si="89"/>
        <v>100</v>
      </c>
      <c r="R57" s="21">
        <v>0.1</v>
      </c>
      <c r="S57" s="18">
        <f t="shared" si="90"/>
        <v>3476</v>
      </c>
      <c r="T57" s="18">
        <f t="shared" si="91"/>
        <v>695.2</v>
      </c>
      <c r="U57" s="31">
        <f t="shared" si="92"/>
        <v>700</v>
      </c>
      <c r="V57" s="18">
        <f t="shared" si="93"/>
        <v>-24</v>
      </c>
      <c r="W57" s="17" t="s">
        <v>58</v>
      </c>
      <c r="X57" s="23"/>
      <c r="Y57" s="18"/>
      <c r="Z57" s="23"/>
      <c r="AA57" s="17" t="s">
        <v>38</v>
      </c>
      <c r="AB57" s="31">
        <v>1750.0</v>
      </c>
      <c r="AC57" s="18"/>
      <c r="AD57" s="31">
        <v>1000.0</v>
      </c>
      <c r="AE57" s="18"/>
      <c r="AF57" s="31">
        <v>500.0</v>
      </c>
      <c r="AG57" s="18"/>
      <c r="AH57" s="18"/>
      <c r="AI57" s="18"/>
      <c r="AJ57" s="18"/>
      <c r="AK57" s="17"/>
      <c r="AL57" s="31">
        <v>450.0</v>
      </c>
      <c r="AM57" s="18"/>
    </row>
    <row r="58">
      <c r="A58" s="28" t="s">
        <v>52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6"/>
      <c r="P58" s="25"/>
      <c r="Q58" s="25"/>
      <c r="R58" s="26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</row>
    <row r="59">
      <c r="A59" s="17">
        <v>14.0</v>
      </c>
      <c r="B59" s="17" t="s">
        <v>34</v>
      </c>
      <c r="C59" s="17" t="s">
        <v>78</v>
      </c>
      <c r="D59" s="17" t="s">
        <v>331</v>
      </c>
      <c r="E59" s="17" t="s">
        <v>332</v>
      </c>
      <c r="F59" s="17"/>
      <c r="G59" s="31">
        <v>28858.0</v>
      </c>
      <c r="H59" s="17" t="s">
        <v>58</v>
      </c>
      <c r="I59" s="31">
        <v>2488.0</v>
      </c>
      <c r="J59" s="17" t="s">
        <v>58</v>
      </c>
      <c r="K59" s="20">
        <f t="shared" ref="K59:K62" si="95">round(G59*1%,0)</f>
        <v>289</v>
      </c>
      <c r="L59" s="31">
        <f t="shared" ref="L59:L62" si="96">sum(AB59+AD59+AF59+AH59+AJ59+AL59)</f>
        <v>11250</v>
      </c>
      <c r="M59" s="18">
        <f t="shared" ref="M59:M62" si="97">G59-K59-L59</f>
        <v>17319</v>
      </c>
      <c r="N59" s="18">
        <f t="shared" ref="N59:N62" si="98">round(O59*M59+I59,0)</f>
        <v>3267</v>
      </c>
      <c r="O59" s="21">
        <v>0.045</v>
      </c>
      <c r="P59" s="18">
        <f t="shared" ref="P59:P62" si="99">round(R59*(M59-N59),0)</f>
        <v>1405</v>
      </c>
      <c r="Q59" s="18">
        <f t="shared" ref="Q59:Q62" si="100">round(R59*AD59,0)</f>
        <v>150</v>
      </c>
      <c r="R59" s="21">
        <v>0.1</v>
      </c>
      <c r="S59" s="18">
        <f t="shared" ref="S59:S62" si="101">round(M59-N59-P59-Q59,0)</f>
        <v>12497</v>
      </c>
      <c r="T59" s="18">
        <f t="shared" ref="T59:T62" si="102">S59/5</f>
        <v>2499.4</v>
      </c>
      <c r="U59" s="31">
        <f t="shared" ref="U59:U62" si="103">round(T59,-1)</f>
        <v>2500</v>
      </c>
      <c r="V59" s="18">
        <f t="shared" ref="V59:V62" si="104">5*(T59-U59)</f>
        <v>-3</v>
      </c>
      <c r="W59" s="18"/>
      <c r="X59" s="23"/>
      <c r="Y59" s="18"/>
      <c r="Z59" s="23"/>
      <c r="AA59" s="17" t="s">
        <v>285</v>
      </c>
      <c r="AB59" s="31">
        <v>1750.0</v>
      </c>
      <c r="AC59" s="18"/>
      <c r="AD59" s="31">
        <v>1500.0</v>
      </c>
      <c r="AE59" s="17" t="s">
        <v>325</v>
      </c>
      <c r="AF59" s="31">
        <v>3000.0</v>
      </c>
      <c r="AG59" s="17" t="s">
        <v>41</v>
      </c>
      <c r="AH59" s="31">
        <v>2500.0</v>
      </c>
      <c r="AI59" s="17" t="s">
        <v>41</v>
      </c>
      <c r="AJ59" s="31">
        <v>2500.0</v>
      </c>
      <c r="AK59" s="18"/>
      <c r="AL59" s="18"/>
      <c r="AM59" s="18"/>
    </row>
    <row r="60">
      <c r="A60" s="17">
        <v>17.0</v>
      </c>
      <c r="B60" s="17" t="s">
        <v>34</v>
      </c>
      <c r="C60" s="17" t="s">
        <v>78</v>
      </c>
      <c r="D60" s="17" t="s">
        <v>45</v>
      </c>
      <c r="E60" s="17" t="s">
        <v>333</v>
      </c>
      <c r="F60" s="17"/>
      <c r="G60" s="31">
        <v>24630.0</v>
      </c>
      <c r="H60" s="17" t="s">
        <v>58</v>
      </c>
      <c r="I60" s="31">
        <v>0.0</v>
      </c>
      <c r="J60" s="17" t="s">
        <v>58</v>
      </c>
      <c r="K60" s="20">
        <f t="shared" si="95"/>
        <v>246</v>
      </c>
      <c r="L60" s="31">
        <f t="shared" si="96"/>
        <v>8600</v>
      </c>
      <c r="M60" s="18">
        <f t="shared" si="97"/>
        <v>15784</v>
      </c>
      <c r="N60" s="18">
        <f t="shared" si="98"/>
        <v>4577</v>
      </c>
      <c r="O60" s="21">
        <v>0.29</v>
      </c>
      <c r="P60" s="18">
        <f t="shared" si="99"/>
        <v>1121</v>
      </c>
      <c r="Q60" s="18">
        <f t="shared" si="100"/>
        <v>100</v>
      </c>
      <c r="R60" s="21">
        <v>0.1</v>
      </c>
      <c r="S60" s="18">
        <f t="shared" si="101"/>
        <v>9986</v>
      </c>
      <c r="T60" s="18">
        <f t="shared" si="102"/>
        <v>1997.2</v>
      </c>
      <c r="U60" s="31">
        <f t="shared" si="103"/>
        <v>2000</v>
      </c>
      <c r="V60" s="18">
        <f t="shared" si="104"/>
        <v>-14</v>
      </c>
      <c r="W60" s="18"/>
      <c r="X60" s="23"/>
      <c r="Y60" s="18"/>
      <c r="Z60" s="23"/>
      <c r="AA60" s="17" t="s">
        <v>285</v>
      </c>
      <c r="AB60" s="31">
        <v>1750.0</v>
      </c>
      <c r="AC60" s="18"/>
      <c r="AD60" s="31">
        <v>1000.0</v>
      </c>
      <c r="AE60" s="18"/>
      <c r="AF60" s="31">
        <v>100.0</v>
      </c>
      <c r="AG60" s="17" t="s">
        <v>41</v>
      </c>
      <c r="AH60" s="31">
        <v>2500.0</v>
      </c>
      <c r="AI60" s="17" t="s">
        <v>41</v>
      </c>
      <c r="AJ60" s="31">
        <v>2500.0</v>
      </c>
      <c r="AK60" s="17" t="s">
        <v>334</v>
      </c>
      <c r="AL60" s="31">
        <v>750.0</v>
      </c>
      <c r="AM60" s="18"/>
    </row>
    <row r="61">
      <c r="A61" s="17">
        <v>21.0</v>
      </c>
      <c r="B61" s="17" t="s">
        <v>34</v>
      </c>
      <c r="C61" s="17" t="s">
        <v>78</v>
      </c>
      <c r="D61" s="17" t="s">
        <v>335</v>
      </c>
      <c r="E61" s="17" t="s">
        <v>336</v>
      </c>
      <c r="F61" s="17">
        <v>222.0</v>
      </c>
      <c r="G61" s="31">
        <v>24380.0</v>
      </c>
      <c r="H61" s="17" t="s">
        <v>58</v>
      </c>
      <c r="I61" s="31">
        <v>2239.0</v>
      </c>
      <c r="J61" s="17" t="s">
        <v>58</v>
      </c>
      <c r="K61" s="20">
        <f t="shared" si="95"/>
        <v>244</v>
      </c>
      <c r="L61" s="31">
        <f t="shared" si="96"/>
        <v>6250</v>
      </c>
      <c r="M61" s="18">
        <f t="shared" si="97"/>
        <v>17886</v>
      </c>
      <c r="N61" s="18">
        <f t="shared" si="98"/>
        <v>3885</v>
      </c>
      <c r="O61" s="21">
        <v>0.092</v>
      </c>
      <c r="P61" s="18">
        <f t="shared" si="99"/>
        <v>1400</v>
      </c>
      <c r="Q61" s="18">
        <f t="shared" si="100"/>
        <v>100</v>
      </c>
      <c r="R61" s="21">
        <v>0.1</v>
      </c>
      <c r="S61" s="18">
        <f t="shared" si="101"/>
        <v>12501</v>
      </c>
      <c r="T61" s="18">
        <f t="shared" si="102"/>
        <v>2500.2</v>
      </c>
      <c r="U61" s="31">
        <f t="shared" si="103"/>
        <v>2500</v>
      </c>
      <c r="V61" s="18">
        <f t="shared" si="104"/>
        <v>1</v>
      </c>
      <c r="W61" s="18"/>
      <c r="X61" s="23"/>
      <c r="Y61" s="18"/>
      <c r="Z61" s="23"/>
      <c r="AA61" s="17" t="s">
        <v>285</v>
      </c>
      <c r="AB61" s="31">
        <v>1750.0</v>
      </c>
      <c r="AC61" s="18"/>
      <c r="AD61" s="31">
        <v>1000.0</v>
      </c>
      <c r="AE61" s="18"/>
      <c r="AF61" s="31">
        <v>1000.0</v>
      </c>
      <c r="AG61" s="17" t="s">
        <v>41</v>
      </c>
      <c r="AH61" s="31">
        <v>2500.0</v>
      </c>
      <c r="AI61" s="17"/>
      <c r="AJ61" s="19"/>
      <c r="AK61" s="18"/>
      <c r="AL61" s="18"/>
      <c r="AM61" s="18"/>
    </row>
    <row r="62">
      <c r="A62" s="17">
        <v>31.0</v>
      </c>
      <c r="B62" s="17" t="s">
        <v>54</v>
      </c>
      <c r="C62" s="17" t="s">
        <v>55</v>
      </c>
      <c r="D62" s="17" t="s">
        <v>337</v>
      </c>
      <c r="E62" s="17" t="s">
        <v>105</v>
      </c>
      <c r="F62" s="17"/>
      <c r="G62" s="31">
        <v>17400.0</v>
      </c>
      <c r="H62" s="17" t="s">
        <v>58</v>
      </c>
      <c r="I62" s="31">
        <v>0.0</v>
      </c>
      <c r="J62" s="17" t="s">
        <v>58</v>
      </c>
      <c r="K62" s="20">
        <f t="shared" si="95"/>
        <v>174</v>
      </c>
      <c r="L62" s="31">
        <f t="shared" si="96"/>
        <v>2500</v>
      </c>
      <c r="M62" s="18">
        <f t="shared" si="97"/>
        <v>14726</v>
      </c>
      <c r="N62" s="18">
        <f t="shared" si="98"/>
        <v>736</v>
      </c>
      <c r="O62" s="21">
        <v>0.05</v>
      </c>
      <c r="P62" s="18">
        <f t="shared" si="99"/>
        <v>1399</v>
      </c>
      <c r="Q62" s="18">
        <f t="shared" si="100"/>
        <v>100</v>
      </c>
      <c r="R62" s="21">
        <v>0.1</v>
      </c>
      <c r="S62" s="18">
        <f t="shared" si="101"/>
        <v>12491</v>
      </c>
      <c r="T62" s="18">
        <f t="shared" si="102"/>
        <v>2498.2</v>
      </c>
      <c r="U62" s="31">
        <f t="shared" si="103"/>
        <v>2500</v>
      </c>
      <c r="V62" s="18">
        <f t="shared" si="104"/>
        <v>-9</v>
      </c>
      <c r="W62" s="18"/>
      <c r="X62" s="23"/>
      <c r="Y62" s="18"/>
      <c r="Z62" s="23"/>
      <c r="AA62" s="17" t="s">
        <v>38</v>
      </c>
      <c r="AB62" s="31">
        <v>1000.0</v>
      </c>
      <c r="AC62" s="18"/>
      <c r="AD62" s="31">
        <v>1000.0</v>
      </c>
      <c r="AE62" s="18"/>
      <c r="AF62" s="31">
        <v>500.0</v>
      </c>
      <c r="AG62" s="18"/>
      <c r="AH62" s="18"/>
      <c r="AI62" s="18"/>
      <c r="AJ62" s="19"/>
      <c r="AK62" s="18"/>
      <c r="AL62" s="18"/>
      <c r="AM62" s="18"/>
    </row>
    <row r="63">
      <c r="A63" s="17"/>
      <c r="B63" s="17"/>
      <c r="C63" s="17"/>
      <c r="D63" s="17"/>
      <c r="E63" s="18"/>
      <c r="F63" s="17"/>
      <c r="G63" s="17"/>
      <c r="H63" s="18"/>
      <c r="I63" s="18"/>
      <c r="J63" s="18"/>
      <c r="K63" s="18"/>
      <c r="L63" s="18"/>
      <c r="M63" s="18"/>
      <c r="N63" s="18"/>
      <c r="O63" s="29"/>
      <c r="P63" s="18"/>
      <c r="Q63" s="18"/>
      <c r="R63" s="29"/>
      <c r="S63" s="18"/>
      <c r="T63" s="18"/>
      <c r="U63" s="30"/>
      <c r="V63" s="18"/>
      <c r="W63" s="18"/>
      <c r="X63" s="23"/>
      <c r="Y63" s="18"/>
      <c r="Z63" s="23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</row>
    <row r="64">
      <c r="A64" s="17" t="s">
        <v>53</v>
      </c>
      <c r="B64" s="17"/>
      <c r="C64" s="17"/>
      <c r="D64" s="17"/>
      <c r="E64" s="18"/>
      <c r="F64" s="17"/>
      <c r="G64" s="17"/>
      <c r="H64" s="18"/>
      <c r="I64" s="18"/>
      <c r="J64" s="18"/>
      <c r="K64" s="20">
        <f>round(G64*1%,0)</f>
        <v>0</v>
      </c>
      <c r="L64" s="17">
        <f>sum(AB64+AD64+AF64+AH64+AJ64+AL64)</f>
        <v>0</v>
      </c>
      <c r="M64" s="18">
        <f>G64-K64-L64</f>
        <v>0</v>
      </c>
      <c r="N64" s="18">
        <f>round(O64*M64+I64,0)</f>
        <v>0</v>
      </c>
      <c r="O64" s="21">
        <v>0.15</v>
      </c>
      <c r="P64" s="18">
        <f>round(R64*(M64-N64),0)</f>
        <v>0</v>
      </c>
      <c r="Q64" s="18">
        <f>round(R64*AD64,0)</f>
        <v>0</v>
      </c>
      <c r="R64" s="21">
        <v>0.1</v>
      </c>
      <c r="S64" s="18">
        <f>round(M64-N64-P64-Q64,0)</f>
        <v>0</v>
      </c>
      <c r="T64" s="18">
        <f>S64/5</f>
        <v>0</v>
      </c>
      <c r="U64" s="22">
        <f>round(T64,-1)</f>
        <v>0</v>
      </c>
      <c r="V64" s="18">
        <f>5*(T64-U64)</f>
        <v>0</v>
      </c>
      <c r="W64" s="18"/>
      <c r="X64" s="23"/>
      <c r="Y64" s="18"/>
      <c r="Z64" s="23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</row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9.5"/>
    <col customWidth="1" min="2" max="2" width="6.75"/>
    <col customWidth="1" min="3" max="3" width="9.63"/>
    <col customWidth="1" min="4" max="4" width="15.5"/>
    <col customWidth="1" min="5" max="5" width="11.0"/>
    <col customWidth="1" min="6" max="8" width="8.0"/>
    <col customWidth="1" min="9" max="13" width="10.0"/>
  </cols>
  <sheetData>
    <row r="1">
      <c r="A1" s="34"/>
      <c r="B1" s="34"/>
      <c r="C1" s="34"/>
      <c r="D1" s="34"/>
      <c r="E1" s="34"/>
      <c r="F1" s="35" t="s">
        <v>106</v>
      </c>
      <c r="G1" s="34"/>
      <c r="H1" s="34"/>
      <c r="I1" s="34"/>
      <c r="J1" s="34"/>
      <c r="K1" s="34"/>
      <c r="L1" s="34"/>
      <c r="M1" s="34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6" t="s">
        <v>107</v>
      </c>
      <c r="G2" s="3" t="s">
        <v>108</v>
      </c>
      <c r="H2" s="3" t="s">
        <v>8</v>
      </c>
      <c r="I2" s="3" t="s">
        <v>109</v>
      </c>
      <c r="J2" s="3" t="s">
        <v>110</v>
      </c>
      <c r="K2" s="3" t="s">
        <v>111</v>
      </c>
      <c r="L2" s="3" t="s">
        <v>112</v>
      </c>
      <c r="M2" s="3" t="s">
        <v>113</v>
      </c>
    </row>
    <row r="3">
      <c r="A3" s="37" t="s">
        <v>29</v>
      </c>
      <c r="B3" s="10"/>
      <c r="C3" s="10"/>
      <c r="D3" s="10"/>
      <c r="E3" s="10"/>
      <c r="F3" s="38"/>
      <c r="G3" s="39"/>
      <c r="H3" s="39"/>
      <c r="I3" s="39"/>
      <c r="J3" s="39"/>
      <c r="K3" s="39"/>
      <c r="L3" s="39"/>
      <c r="M3" s="39"/>
    </row>
    <row r="4">
      <c r="A4" s="17">
        <v>27.0</v>
      </c>
      <c r="B4" s="17" t="s">
        <v>34</v>
      </c>
      <c r="C4" s="17" t="s">
        <v>35</v>
      </c>
      <c r="D4" s="17" t="s">
        <v>284</v>
      </c>
      <c r="E4" s="18"/>
      <c r="F4" s="40">
        <v>530.0</v>
      </c>
      <c r="G4" s="41">
        <v>500.0</v>
      </c>
      <c r="H4" s="69" t="s">
        <v>37</v>
      </c>
      <c r="I4" s="41">
        <v>500.0</v>
      </c>
      <c r="J4" s="41">
        <v>500.0</v>
      </c>
      <c r="K4" s="41">
        <v>500.0</v>
      </c>
      <c r="L4" s="41">
        <v>500.0</v>
      </c>
      <c r="M4" s="41">
        <v>500.0</v>
      </c>
    </row>
    <row r="5">
      <c r="A5" s="17">
        <v>29.0</v>
      </c>
      <c r="B5" s="17" t="s">
        <v>54</v>
      </c>
      <c r="C5" s="17" t="s">
        <v>28</v>
      </c>
      <c r="D5" s="17" t="s">
        <v>286</v>
      </c>
      <c r="E5" s="17" t="s">
        <v>287</v>
      </c>
      <c r="F5" s="40">
        <v>0.0</v>
      </c>
      <c r="G5" s="41">
        <v>0.0</v>
      </c>
      <c r="H5" s="69" t="s">
        <v>58</v>
      </c>
      <c r="I5" s="41">
        <v>0.0</v>
      </c>
      <c r="J5" s="41">
        <v>0.0</v>
      </c>
      <c r="K5" s="41">
        <v>0.0</v>
      </c>
      <c r="L5" s="41">
        <v>0.0</v>
      </c>
      <c r="M5" s="41">
        <v>0.0</v>
      </c>
    </row>
    <row r="6">
      <c r="A6" s="43" t="s">
        <v>30</v>
      </c>
      <c r="B6" s="39"/>
      <c r="C6" s="39"/>
      <c r="D6" s="39"/>
      <c r="E6" s="39"/>
      <c r="F6" s="38"/>
      <c r="G6" s="39"/>
      <c r="H6" s="39"/>
      <c r="I6" s="39"/>
      <c r="J6" s="39"/>
      <c r="K6" s="39"/>
      <c r="L6" s="39"/>
      <c r="M6" s="39"/>
    </row>
    <row r="7">
      <c r="A7" s="17">
        <v>2.0</v>
      </c>
      <c r="B7" s="17" t="s">
        <v>54</v>
      </c>
      <c r="C7" s="17" t="s">
        <v>55</v>
      </c>
      <c r="D7" s="17" t="s">
        <v>59</v>
      </c>
      <c r="E7" s="17"/>
      <c r="F7" s="89">
        <v>550.0</v>
      </c>
      <c r="G7" s="41">
        <v>600.0</v>
      </c>
      <c r="H7" s="69" t="s">
        <v>58</v>
      </c>
      <c r="I7" s="41">
        <v>600.0</v>
      </c>
      <c r="J7" s="41">
        <v>600.0</v>
      </c>
      <c r="K7" s="41">
        <v>600.0</v>
      </c>
      <c r="L7" s="41">
        <v>600.0</v>
      </c>
      <c r="M7" s="41">
        <v>600.0</v>
      </c>
    </row>
    <row r="8">
      <c r="A8" s="17">
        <v>29.0</v>
      </c>
      <c r="B8" s="17" t="s">
        <v>54</v>
      </c>
      <c r="C8" s="17" t="s">
        <v>55</v>
      </c>
      <c r="D8" s="17" t="s">
        <v>291</v>
      </c>
      <c r="E8" s="17"/>
      <c r="F8" s="89">
        <v>0.0</v>
      </c>
      <c r="G8" s="41">
        <v>0.0</v>
      </c>
      <c r="H8" s="69" t="s">
        <v>58</v>
      </c>
      <c r="I8" s="41">
        <v>0.0</v>
      </c>
      <c r="J8" s="41">
        <v>0.0</v>
      </c>
      <c r="K8" s="41">
        <v>0.0</v>
      </c>
      <c r="L8" s="41">
        <v>0.0</v>
      </c>
      <c r="M8" s="41">
        <v>0.0</v>
      </c>
    </row>
    <row r="9">
      <c r="A9" s="43" t="s">
        <v>31</v>
      </c>
      <c r="B9" s="39"/>
      <c r="C9" s="39"/>
      <c r="D9" s="39"/>
      <c r="E9" s="39"/>
      <c r="F9" s="38"/>
      <c r="G9" s="39"/>
      <c r="H9" s="39"/>
      <c r="I9" s="39"/>
      <c r="J9" s="39"/>
      <c r="K9" s="39"/>
      <c r="L9" s="39"/>
      <c r="M9" s="39"/>
    </row>
    <row r="10">
      <c r="A10" s="17">
        <v>1.0</v>
      </c>
      <c r="B10" s="17" t="s">
        <v>54</v>
      </c>
      <c r="C10" s="17" t="s">
        <v>28</v>
      </c>
      <c r="D10" s="17" t="s">
        <v>293</v>
      </c>
      <c r="E10" s="17"/>
      <c r="F10" s="40">
        <v>0.0</v>
      </c>
      <c r="G10" s="41">
        <v>0.0</v>
      </c>
      <c r="H10" s="69" t="s">
        <v>58</v>
      </c>
      <c r="I10" s="41">
        <v>0.0</v>
      </c>
      <c r="J10" s="41">
        <v>0.0</v>
      </c>
      <c r="K10" s="41">
        <v>0.0</v>
      </c>
      <c r="L10" s="41">
        <v>0.0</v>
      </c>
      <c r="M10" s="41">
        <v>0.0</v>
      </c>
    </row>
    <row r="11">
      <c r="A11" s="17">
        <v>1.0</v>
      </c>
      <c r="B11" s="17" t="s">
        <v>54</v>
      </c>
      <c r="C11" s="17" t="s">
        <v>55</v>
      </c>
      <c r="D11" s="17" t="s">
        <v>294</v>
      </c>
      <c r="E11" s="17"/>
      <c r="F11" s="40">
        <v>0.0</v>
      </c>
      <c r="G11" s="41">
        <v>0.0</v>
      </c>
      <c r="H11" s="69" t="s">
        <v>58</v>
      </c>
      <c r="I11" s="41">
        <v>0.0</v>
      </c>
      <c r="J11" s="41">
        <v>0.0</v>
      </c>
      <c r="K11" s="41">
        <v>0.0</v>
      </c>
      <c r="L11" s="41">
        <v>0.0</v>
      </c>
      <c r="M11" s="41">
        <v>0.0</v>
      </c>
    </row>
    <row r="12">
      <c r="A12" s="17">
        <v>2.0</v>
      </c>
      <c r="B12" s="17" t="s">
        <v>54</v>
      </c>
      <c r="C12" s="17" t="s">
        <v>55</v>
      </c>
      <c r="D12" s="17" t="s">
        <v>295</v>
      </c>
      <c r="E12" s="17"/>
      <c r="F12" s="40">
        <v>0.0</v>
      </c>
      <c r="G12" s="41">
        <v>0.0</v>
      </c>
      <c r="H12" s="69" t="s">
        <v>58</v>
      </c>
      <c r="I12" s="41">
        <v>0.0</v>
      </c>
      <c r="J12" s="41">
        <v>0.0</v>
      </c>
      <c r="K12" s="41">
        <v>0.0</v>
      </c>
      <c r="L12" s="41">
        <v>0.0</v>
      </c>
      <c r="M12" s="41">
        <v>0.0</v>
      </c>
    </row>
    <row r="13">
      <c r="A13" s="17">
        <v>8.0</v>
      </c>
      <c r="B13" s="17" t="s">
        <v>54</v>
      </c>
      <c r="C13" s="17" t="s">
        <v>55</v>
      </c>
      <c r="D13" s="17" t="s">
        <v>296</v>
      </c>
      <c r="E13" s="17"/>
      <c r="F13" s="40">
        <v>550.0</v>
      </c>
      <c r="G13" s="41">
        <v>700.0</v>
      </c>
      <c r="H13" s="69" t="s">
        <v>58</v>
      </c>
      <c r="I13" s="41">
        <v>700.0</v>
      </c>
      <c r="J13" s="41">
        <v>700.0</v>
      </c>
      <c r="K13" s="41">
        <v>700.0</v>
      </c>
      <c r="L13" s="41">
        <v>700.0</v>
      </c>
      <c r="M13" s="41">
        <v>700.0</v>
      </c>
    </row>
    <row r="14">
      <c r="A14" s="16" t="s">
        <v>32</v>
      </c>
      <c r="B14" s="14"/>
      <c r="C14" s="14"/>
      <c r="D14" s="14"/>
      <c r="E14" s="14"/>
      <c r="F14" s="44"/>
      <c r="G14" s="14"/>
      <c r="H14" s="14"/>
      <c r="I14" s="14"/>
      <c r="J14" s="14"/>
      <c r="K14" s="14"/>
      <c r="L14" s="14"/>
      <c r="M14" s="14"/>
    </row>
    <row r="15">
      <c r="A15" s="17">
        <v>6.0</v>
      </c>
      <c r="B15" s="17" t="s">
        <v>54</v>
      </c>
      <c r="C15" s="17" t="s">
        <v>55</v>
      </c>
      <c r="D15" s="17" t="s">
        <v>299</v>
      </c>
      <c r="E15" s="17"/>
      <c r="F15" s="40">
        <v>0.0</v>
      </c>
      <c r="G15" s="41">
        <v>0.0</v>
      </c>
      <c r="H15" s="69" t="s">
        <v>58</v>
      </c>
      <c r="I15" s="41">
        <v>0.0</v>
      </c>
      <c r="J15" s="41">
        <v>0.0</v>
      </c>
      <c r="K15" s="41">
        <v>0.0</v>
      </c>
      <c r="L15" s="41">
        <v>0.0</v>
      </c>
      <c r="M15" s="41">
        <v>0.0</v>
      </c>
    </row>
    <row r="16">
      <c r="A16" s="17">
        <v>7.0</v>
      </c>
      <c r="B16" s="17" t="s">
        <v>54</v>
      </c>
      <c r="C16" s="17" t="s">
        <v>64</v>
      </c>
      <c r="D16" s="17" t="s">
        <v>300</v>
      </c>
      <c r="E16" s="17"/>
      <c r="F16" s="89">
        <v>790.0</v>
      </c>
      <c r="G16" s="41">
        <v>750.0</v>
      </c>
      <c r="H16" s="69" t="s">
        <v>58</v>
      </c>
      <c r="I16" s="41">
        <v>750.0</v>
      </c>
      <c r="J16" s="41">
        <v>750.0</v>
      </c>
      <c r="K16" s="41">
        <v>750.0</v>
      </c>
      <c r="L16" s="41">
        <v>750.0</v>
      </c>
      <c r="M16" s="41">
        <v>750.0</v>
      </c>
    </row>
    <row r="17">
      <c r="A17" s="17">
        <v>26.0</v>
      </c>
      <c r="B17" s="17" t="s">
        <v>54</v>
      </c>
      <c r="C17" s="17" t="s">
        <v>55</v>
      </c>
      <c r="D17" s="17" t="s">
        <v>59</v>
      </c>
      <c r="E17" s="17"/>
      <c r="F17" s="89">
        <v>690.0</v>
      </c>
      <c r="G17" s="41">
        <v>700.0</v>
      </c>
      <c r="H17" s="69" t="s">
        <v>58</v>
      </c>
      <c r="I17" s="41">
        <v>700.0</v>
      </c>
      <c r="J17" s="41">
        <v>700.0</v>
      </c>
      <c r="K17" s="41">
        <v>700.0</v>
      </c>
      <c r="L17" s="41">
        <v>700.0</v>
      </c>
      <c r="M17" s="41">
        <v>700.0</v>
      </c>
    </row>
    <row r="18">
      <c r="A18" s="16" t="s">
        <v>33</v>
      </c>
      <c r="B18" s="14"/>
      <c r="C18" s="14"/>
      <c r="D18" s="14"/>
      <c r="E18" s="14"/>
      <c r="F18" s="44"/>
      <c r="G18" s="14"/>
      <c r="H18" s="14"/>
      <c r="I18" s="14"/>
      <c r="J18" s="14"/>
      <c r="K18" s="14"/>
      <c r="L18" s="14"/>
      <c r="M18" s="14"/>
    </row>
    <row r="19">
      <c r="A19" s="17">
        <v>12.0</v>
      </c>
      <c r="B19" s="17" t="s">
        <v>54</v>
      </c>
      <c r="C19" s="17" t="s">
        <v>64</v>
      </c>
      <c r="D19" s="17" t="s">
        <v>301</v>
      </c>
      <c r="E19" s="17"/>
      <c r="F19" s="89">
        <v>690.0</v>
      </c>
      <c r="G19" s="41">
        <v>650.0</v>
      </c>
      <c r="H19" s="69" t="s">
        <v>58</v>
      </c>
      <c r="I19" s="41">
        <v>650.0</v>
      </c>
      <c r="J19" s="41">
        <v>650.0</v>
      </c>
      <c r="K19" s="41">
        <v>650.0</v>
      </c>
      <c r="L19" s="41">
        <v>650.0</v>
      </c>
      <c r="M19" s="41">
        <v>650.0</v>
      </c>
    </row>
    <row r="20">
      <c r="A20" s="16" t="s">
        <v>39</v>
      </c>
      <c r="B20" s="14"/>
      <c r="C20" s="14"/>
      <c r="D20" s="14"/>
      <c r="E20" s="14"/>
      <c r="F20" s="44"/>
      <c r="G20" s="14"/>
      <c r="H20" s="14"/>
      <c r="I20" s="14"/>
      <c r="J20" s="14"/>
      <c r="K20" s="14"/>
      <c r="L20" s="14"/>
      <c r="M20" s="14"/>
    </row>
    <row r="21">
      <c r="A21" s="17">
        <v>7.0</v>
      </c>
      <c r="B21" s="17" t="s">
        <v>54</v>
      </c>
      <c r="C21" s="17" t="s">
        <v>64</v>
      </c>
      <c r="D21" s="17" t="s">
        <v>302</v>
      </c>
      <c r="E21" s="17" t="s">
        <v>303</v>
      </c>
      <c r="F21" s="89">
        <v>330.0</v>
      </c>
      <c r="G21" s="41">
        <v>0.0</v>
      </c>
      <c r="H21" s="69" t="s">
        <v>58</v>
      </c>
      <c r="I21" s="41">
        <v>0.0</v>
      </c>
      <c r="J21" s="41">
        <v>0.0</v>
      </c>
      <c r="K21" s="41">
        <v>0.0</v>
      </c>
      <c r="L21" s="41">
        <v>0.0</v>
      </c>
      <c r="M21" s="41">
        <v>0.0</v>
      </c>
    </row>
    <row r="22">
      <c r="A22" s="17">
        <v>7.0</v>
      </c>
      <c r="B22" s="17" t="s">
        <v>54</v>
      </c>
      <c r="C22" s="17" t="s">
        <v>28</v>
      </c>
      <c r="D22" s="17" t="s">
        <v>286</v>
      </c>
      <c r="E22" s="17" t="s">
        <v>287</v>
      </c>
      <c r="F22" s="50">
        <v>0.0</v>
      </c>
      <c r="G22" s="41">
        <v>0.0</v>
      </c>
      <c r="H22" s="69" t="s">
        <v>58</v>
      </c>
      <c r="I22" s="41">
        <v>0.0</v>
      </c>
      <c r="J22" s="41">
        <v>0.0</v>
      </c>
      <c r="K22" s="41">
        <v>0.0</v>
      </c>
      <c r="L22" s="41">
        <v>0.0</v>
      </c>
      <c r="M22" s="41">
        <v>0.0</v>
      </c>
    </row>
    <row r="23">
      <c r="A23" s="17">
        <v>8.0</v>
      </c>
      <c r="B23" s="17" t="s">
        <v>34</v>
      </c>
      <c r="C23" s="17" t="s">
        <v>35</v>
      </c>
      <c r="D23" s="17" t="s">
        <v>45</v>
      </c>
      <c r="E23" s="17"/>
      <c r="F23" s="89">
        <v>560.0</v>
      </c>
      <c r="G23" s="41">
        <v>500.0</v>
      </c>
      <c r="H23" s="69" t="s">
        <v>37</v>
      </c>
      <c r="I23" s="31">
        <v>500.0</v>
      </c>
      <c r="J23" s="31">
        <v>500.0</v>
      </c>
      <c r="K23" s="31">
        <v>500.0</v>
      </c>
      <c r="L23" s="31">
        <v>500.0</v>
      </c>
      <c r="M23" s="31">
        <v>500.0</v>
      </c>
    </row>
    <row r="24">
      <c r="A24" s="17">
        <v>9.0</v>
      </c>
      <c r="B24" s="17" t="s">
        <v>34</v>
      </c>
      <c r="C24" s="17" t="s">
        <v>70</v>
      </c>
      <c r="D24" s="17" t="s">
        <v>45</v>
      </c>
      <c r="E24" s="18"/>
      <c r="F24" s="89">
        <v>2230.0</v>
      </c>
      <c r="G24" s="31">
        <v>2000.0</v>
      </c>
      <c r="H24" s="69" t="s">
        <v>58</v>
      </c>
      <c r="I24" s="31">
        <v>2000.0</v>
      </c>
      <c r="J24" s="31">
        <v>2000.0</v>
      </c>
      <c r="K24" s="31">
        <v>2000.0</v>
      </c>
      <c r="L24" s="31">
        <v>2000.0</v>
      </c>
      <c r="M24" s="31">
        <v>2000.0</v>
      </c>
    </row>
    <row r="25">
      <c r="A25" s="17">
        <v>11.0</v>
      </c>
      <c r="B25" s="17" t="s">
        <v>34</v>
      </c>
      <c r="C25" s="17" t="s">
        <v>78</v>
      </c>
      <c r="D25" s="17" t="s">
        <v>305</v>
      </c>
      <c r="E25" s="17"/>
      <c r="F25" s="89">
        <v>2140.0</v>
      </c>
      <c r="G25" s="31">
        <v>2000.0</v>
      </c>
      <c r="H25" s="69" t="s">
        <v>58</v>
      </c>
      <c r="I25" s="31">
        <v>2000.0</v>
      </c>
      <c r="J25" s="31">
        <v>2000.0</v>
      </c>
      <c r="K25" s="31">
        <v>2000.0</v>
      </c>
      <c r="L25" s="31">
        <v>2000.0</v>
      </c>
      <c r="M25" s="31">
        <v>2000.0</v>
      </c>
    </row>
    <row r="26">
      <c r="A26" s="17">
        <v>15.0</v>
      </c>
      <c r="B26" s="17" t="s">
        <v>34</v>
      </c>
      <c r="C26" s="17" t="s">
        <v>35</v>
      </c>
      <c r="D26" s="17" t="s">
        <v>338</v>
      </c>
      <c r="E26" s="18"/>
      <c r="F26" s="89">
        <v>500.0</v>
      </c>
      <c r="G26" s="31">
        <v>500.0</v>
      </c>
      <c r="H26" s="69" t="s">
        <v>37</v>
      </c>
      <c r="I26" s="31">
        <v>500.0</v>
      </c>
      <c r="J26" s="31">
        <v>500.0</v>
      </c>
      <c r="K26" s="31">
        <v>500.0</v>
      </c>
      <c r="L26" s="31">
        <v>500.0</v>
      </c>
      <c r="M26" s="31">
        <v>500.0</v>
      </c>
    </row>
    <row r="27">
      <c r="A27" s="17">
        <v>21.0</v>
      </c>
      <c r="B27" s="17" t="s">
        <v>54</v>
      </c>
      <c r="C27" s="17" t="s">
        <v>64</v>
      </c>
      <c r="D27" s="17" t="s">
        <v>80</v>
      </c>
      <c r="E27" s="18"/>
      <c r="F27" s="89">
        <v>1050.0</v>
      </c>
      <c r="G27" s="31">
        <v>1000.0</v>
      </c>
      <c r="H27" s="69" t="s">
        <v>58</v>
      </c>
      <c r="I27" s="31">
        <v>1000.0</v>
      </c>
      <c r="J27" s="31">
        <v>1000.0</v>
      </c>
      <c r="K27" s="31">
        <v>1000.0</v>
      </c>
      <c r="L27" s="31">
        <v>1000.0</v>
      </c>
      <c r="M27" s="31">
        <v>1000.0</v>
      </c>
    </row>
    <row r="28">
      <c r="A28" s="69">
        <v>21.0</v>
      </c>
      <c r="B28" s="17" t="s">
        <v>34</v>
      </c>
      <c r="C28" s="17" t="s">
        <v>35</v>
      </c>
      <c r="D28" s="17" t="s">
        <v>45</v>
      </c>
      <c r="E28" s="18"/>
      <c r="F28" s="89">
        <v>530.0</v>
      </c>
      <c r="G28" s="31">
        <v>500.0</v>
      </c>
      <c r="H28" s="69" t="s">
        <v>37</v>
      </c>
      <c r="I28" s="31">
        <v>500.0</v>
      </c>
      <c r="J28" s="31">
        <v>500.0</v>
      </c>
      <c r="K28" s="31">
        <v>500.0</v>
      </c>
      <c r="L28" s="31">
        <v>500.0</v>
      </c>
      <c r="M28" s="31">
        <v>500.0</v>
      </c>
    </row>
    <row r="29">
      <c r="A29" s="69">
        <v>27.0</v>
      </c>
      <c r="B29" s="17" t="s">
        <v>34</v>
      </c>
      <c r="C29" s="17" t="s">
        <v>78</v>
      </c>
      <c r="D29" s="17" t="s">
        <v>307</v>
      </c>
      <c r="E29" s="18"/>
      <c r="F29" s="89">
        <v>1790.0</v>
      </c>
      <c r="G29" s="31">
        <v>1700.0</v>
      </c>
      <c r="H29" s="69" t="s">
        <v>58</v>
      </c>
      <c r="I29" s="31">
        <v>1700.0</v>
      </c>
      <c r="J29" s="31">
        <v>1700.0</v>
      </c>
      <c r="K29" s="31">
        <v>1700.0</v>
      </c>
      <c r="L29" s="31">
        <v>1700.0</v>
      </c>
      <c r="M29" s="31">
        <v>1700.0</v>
      </c>
    </row>
    <row r="30">
      <c r="A30" s="17">
        <v>29.0</v>
      </c>
      <c r="B30" s="17" t="s">
        <v>34</v>
      </c>
      <c r="C30" s="17" t="s">
        <v>35</v>
      </c>
      <c r="D30" s="17" t="s">
        <v>45</v>
      </c>
      <c r="E30" s="18"/>
      <c r="F30" s="89">
        <v>540.0</v>
      </c>
      <c r="G30" s="31">
        <v>500.0</v>
      </c>
      <c r="H30" s="69" t="s">
        <v>37</v>
      </c>
      <c r="I30" s="31">
        <v>500.0</v>
      </c>
      <c r="J30" s="31">
        <v>500.0</v>
      </c>
      <c r="K30" s="31">
        <v>500.0</v>
      </c>
      <c r="L30" s="31">
        <v>500.0</v>
      </c>
      <c r="M30" s="31">
        <v>500.0</v>
      </c>
    </row>
    <row r="31">
      <c r="A31" s="16" t="s">
        <v>42</v>
      </c>
      <c r="B31" s="14"/>
      <c r="C31" s="14"/>
      <c r="D31" s="14"/>
      <c r="E31" s="14"/>
      <c r="F31" s="44"/>
      <c r="G31" s="14"/>
      <c r="H31" s="14"/>
      <c r="I31" s="14"/>
      <c r="J31" s="14"/>
      <c r="K31" s="14"/>
      <c r="L31" s="14"/>
      <c r="M31" s="14"/>
    </row>
    <row r="32">
      <c r="A32" s="17">
        <v>5.0</v>
      </c>
      <c r="B32" s="17" t="s">
        <v>34</v>
      </c>
      <c r="C32" s="17" t="s">
        <v>35</v>
      </c>
      <c r="D32" s="17" t="s">
        <v>45</v>
      </c>
      <c r="E32" s="17"/>
      <c r="F32" s="89">
        <v>480.0</v>
      </c>
      <c r="G32" s="31">
        <v>450.0</v>
      </c>
      <c r="H32" s="69" t="s">
        <v>37</v>
      </c>
      <c r="I32" s="31">
        <v>450.0</v>
      </c>
      <c r="J32" s="31">
        <v>450.0</v>
      </c>
      <c r="K32" s="31">
        <v>450.0</v>
      </c>
      <c r="L32" s="31">
        <v>450.0</v>
      </c>
      <c r="M32" s="31">
        <v>450.0</v>
      </c>
    </row>
    <row r="33">
      <c r="A33" s="17">
        <v>12.0</v>
      </c>
      <c r="B33" s="17" t="s">
        <v>34</v>
      </c>
      <c r="C33" s="17" t="s">
        <v>35</v>
      </c>
      <c r="D33" s="17" t="s">
        <v>309</v>
      </c>
      <c r="E33" s="17"/>
      <c r="F33" s="89">
        <v>400.0</v>
      </c>
      <c r="G33" s="31">
        <v>400.0</v>
      </c>
      <c r="H33" s="69" t="s">
        <v>37</v>
      </c>
      <c r="I33" s="31">
        <v>400.0</v>
      </c>
      <c r="J33" s="31">
        <v>400.0</v>
      </c>
      <c r="K33" s="31">
        <v>400.0</v>
      </c>
      <c r="L33" s="31">
        <v>400.0</v>
      </c>
      <c r="M33" s="31">
        <v>400.0</v>
      </c>
    </row>
    <row r="34">
      <c r="A34" s="17">
        <v>20.0</v>
      </c>
      <c r="B34" s="17" t="s">
        <v>54</v>
      </c>
      <c r="C34" s="17" t="s">
        <v>64</v>
      </c>
      <c r="D34" s="17" t="s">
        <v>310</v>
      </c>
      <c r="E34" s="17">
        <f>AVERAGE(G44:G51)</f>
        <v>992.8571429</v>
      </c>
      <c r="F34" s="89">
        <v>950.0</v>
      </c>
      <c r="G34" s="31">
        <v>950.0</v>
      </c>
      <c r="H34" s="69" t="s">
        <v>58</v>
      </c>
      <c r="I34" s="31">
        <v>950.0</v>
      </c>
      <c r="J34" s="31">
        <v>950.0</v>
      </c>
      <c r="K34" s="31">
        <v>950.0</v>
      </c>
      <c r="L34" s="31">
        <v>950.0</v>
      </c>
      <c r="M34" s="31">
        <v>950.0</v>
      </c>
    </row>
    <row r="35">
      <c r="A35" s="17">
        <v>25.0</v>
      </c>
      <c r="B35" s="17" t="s">
        <v>54</v>
      </c>
      <c r="C35" s="17" t="s">
        <v>55</v>
      </c>
      <c r="D35" s="17" t="s">
        <v>312</v>
      </c>
      <c r="E35" s="17" t="s">
        <v>313</v>
      </c>
      <c r="F35" s="89">
        <v>1390.0</v>
      </c>
      <c r="G35" s="31">
        <v>1350.0</v>
      </c>
      <c r="H35" s="69" t="s">
        <v>58</v>
      </c>
      <c r="I35" s="31">
        <v>1350.0</v>
      </c>
      <c r="J35" s="31">
        <v>1350.0</v>
      </c>
      <c r="K35" s="31">
        <v>1350.0</v>
      </c>
      <c r="L35" s="31">
        <v>1350.0</v>
      </c>
      <c r="M35" s="31">
        <v>1350.0</v>
      </c>
    </row>
    <row r="36">
      <c r="A36" s="16" t="s">
        <v>44</v>
      </c>
      <c r="B36" s="14"/>
      <c r="C36" s="14"/>
      <c r="D36" s="14"/>
      <c r="E36" s="14"/>
      <c r="F36" s="44"/>
      <c r="G36" s="14"/>
      <c r="H36" s="14"/>
      <c r="I36" s="14"/>
      <c r="J36" s="14"/>
      <c r="K36" s="14"/>
      <c r="L36" s="14"/>
      <c r="M36" s="14"/>
    </row>
    <row r="37">
      <c r="A37" s="17">
        <v>15.0</v>
      </c>
      <c r="B37" s="17" t="s">
        <v>54</v>
      </c>
      <c r="C37" s="17" t="s">
        <v>64</v>
      </c>
      <c r="D37" s="17" t="s">
        <v>314</v>
      </c>
      <c r="E37" s="17" t="s">
        <v>315</v>
      </c>
      <c r="F37" s="89">
        <v>1120.0</v>
      </c>
      <c r="G37" s="31">
        <v>1000.0</v>
      </c>
      <c r="H37" s="69" t="s">
        <v>58</v>
      </c>
      <c r="I37" s="31">
        <v>1000.0</v>
      </c>
      <c r="J37" s="31">
        <v>1000.0</v>
      </c>
      <c r="K37" s="31">
        <v>1000.0</v>
      </c>
      <c r="L37" s="31">
        <v>1000.0</v>
      </c>
      <c r="M37" s="31">
        <v>1000.0</v>
      </c>
    </row>
    <row r="38">
      <c r="A38" s="17">
        <v>17.0</v>
      </c>
      <c r="B38" s="17" t="s">
        <v>54</v>
      </c>
      <c r="C38" s="17" t="s">
        <v>64</v>
      </c>
      <c r="D38" s="17" t="s">
        <v>317</v>
      </c>
      <c r="E38" s="17" t="s">
        <v>315</v>
      </c>
      <c r="F38" s="89">
        <v>1300.0</v>
      </c>
      <c r="G38" s="31">
        <v>1200.0</v>
      </c>
      <c r="H38" s="69" t="s">
        <v>58</v>
      </c>
      <c r="I38" s="31">
        <v>1200.0</v>
      </c>
      <c r="J38" s="31">
        <v>1200.0</v>
      </c>
      <c r="K38" s="31">
        <v>1200.0</v>
      </c>
      <c r="L38" s="31">
        <v>1200.0</v>
      </c>
      <c r="M38" s="31">
        <v>1200.0</v>
      </c>
    </row>
    <row r="39">
      <c r="A39" s="17">
        <v>25.0</v>
      </c>
      <c r="B39" s="17" t="s">
        <v>34</v>
      </c>
      <c r="C39" s="17" t="s">
        <v>35</v>
      </c>
      <c r="D39" s="17" t="s">
        <v>318</v>
      </c>
      <c r="E39" s="17"/>
      <c r="F39" s="89">
        <v>1840.0</v>
      </c>
      <c r="G39" s="31">
        <v>1750.0</v>
      </c>
      <c r="H39" s="69" t="s">
        <v>58</v>
      </c>
      <c r="I39" s="31">
        <v>1750.0</v>
      </c>
      <c r="J39" s="31">
        <v>1750.0</v>
      </c>
      <c r="K39" s="31">
        <v>1750.0</v>
      </c>
      <c r="L39" s="31">
        <v>1750.0</v>
      </c>
      <c r="M39" s="31">
        <v>1750.0</v>
      </c>
    </row>
    <row r="40">
      <c r="A40" s="17">
        <v>30.0</v>
      </c>
      <c r="B40" s="17" t="s">
        <v>54</v>
      </c>
      <c r="C40" s="17" t="s">
        <v>64</v>
      </c>
      <c r="D40" s="17" t="s">
        <v>302</v>
      </c>
      <c r="E40" s="17" t="s">
        <v>319</v>
      </c>
      <c r="F40" s="89">
        <v>1080.0</v>
      </c>
      <c r="G40" s="31">
        <v>1000.0</v>
      </c>
      <c r="H40" s="69" t="s">
        <v>58</v>
      </c>
      <c r="I40" s="31">
        <v>1000.0</v>
      </c>
      <c r="J40" s="31">
        <v>1000.0</v>
      </c>
      <c r="K40" s="31">
        <v>1000.0</v>
      </c>
      <c r="L40" s="31">
        <v>1000.0</v>
      </c>
      <c r="M40" s="31">
        <v>1000.0</v>
      </c>
    </row>
    <row r="41">
      <c r="A41" s="17">
        <v>31.0</v>
      </c>
      <c r="B41" s="17" t="s">
        <v>34</v>
      </c>
      <c r="C41" s="17" t="s">
        <v>35</v>
      </c>
      <c r="D41" s="17" t="s">
        <v>320</v>
      </c>
      <c r="E41" s="17"/>
      <c r="F41" s="89">
        <v>440.0</v>
      </c>
      <c r="G41" s="31">
        <v>450.0</v>
      </c>
      <c r="H41" s="69" t="s">
        <v>37</v>
      </c>
      <c r="I41" s="31">
        <v>450.0</v>
      </c>
      <c r="J41" s="31">
        <v>450.0</v>
      </c>
      <c r="K41" s="31">
        <v>450.0</v>
      </c>
      <c r="L41" s="31">
        <v>450.0</v>
      </c>
      <c r="M41" s="31">
        <v>450.0</v>
      </c>
    </row>
    <row r="42">
      <c r="A42" s="16" t="s">
        <v>47</v>
      </c>
      <c r="B42" s="14"/>
      <c r="C42" s="14"/>
      <c r="D42" s="14"/>
      <c r="E42" s="14"/>
      <c r="F42" s="44"/>
      <c r="G42" s="14"/>
      <c r="H42" s="14"/>
      <c r="I42" s="14"/>
      <c r="J42" s="14"/>
      <c r="K42" s="14"/>
      <c r="L42" s="14"/>
      <c r="M42" s="14"/>
    </row>
    <row r="43">
      <c r="A43" s="17">
        <v>1.0</v>
      </c>
      <c r="B43" s="17" t="s">
        <v>34</v>
      </c>
      <c r="C43" s="17" t="s">
        <v>78</v>
      </c>
      <c r="D43" s="17" t="s">
        <v>321</v>
      </c>
      <c r="E43" s="17" t="s">
        <v>339</v>
      </c>
      <c r="F43" s="89">
        <v>1570.0</v>
      </c>
      <c r="G43" s="31">
        <v>1500.0</v>
      </c>
      <c r="H43" s="69" t="s">
        <v>58</v>
      </c>
      <c r="I43" s="31">
        <v>1500.0</v>
      </c>
      <c r="J43" s="31">
        <v>1500.0</v>
      </c>
      <c r="K43" s="31">
        <v>1500.0</v>
      </c>
      <c r="L43" s="31">
        <v>1500.0</v>
      </c>
      <c r="M43" s="31">
        <v>1500.0</v>
      </c>
    </row>
    <row r="44">
      <c r="A44" s="17">
        <v>14.0</v>
      </c>
      <c r="B44" s="17" t="s">
        <v>34</v>
      </c>
      <c r="C44" s="17" t="s">
        <v>35</v>
      </c>
      <c r="D44" s="17" t="s">
        <v>36</v>
      </c>
      <c r="E44" s="17"/>
      <c r="F44" s="89">
        <v>3000.0</v>
      </c>
      <c r="G44" s="31">
        <v>2400.0</v>
      </c>
      <c r="H44" s="69" t="s">
        <v>58</v>
      </c>
      <c r="I44" s="31">
        <v>2400.0</v>
      </c>
      <c r="J44" s="31">
        <v>2400.0</v>
      </c>
      <c r="K44" s="31">
        <v>2400.0</v>
      </c>
      <c r="L44" s="31">
        <v>2400.0</v>
      </c>
      <c r="M44" s="31">
        <v>2400.0</v>
      </c>
    </row>
    <row r="45">
      <c r="A45" s="17">
        <v>15.0</v>
      </c>
      <c r="B45" s="17" t="s">
        <v>34</v>
      </c>
      <c r="C45" s="17" t="s">
        <v>35</v>
      </c>
      <c r="D45" s="17" t="s">
        <v>323</v>
      </c>
      <c r="E45" s="17"/>
      <c r="F45" s="89">
        <v>590.0</v>
      </c>
      <c r="G45" s="31">
        <v>500.0</v>
      </c>
      <c r="H45" s="69" t="s">
        <v>37</v>
      </c>
      <c r="I45" s="31">
        <v>500.0</v>
      </c>
      <c r="J45" s="31">
        <v>500.0</v>
      </c>
      <c r="K45" s="31">
        <v>500.0</v>
      </c>
      <c r="L45" s="31">
        <v>500.0</v>
      </c>
      <c r="M45" s="31">
        <v>500.0</v>
      </c>
    </row>
    <row r="46">
      <c r="A46" s="17">
        <v>22.0</v>
      </c>
      <c r="B46" s="17" t="s">
        <v>34</v>
      </c>
      <c r="C46" s="17" t="s">
        <v>35</v>
      </c>
      <c r="D46" s="17" t="s">
        <v>318</v>
      </c>
      <c r="E46" s="17"/>
      <c r="F46" s="89">
        <v>550.0</v>
      </c>
      <c r="G46" s="31">
        <v>500.0</v>
      </c>
      <c r="H46" s="69" t="s">
        <v>37</v>
      </c>
      <c r="I46" s="31">
        <v>500.0</v>
      </c>
      <c r="J46" s="31">
        <v>500.0</v>
      </c>
      <c r="K46" s="31">
        <v>500.0</v>
      </c>
      <c r="L46" s="31">
        <v>500.0</v>
      </c>
      <c r="M46" s="31">
        <v>500.0</v>
      </c>
    </row>
    <row r="47">
      <c r="A47" s="17">
        <v>28.0</v>
      </c>
      <c r="B47" s="17" t="s">
        <v>34</v>
      </c>
      <c r="C47" s="17" t="s">
        <v>35</v>
      </c>
      <c r="D47" s="17" t="s">
        <v>36</v>
      </c>
      <c r="E47" s="17"/>
      <c r="F47" s="89">
        <v>460.0</v>
      </c>
      <c r="G47" s="31">
        <v>450.0</v>
      </c>
      <c r="H47" s="69" t="s">
        <v>37</v>
      </c>
      <c r="I47" s="31">
        <v>450.0</v>
      </c>
      <c r="J47" s="31">
        <v>450.0</v>
      </c>
      <c r="K47" s="31">
        <v>450.0</v>
      </c>
      <c r="L47" s="31">
        <v>450.0</v>
      </c>
      <c r="M47" s="31">
        <v>450.0</v>
      </c>
    </row>
    <row r="48">
      <c r="A48" s="17">
        <v>29.0</v>
      </c>
      <c r="B48" s="17" t="s">
        <v>34</v>
      </c>
      <c r="C48" s="17" t="s">
        <v>35</v>
      </c>
      <c r="D48" s="17" t="s">
        <v>324</v>
      </c>
      <c r="E48" s="17"/>
      <c r="F48" s="89">
        <v>660.0</v>
      </c>
      <c r="G48" s="31">
        <v>600.0</v>
      </c>
      <c r="H48" s="69" t="s">
        <v>37</v>
      </c>
      <c r="I48" s="31">
        <v>600.0</v>
      </c>
      <c r="J48" s="31">
        <v>600.0</v>
      </c>
      <c r="K48" s="31">
        <v>600.0</v>
      </c>
      <c r="L48" s="31">
        <v>600.0</v>
      </c>
      <c r="M48" s="31">
        <v>600.0</v>
      </c>
    </row>
    <row r="49">
      <c r="A49" s="16" t="s">
        <v>50</v>
      </c>
      <c r="B49" s="14"/>
      <c r="C49" s="14"/>
      <c r="D49" s="14"/>
      <c r="E49" s="14"/>
      <c r="F49" s="44"/>
      <c r="G49" s="14"/>
      <c r="H49" s="14"/>
      <c r="I49" s="14"/>
      <c r="J49" s="14"/>
      <c r="K49" s="14"/>
      <c r="L49" s="14"/>
      <c r="M49" s="14"/>
    </row>
    <row r="50">
      <c r="A50" s="17">
        <v>5.0</v>
      </c>
      <c r="B50" s="17" t="s">
        <v>34</v>
      </c>
      <c r="C50" s="17" t="s">
        <v>35</v>
      </c>
      <c r="D50" s="17" t="s">
        <v>36</v>
      </c>
      <c r="E50" s="17"/>
      <c r="F50" s="89">
        <v>550.0</v>
      </c>
      <c r="G50" s="31">
        <v>500.0</v>
      </c>
      <c r="H50" s="69" t="s">
        <v>37</v>
      </c>
      <c r="I50" s="31">
        <v>500.0</v>
      </c>
      <c r="J50" s="31">
        <v>500.0</v>
      </c>
      <c r="K50" s="31">
        <v>500.0</v>
      </c>
      <c r="L50" s="31">
        <v>500.0</v>
      </c>
      <c r="M50" s="31">
        <v>500.0</v>
      </c>
    </row>
    <row r="51">
      <c r="A51" s="17">
        <v>12.0</v>
      </c>
      <c r="B51" s="17" t="s">
        <v>34</v>
      </c>
      <c r="C51" s="17" t="s">
        <v>35</v>
      </c>
      <c r="D51" s="17" t="s">
        <v>318</v>
      </c>
      <c r="E51" s="17"/>
      <c r="F51" s="89">
        <v>2330.0</v>
      </c>
      <c r="G51" s="31">
        <v>2000.0</v>
      </c>
      <c r="H51" s="69" t="s">
        <v>58</v>
      </c>
      <c r="I51" s="31">
        <v>2000.0</v>
      </c>
      <c r="J51" s="31">
        <v>2000.0</v>
      </c>
      <c r="K51" s="31">
        <v>2000.0</v>
      </c>
      <c r="L51" s="31">
        <v>2000.0</v>
      </c>
      <c r="M51" s="31">
        <v>2000.0</v>
      </c>
    </row>
    <row r="52">
      <c r="A52" s="16" t="s">
        <v>97</v>
      </c>
      <c r="B52" s="14"/>
      <c r="C52" s="14"/>
      <c r="D52" s="14"/>
      <c r="E52" s="14"/>
      <c r="F52" s="44"/>
      <c r="G52" s="14"/>
      <c r="H52" s="14"/>
      <c r="I52" s="14"/>
      <c r="J52" s="14"/>
      <c r="K52" s="14"/>
      <c r="L52" s="14"/>
      <c r="M52" s="14"/>
    </row>
    <row r="53">
      <c r="A53" s="17">
        <v>8.0</v>
      </c>
      <c r="B53" s="17" t="s">
        <v>34</v>
      </c>
      <c r="C53" s="17" t="s">
        <v>35</v>
      </c>
      <c r="D53" s="17" t="s">
        <v>307</v>
      </c>
      <c r="E53" s="17"/>
      <c r="F53" s="89">
        <v>510.0</v>
      </c>
      <c r="G53" s="31">
        <v>500.0</v>
      </c>
      <c r="H53" s="69" t="s">
        <v>37</v>
      </c>
      <c r="I53" s="31">
        <v>500.0</v>
      </c>
      <c r="J53" s="31">
        <v>500.0</v>
      </c>
      <c r="K53" s="31">
        <v>500.0</v>
      </c>
      <c r="L53" s="31">
        <v>500.0</v>
      </c>
      <c r="M53" s="31">
        <v>500.0</v>
      </c>
    </row>
    <row r="54">
      <c r="A54" s="17">
        <v>21.0</v>
      </c>
      <c r="B54" s="17" t="s">
        <v>54</v>
      </c>
      <c r="C54" s="17" t="s">
        <v>55</v>
      </c>
      <c r="D54" s="17" t="s">
        <v>327</v>
      </c>
      <c r="E54" s="17"/>
      <c r="F54" s="89">
        <v>1350.0</v>
      </c>
      <c r="G54" s="17">
        <v>1250.0</v>
      </c>
      <c r="H54" s="69" t="s">
        <v>58</v>
      </c>
      <c r="I54" s="31">
        <v>1250.0</v>
      </c>
      <c r="J54" s="31">
        <v>1250.0</v>
      </c>
      <c r="K54" s="31">
        <v>1250.0</v>
      </c>
      <c r="L54" s="31">
        <v>1250.0</v>
      </c>
      <c r="M54" s="31">
        <v>1250.0</v>
      </c>
    </row>
    <row r="55">
      <c r="A55" s="17">
        <v>22.0</v>
      </c>
      <c r="B55" s="17" t="s">
        <v>54</v>
      </c>
      <c r="C55" s="17" t="s">
        <v>55</v>
      </c>
      <c r="D55" s="17" t="s">
        <v>340</v>
      </c>
      <c r="E55" s="17"/>
      <c r="F55" s="89">
        <v>690.0</v>
      </c>
      <c r="G55" s="17">
        <v>700.0</v>
      </c>
      <c r="H55" s="69" t="s">
        <v>58</v>
      </c>
      <c r="I55" s="31">
        <v>700.0</v>
      </c>
      <c r="J55" s="31">
        <v>700.0</v>
      </c>
      <c r="K55" s="31">
        <v>700.0</v>
      </c>
      <c r="L55" s="31">
        <v>700.0</v>
      </c>
      <c r="M55" s="31">
        <v>700.0</v>
      </c>
    </row>
    <row r="56">
      <c r="A56" s="17">
        <v>23.0</v>
      </c>
      <c r="B56" s="17" t="s">
        <v>34</v>
      </c>
      <c r="C56" s="17" t="s">
        <v>78</v>
      </c>
      <c r="D56" s="17" t="s">
        <v>329</v>
      </c>
      <c r="E56" s="17"/>
      <c r="F56" s="89">
        <v>2190.0</v>
      </c>
      <c r="G56" s="31">
        <v>2000.0</v>
      </c>
      <c r="H56" s="69" t="s">
        <v>58</v>
      </c>
      <c r="I56" s="31">
        <v>2000.0</v>
      </c>
      <c r="J56" s="31">
        <v>2000.0</v>
      </c>
      <c r="K56" s="31">
        <v>2000.0</v>
      </c>
      <c r="L56" s="31">
        <v>2000.0</v>
      </c>
      <c r="M56" s="31">
        <v>2000.0</v>
      </c>
    </row>
    <row r="57">
      <c r="A57" s="17">
        <v>30.0</v>
      </c>
      <c r="B57" s="17" t="s">
        <v>54</v>
      </c>
      <c r="C57" s="17" t="s">
        <v>55</v>
      </c>
      <c r="D57" s="17" t="s">
        <v>296</v>
      </c>
      <c r="E57" s="17"/>
      <c r="F57" s="89">
        <v>560.0</v>
      </c>
      <c r="G57" s="31">
        <v>700.0</v>
      </c>
      <c r="H57" s="69" t="s">
        <v>58</v>
      </c>
      <c r="I57" s="31">
        <v>700.0</v>
      </c>
      <c r="J57" s="31">
        <v>700.0</v>
      </c>
      <c r="K57" s="31">
        <v>700.0</v>
      </c>
      <c r="L57" s="31">
        <v>700.0</v>
      </c>
      <c r="M57" s="31">
        <v>700.0</v>
      </c>
    </row>
    <row r="58">
      <c r="A58" s="16" t="s">
        <v>52</v>
      </c>
      <c r="B58" s="14"/>
      <c r="C58" s="14"/>
      <c r="D58" s="14"/>
      <c r="E58" s="14"/>
      <c r="F58" s="44"/>
      <c r="G58" s="14"/>
      <c r="H58" s="14"/>
      <c r="I58" s="14"/>
      <c r="J58" s="14"/>
      <c r="K58" s="14"/>
      <c r="L58" s="14"/>
      <c r="M58" s="14"/>
    </row>
    <row r="59">
      <c r="A59" s="17">
        <v>14.0</v>
      </c>
      <c r="B59" s="17" t="s">
        <v>34</v>
      </c>
      <c r="C59" s="17" t="s">
        <v>78</v>
      </c>
      <c r="D59" s="17" t="s">
        <v>341</v>
      </c>
      <c r="E59" s="17"/>
      <c r="F59" s="89">
        <v>2640.0</v>
      </c>
      <c r="G59" s="31">
        <v>2500.0</v>
      </c>
      <c r="H59" s="69" t="s">
        <v>58</v>
      </c>
      <c r="I59" s="31">
        <v>2500.0</v>
      </c>
      <c r="J59" s="31">
        <v>2500.0</v>
      </c>
      <c r="K59" s="31">
        <v>2500.0</v>
      </c>
      <c r="L59" s="31">
        <v>2500.0</v>
      </c>
      <c r="M59" s="31">
        <v>2500.0</v>
      </c>
    </row>
    <row r="60">
      <c r="A60" s="17">
        <v>17.0</v>
      </c>
      <c r="B60" s="17" t="s">
        <v>34</v>
      </c>
      <c r="C60" s="17" t="s">
        <v>78</v>
      </c>
      <c r="D60" s="17" t="s">
        <v>45</v>
      </c>
      <c r="E60" s="17"/>
      <c r="F60" s="89">
        <v>2820.0</v>
      </c>
      <c r="G60" s="31">
        <v>2000.0</v>
      </c>
      <c r="H60" s="69" t="s">
        <v>58</v>
      </c>
      <c r="I60" s="31">
        <v>2000.0</v>
      </c>
      <c r="J60" s="31">
        <v>2000.0</v>
      </c>
      <c r="K60" s="31">
        <v>2000.0</v>
      </c>
      <c r="L60" s="31">
        <v>2000.0</v>
      </c>
      <c r="M60" s="31">
        <v>2000.0</v>
      </c>
    </row>
    <row r="61">
      <c r="A61" s="17">
        <v>21.0</v>
      </c>
      <c r="B61" s="17" t="s">
        <v>34</v>
      </c>
      <c r="C61" s="17" t="s">
        <v>78</v>
      </c>
      <c r="D61" s="17" t="s">
        <v>342</v>
      </c>
      <c r="E61" s="17"/>
      <c r="F61" s="89">
        <v>2800.0</v>
      </c>
      <c r="G61" s="31">
        <v>2500.0</v>
      </c>
      <c r="H61" s="69" t="s">
        <v>58</v>
      </c>
      <c r="I61" s="31">
        <v>2500.0</v>
      </c>
      <c r="J61" s="31">
        <v>2500.0</v>
      </c>
      <c r="K61" s="31">
        <v>2500.0</v>
      </c>
      <c r="L61" s="31">
        <v>2500.0</v>
      </c>
      <c r="M61" s="31">
        <v>2500.0</v>
      </c>
    </row>
    <row r="62">
      <c r="A62" s="17">
        <v>31.0</v>
      </c>
      <c r="B62" s="17" t="s">
        <v>54</v>
      </c>
      <c r="C62" s="17" t="s">
        <v>55</v>
      </c>
      <c r="D62" s="17" t="s">
        <v>337</v>
      </c>
      <c r="E62" s="17" t="s">
        <v>105</v>
      </c>
      <c r="F62" s="89">
        <v>2630.0</v>
      </c>
      <c r="G62" s="31">
        <v>2500.0</v>
      </c>
      <c r="H62" s="69" t="s">
        <v>58</v>
      </c>
      <c r="I62" s="31">
        <v>2500.0</v>
      </c>
      <c r="J62" s="31">
        <v>2500.0</v>
      </c>
      <c r="K62" s="31">
        <v>2500.0</v>
      </c>
      <c r="L62" s="31">
        <v>2500.0</v>
      </c>
      <c r="M62" s="31">
        <v>2500.0</v>
      </c>
    </row>
  </sheetData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8.0"/>
    <col customWidth="1" min="2" max="2" width="9.25"/>
    <col customWidth="1" min="3" max="3" width="7.38"/>
    <col customWidth="1" min="7" max="7" width="8.0"/>
    <col customWidth="1" min="8" max="8" width="7.13"/>
    <col customWidth="1" min="9" max="9" width="11.75"/>
    <col customWidth="1" min="10" max="10" width="13.5"/>
    <col customWidth="1" min="11" max="12" width="8.75"/>
    <col customWidth="1" min="13" max="13" width="8.63"/>
    <col customWidth="1" min="14" max="14" width="8.75"/>
    <col customWidth="1" min="15" max="15" width="8.63"/>
  </cols>
  <sheetData>
    <row r="1">
      <c r="A1" s="61"/>
      <c r="B1" s="62" t="s">
        <v>0</v>
      </c>
      <c r="F1" s="59"/>
      <c r="G1" s="62" t="s">
        <v>150</v>
      </c>
      <c r="K1" s="59"/>
      <c r="L1" s="62" t="s">
        <v>123</v>
      </c>
      <c r="M1" s="59"/>
      <c r="N1" s="62" t="s">
        <v>126</v>
      </c>
      <c r="O1" s="59"/>
      <c r="P1" s="18"/>
      <c r="Q1" s="18"/>
      <c r="R1" s="18"/>
      <c r="S1" s="18"/>
      <c r="T1" s="18"/>
      <c r="U1" s="18"/>
      <c r="V1" s="18"/>
      <c r="W1" s="18"/>
      <c r="X1" s="18"/>
      <c r="Y1" s="18"/>
    </row>
    <row r="2">
      <c r="A2" s="63" t="s">
        <v>1</v>
      </c>
      <c r="B2" s="62" t="s">
        <v>151</v>
      </c>
      <c r="C2" s="17" t="s">
        <v>8</v>
      </c>
      <c r="D2" s="17" t="s">
        <v>152</v>
      </c>
      <c r="E2" s="17" t="s">
        <v>5</v>
      </c>
      <c r="F2" s="64" t="s">
        <v>153</v>
      </c>
      <c r="G2" s="62" t="s">
        <v>151</v>
      </c>
      <c r="H2" s="17" t="s">
        <v>8</v>
      </c>
      <c r="I2" s="17" t="s">
        <v>152</v>
      </c>
      <c r="J2" s="17" t="s">
        <v>5</v>
      </c>
      <c r="K2" s="64" t="s">
        <v>153</v>
      </c>
      <c r="L2" s="62" t="s">
        <v>151</v>
      </c>
      <c r="M2" s="64" t="s">
        <v>5</v>
      </c>
      <c r="N2" s="62" t="s">
        <v>151</v>
      </c>
      <c r="O2" s="64" t="s">
        <v>5</v>
      </c>
      <c r="P2" s="18"/>
      <c r="Q2" s="18"/>
      <c r="R2" s="18"/>
      <c r="S2" s="18"/>
      <c r="T2" s="18"/>
      <c r="U2" s="18"/>
      <c r="V2" s="18"/>
      <c r="W2" s="18"/>
      <c r="X2" s="18"/>
      <c r="Y2" s="18"/>
    </row>
    <row r="3">
      <c r="A3" s="90">
        <v>44927.0</v>
      </c>
      <c r="B3" s="62"/>
      <c r="C3" s="17" t="s">
        <v>154</v>
      </c>
      <c r="D3" s="17"/>
      <c r="E3" s="17"/>
      <c r="F3" s="64"/>
      <c r="G3" s="62">
        <v>626.46</v>
      </c>
      <c r="H3" s="17" t="s">
        <v>154</v>
      </c>
      <c r="I3" s="17"/>
      <c r="J3" s="17" t="s">
        <v>343</v>
      </c>
      <c r="K3" s="64" t="s">
        <v>149</v>
      </c>
      <c r="L3" s="66"/>
      <c r="M3" s="65"/>
      <c r="N3" s="66"/>
      <c r="O3" s="65"/>
      <c r="P3" s="18"/>
      <c r="Q3" s="18"/>
      <c r="R3" s="18"/>
      <c r="S3" s="18"/>
      <c r="T3" s="18"/>
      <c r="U3" s="18"/>
      <c r="V3" s="18"/>
      <c r="W3" s="18"/>
      <c r="X3" s="18"/>
      <c r="Y3" s="18"/>
    </row>
    <row r="4">
      <c r="A4" s="91"/>
      <c r="B4" s="62"/>
      <c r="C4" s="17"/>
      <c r="D4" s="17"/>
      <c r="E4" s="17"/>
      <c r="F4" s="64"/>
      <c r="G4" s="62">
        <v>40044.54</v>
      </c>
      <c r="H4" s="17" t="s">
        <v>154</v>
      </c>
      <c r="I4" s="18"/>
      <c r="J4" s="17" t="s">
        <v>343</v>
      </c>
      <c r="K4" s="64" t="s">
        <v>155</v>
      </c>
      <c r="L4" s="66"/>
      <c r="M4" s="65"/>
      <c r="N4" s="66"/>
      <c r="O4" s="65"/>
      <c r="P4" s="18"/>
      <c r="Q4" s="17"/>
      <c r="R4" s="18"/>
      <c r="S4" s="18"/>
      <c r="T4" s="18"/>
      <c r="U4" s="18"/>
      <c r="V4" s="18"/>
      <c r="W4" s="18"/>
      <c r="X4" s="18"/>
      <c r="Y4" s="18"/>
    </row>
    <row r="5">
      <c r="A5" s="67"/>
      <c r="B5" s="62"/>
      <c r="C5" s="17"/>
      <c r="D5" s="17"/>
      <c r="E5" s="17"/>
      <c r="F5" s="64"/>
      <c r="G5" s="66"/>
      <c r="H5" s="18"/>
      <c r="I5" s="18"/>
      <c r="J5" s="18"/>
      <c r="K5" s="65"/>
      <c r="L5" s="66"/>
      <c r="M5" s="65"/>
      <c r="N5" s="66"/>
      <c r="O5" s="65"/>
      <c r="P5" s="18"/>
      <c r="Q5" s="17"/>
      <c r="R5" s="18"/>
      <c r="S5" s="18"/>
      <c r="T5" s="18"/>
      <c r="U5" s="18"/>
      <c r="V5" s="18"/>
      <c r="W5" s="18"/>
      <c r="X5" s="18"/>
      <c r="Y5" s="18"/>
    </row>
    <row r="6">
      <c r="A6" s="67"/>
      <c r="B6" s="62"/>
      <c r="C6" s="17"/>
      <c r="D6" s="17"/>
      <c r="E6" s="17"/>
      <c r="F6" s="64"/>
      <c r="G6" s="66"/>
      <c r="H6" s="18"/>
      <c r="I6" s="18"/>
      <c r="J6" s="18"/>
      <c r="K6" s="65"/>
      <c r="L6" s="66"/>
      <c r="M6" s="65"/>
      <c r="N6" s="66"/>
      <c r="O6" s="65"/>
      <c r="P6" s="18"/>
      <c r="Q6" s="17"/>
      <c r="R6" s="18"/>
      <c r="S6" s="18"/>
      <c r="T6" s="18"/>
      <c r="U6" s="18"/>
      <c r="V6" s="18"/>
      <c r="W6" s="18"/>
      <c r="X6" s="18"/>
      <c r="Y6" s="18"/>
    </row>
    <row r="7">
      <c r="A7" s="67"/>
      <c r="B7" s="62"/>
      <c r="C7" s="17"/>
      <c r="D7" s="17"/>
      <c r="E7" s="17"/>
      <c r="F7" s="64"/>
      <c r="G7" s="66"/>
      <c r="H7" s="18"/>
      <c r="I7" s="18"/>
      <c r="J7" s="18"/>
      <c r="K7" s="65"/>
      <c r="L7" s="66"/>
      <c r="M7" s="65"/>
      <c r="N7" s="66"/>
      <c r="O7" s="65"/>
      <c r="P7" s="18"/>
      <c r="Q7" s="17"/>
      <c r="R7" s="18"/>
      <c r="S7" s="18"/>
      <c r="T7" s="18"/>
      <c r="U7" s="18"/>
      <c r="V7" s="18"/>
      <c r="W7" s="18"/>
      <c r="X7" s="18"/>
      <c r="Y7" s="18"/>
    </row>
    <row r="8">
      <c r="A8" s="63">
        <v>45293.0</v>
      </c>
      <c r="B8" s="62">
        <v>99.99</v>
      </c>
      <c r="C8" s="17" t="s">
        <v>154</v>
      </c>
      <c r="D8" s="17" t="s">
        <v>146</v>
      </c>
      <c r="E8" s="17"/>
      <c r="F8" s="64" t="s">
        <v>155</v>
      </c>
      <c r="G8" s="66"/>
      <c r="H8" s="18"/>
      <c r="I8" s="18"/>
      <c r="J8" s="18"/>
      <c r="K8" s="65"/>
      <c r="L8" s="66"/>
      <c r="M8" s="65"/>
      <c r="N8" s="66"/>
      <c r="O8" s="65"/>
      <c r="P8" s="18"/>
      <c r="Q8" s="18"/>
      <c r="R8" s="18"/>
      <c r="S8" s="18"/>
      <c r="T8" s="18"/>
      <c r="U8" s="18"/>
      <c r="V8" s="18"/>
      <c r="W8" s="18"/>
      <c r="X8" s="18"/>
      <c r="Y8" s="18"/>
    </row>
    <row r="9">
      <c r="A9" s="67"/>
      <c r="B9" s="62">
        <v>1244.81</v>
      </c>
      <c r="C9" s="17" t="s">
        <v>154</v>
      </c>
      <c r="D9" s="17" t="s">
        <v>191</v>
      </c>
      <c r="E9" s="17"/>
      <c r="F9" s="64" t="s">
        <v>155</v>
      </c>
      <c r="G9" s="66"/>
      <c r="H9" s="18"/>
      <c r="I9" s="18"/>
      <c r="J9" s="18"/>
      <c r="K9" s="65"/>
      <c r="L9" s="66"/>
      <c r="M9" s="65"/>
      <c r="N9" s="66"/>
      <c r="O9" s="65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>
      <c r="A10" s="67"/>
      <c r="B10" s="62">
        <v>6750.0</v>
      </c>
      <c r="C10" s="17" t="s">
        <v>154</v>
      </c>
      <c r="D10" s="17" t="s">
        <v>22</v>
      </c>
      <c r="E10" s="17"/>
      <c r="F10" s="64" t="s">
        <v>155</v>
      </c>
      <c r="G10" s="66"/>
      <c r="H10" s="18"/>
      <c r="I10" s="18"/>
      <c r="J10" s="18"/>
      <c r="K10" s="65"/>
      <c r="L10" s="66"/>
      <c r="M10" s="65"/>
      <c r="N10" s="66"/>
      <c r="O10" s="65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>
      <c r="A11" s="67"/>
      <c r="B11" s="62">
        <v>0.45</v>
      </c>
      <c r="C11" s="17" t="s">
        <v>154</v>
      </c>
      <c r="D11" s="17" t="s">
        <v>139</v>
      </c>
      <c r="E11" s="17"/>
      <c r="F11" s="64" t="s">
        <v>155</v>
      </c>
      <c r="G11" s="66"/>
      <c r="H11" s="18"/>
      <c r="I11" s="18"/>
      <c r="J11" s="18"/>
      <c r="K11" s="65"/>
      <c r="L11" s="66"/>
      <c r="M11" s="65"/>
      <c r="N11" s="66"/>
      <c r="O11" s="65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>
      <c r="A12" s="63">
        <v>45294.0</v>
      </c>
      <c r="B12" s="62">
        <v>160.64</v>
      </c>
      <c r="C12" s="17" t="s">
        <v>154</v>
      </c>
      <c r="D12" s="17" t="s">
        <v>146</v>
      </c>
      <c r="E12" s="17"/>
      <c r="F12" s="64" t="s">
        <v>155</v>
      </c>
      <c r="G12" s="66"/>
      <c r="H12" s="18"/>
      <c r="I12" s="18"/>
      <c r="J12" s="18"/>
      <c r="K12" s="65"/>
      <c r="L12" s="66"/>
      <c r="M12" s="65"/>
      <c r="N12" s="66"/>
      <c r="O12" s="65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>
      <c r="A13" s="63">
        <v>45296.0</v>
      </c>
      <c r="B13" s="46"/>
      <c r="C13" s="18"/>
      <c r="D13" s="18"/>
      <c r="E13" s="17"/>
      <c r="F13" s="65"/>
      <c r="G13" s="66"/>
      <c r="H13" s="18"/>
      <c r="I13" s="18"/>
      <c r="J13" s="18"/>
      <c r="K13" s="65"/>
      <c r="L13" s="62">
        <v>5000.0</v>
      </c>
      <c r="M13" s="65"/>
      <c r="N13" s="66"/>
      <c r="O13" s="65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>
      <c r="A14" s="63">
        <v>45300.0</v>
      </c>
      <c r="B14" s="66"/>
      <c r="C14" s="18"/>
      <c r="D14" s="18"/>
      <c r="E14" s="18"/>
      <c r="F14" s="65"/>
      <c r="G14" s="62">
        <v>1491.0</v>
      </c>
      <c r="H14" s="17" t="s">
        <v>154</v>
      </c>
      <c r="I14" s="17" t="s">
        <v>9</v>
      </c>
      <c r="J14" s="17" t="s">
        <v>344</v>
      </c>
      <c r="K14" s="64" t="s">
        <v>155</v>
      </c>
      <c r="L14" s="66"/>
      <c r="M14" s="65"/>
      <c r="N14" s="66"/>
      <c r="O14" s="65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>
      <c r="A15" s="63">
        <v>45302.0</v>
      </c>
      <c r="B15" s="62">
        <v>285.48</v>
      </c>
      <c r="C15" s="17" t="s">
        <v>154</v>
      </c>
      <c r="D15" s="17" t="s">
        <v>345</v>
      </c>
      <c r="E15" s="18"/>
      <c r="F15" s="64" t="s">
        <v>155</v>
      </c>
      <c r="G15" s="66"/>
      <c r="H15" s="18"/>
      <c r="I15" s="18"/>
      <c r="J15" s="18"/>
      <c r="K15" s="65"/>
      <c r="L15" s="66"/>
      <c r="M15" s="65"/>
      <c r="N15" s="66"/>
      <c r="O15" s="65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>
      <c r="A16" s="63">
        <v>45307.0</v>
      </c>
      <c r="B16" s="62">
        <v>500.0</v>
      </c>
      <c r="C16" s="17" t="s">
        <v>154</v>
      </c>
      <c r="D16" s="17" t="s">
        <v>25</v>
      </c>
      <c r="E16" s="17" t="s">
        <v>346</v>
      </c>
      <c r="F16" s="64" t="s">
        <v>149</v>
      </c>
      <c r="G16" s="66"/>
      <c r="H16" s="18"/>
      <c r="I16" s="18"/>
      <c r="J16" s="18"/>
      <c r="K16" s="65"/>
      <c r="L16" s="66"/>
      <c r="M16" s="65"/>
      <c r="N16" s="66"/>
      <c r="O16" s="65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>
      <c r="A17" s="63">
        <v>45313.0</v>
      </c>
      <c r="B17" s="62">
        <v>3500.0</v>
      </c>
      <c r="C17" s="17" t="s">
        <v>154</v>
      </c>
      <c r="D17" s="17" t="s">
        <v>244</v>
      </c>
      <c r="E17" s="17" t="s">
        <v>347</v>
      </c>
      <c r="F17" s="64" t="s">
        <v>149</v>
      </c>
      <c r="G17" s="66"/>
      <c r="H17" s="18"/>
      <c r="I17" s="18"/>
      <c r="J17" s="18"/>
      <c r="K17" s="65"/>
      <c r="L17" s="62">
        <v>2500.0</v>
      </c>
      <c r="M17" s="65"/>
      <c r="N17" s="66"/>
      <c r="O17" s="65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>
      <c r="A18" s="63"/>
      <c r="B18" s="62">
        <v>8.75</v>
      </c>
      <c r="C18" s="17" t="s">
        <v>154</v>
      </c>
      <c r="D18" s="17" t="s">
        <v>138</v>
      </c>
      <c r="E18" s="17"/>
      <c r="F18" s="64" t="s">
        <v>155</v>
      </c>
      <c r="G18" s="66"/>
      <c r="H18" s="18"/>
      <c r="I18" s="18"/>
      <c r="J18" s="18"/>
      <c r="K18" s="65"/>
      <c r="L18" s="62"/>
      <c r="M18" s="65"/>
      <c r="N18" s="66"/>
      <c r="O18" s="65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>
      <c r="A19" s="63">
        <v>45314.0</v>
      </c>
      <c r="B19" s="62">
        <v>5.0</v>
      </c>
      <c r="C19" s="17" t="s">
        <v>154</v>
      </c>
      <c r="D19" s="17" t="s">
        <v>138</v>
      </c>
      <c r="E19" s="17"/>
      <c r="F19" s="64" t="s">
        <v>155</v>
      </c>
      <c r="G19" s="62">
        <v>5000.0</v>
      </c>
      <c r="H19" s="17" t="s">
        <v>154</v>
      </c>
      <c r="I19" s="17" t="s">
        <v>160</v>
      </c>
      <c r="J19" s="17" t="s">
        <v>348</v>
      </c>
      <c r="K19" s="64" t="s">
        <v>155</v>
      </c>
      <c r="L19" s="62">
        <v>500.0</v>
      </c>
      <c r="M19" s="65"/>
      <c r="N19" s="66"/>
      <c r="O19" s="65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>
      <c r="A20" s="63"/>
      <c r="B20" s="62">
        <v>2.5</v>
      </c>
      <c r="C20" s="17" t="s">
        <v>154</v>
      </c>
      <c r="D20" s="17" t="s">
        <v>138</v>
      </c>
      <c r="E20" s="17"/>
      <c r="F20" s="64" t="s">
        <v>155</v>
      </c>
      <c r="G20" s="66"/>
      <c r="H20" s="18"/>
      <c r="I20" s="18"/>
      <c r="J20" s="18"/>
      <c r="K20" s="65"/>
      <c r="L20" s="66"/>
      <c r="M20" s="65"/>
      <c r="N20" s="66"/>
      <c r="O20" s="65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>
      <c r="A21" s="63">
        <v>45316.0</v>
      </c>
      <c r="B21" s="62">
        <v>3912.0</v>
      </c>
      <c r="C21" s="17" t="s">
        <v>154</v>
      </c>
      <c r="D21" s="17" t="s">
        <v>141</v>
      </c>
      <c r="E21" s="18"/>
      <c r="F21" s="64" t="s">
        <v>155</v>
      </c>
      <c r="G21" s="66"/>
      <c r="H21" s="18"/>
      <c r="I21" s="18"/>
      <c r="J21" s="18"/>
      <c r="K21" s="65"/>
      <c r="L21" s="66"/>
      <c r="M21" s="65"/>
      <c r="N21" s="66"/>
      <c r="O21" s="65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>
      <c r="A22" s="67"/>
      <c r="B22" s="62">
        <v>222.0</v>
      </c>
      <c r="C22" s="17" t="s">
        <v>154</v>
      </c>
      <c r="D22" s="17" t="s">
        <v>141</v>
      </c>
      <c r="E22" s="18"/>
      <c r="F22" s="64" t="s">
        <v>155</v>
      </c>
      <c r="G22" s="66"/>
      <c r="H22" s="18"/>
      <c r="I22" s="18"/>
      <c r="J22" s="18"/>
      <c r="K22" s="65"/>
      <c r="L22" s="66"/>
      <c r="M22" s="65"/>
      <c r="N22" s="66"/>
      <c r="O22" s="65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>
      <c r="A23" s="67"/>
      <c r="B23" s="62">
        <v>304.0</v>
      </c>
      <c r="C23" s="17" t="s">
        <v>154</v>
      </c>
      <c r="D23" s="17" t="s">
        <v>143</v>
      </c>
      <c r="E23" s="18"/>
      <c r="F23" s="64" t="s">
        <v>155</v>
      </c>
      <c r="G23" s="66"/>
      <c r="H23" s="18"/>
      <c r="I23" s="18"/>
      <c r="J23" s="18"/>
      <c r="K23" s="65"/>
      <c r="L23" s="66"/>
      <c r="M23" s="65"/>
      <c r="N23" s="66"/>
      <c r="O23" s="65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>
      <c r="A24" s="63">
        <v>45319.0</v>
      </c>
      <c r="B24" s="62">
        <v>500.0</v>
      </c>
      <c r="C24" s="17" t="s">
        <v>204</v>
      </c>
      <c r="D24" s="17" t="s">
        <v>112</v>
      </c>
      <c r="E24" s="17" t="s">
        <v>349</v>
      </c>
      <c r="F24" s="64" t="s">
        <v>149</v>
      </c>
      <c r="G24" s="62">
        <v>3000.0</v>
      </c>
      <c r="H24" s="17" t="s">
        <v>204</v>
      </c>
      <c r="I24" s="17" t="s">
        <v>160</v>
      </c>
      <c r="J24" s="17" t="s">
        <v>349</v>
      </c>
      <c r="K24" s="64" t="s">
        <v>149</v>
      </c>
      <c r="L24" s="66"/>
      <c r="M24" s="65"/>
      <c r="N24" s="66"/>
      <c r="O24" s="65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>
      <c r="A25" s="67"/>
      <c r="B25" s="62">
        <v>500.0</v>
      </c>
      <c r="C25" s="17" t="s">
        <v>204</v>
      </c>
      <c r="D25" s="17" t="s">
        <v>113</v>
      </c>
      <c r="E25" s="17" t="s">
        <v>349</v>
      </c>
      <c r="F25" s="64" t="s">
        <v>149</v>
      </c>
      <c r="G25" s="66"/>
      <c r="H25" s="18"/>
      <c r="I25" s="18"/>
      <c r="J25" s="18"/>
      <c r="K25" s="65"/>
      <c r="L25" s="66"/>
      <c r="M25" s="65"/>
      <c r="N25" s="66"/>
      <c r="O25" s="65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>
      <c r="A26" s="67"/>
      <c r="B26" s="62">
        <v>500.0</v>
      </c>
      <c r="C26" s="17" t="s">
        <v>204</v>
      </c>
      <c r="D26" s="17" t="s">
        <v>110</v>
      </c>
      <c r="E26" s="17" t="s">
        <v>349</v>
      </c>
      <c r="F26" s="64" t="s">
        <v>149</v>
      </c>
      <c r="G26" s="66"/>
      <c r="H26" s="18"/>
      <c r="I26" s="18"/>
      <c r="J26" s="18"/>
      <c r="K26" s="65"/>
      <c r="L26" s="66"/>
      <c r="M26" s="65"/>
      <c r="N26" s="66"/>
      <c r="O26" s="65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>
      <c r="A27" s="67"/>
      <c r="B27" s="62">
        <v>500.0</v>
      </c>
      <c r="C27" s="17" t="s">
        <v>204</v>
      </c>
      <c r="D27" s="17" t="s">
        <v>111</v>
      </c>
      <c r="E27" s="17" t="s">
        <v>349</v>
      </c>
      <c r="F27" s="64" t="s">
        <v>149</v>
      </c>
      <c r="G27" s="66"/>
      <c r="H27" s="18"/>
      <c r="I27" s="18"/>
      <c r="J27" s="18"/>
      <c r="K27" s="65"/>
      <c r="L27" s="66"/>
      <c r="M27" s="65"/>
      <c r="N27" s="66"/>
      <c r="O27" s="65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>
      <c r="A28" s="67"/>
      <c r="B28" s="62">
        <v>500.0</v>
      </c>
      <c r="C28" s="17" t="s">
        <v>204</v>
      </c>
      <c r="D28" s="17" t="s">
        <v>109</v>
      </c>
      <c r="E28" s="17" t="s">
        <v>349</v>
      </c>
      <c r="F28" s="64" t="s">
        <v>149</v>
      </c>
      <c r="G28" s="66"/>
      <c r="H28" s="18"/>
      <c r="I28" s="18"/>
      <c r="J28" s="18"/>
      <c r="K28" s="65"/>
      <c r="L28" s="66"/>
      <c r="M28" s="65"/>
      <c r="N28" s="66"/>
      <c r="O28" s="65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>
      <c r="A29" s="67"/>
      <c r="B29" s="62">
        <v>350.0</v>
      </c>
      <c r="C29" s="17" t="s">
        <v>204</v>
      </c>
      <c r="D29" s="17" t="s">
        <v>22</v>
      </c>
      <c r="E29" s="17" t="s">
        <v>349</v>
      </c>
      <c r="F29" s="64" t="s">
        <v>149</v>
      </c>
      <c r="G29" s="66"/>
      <c r="H29" s="18"/>
      <c r="I29" s="18"/>
      <c r="J29" s="18"/>
      <c r="K29" s="65"/>
      <c r="L29" s="66"/>
      <c r="M29" s="65"/>
      <c r="N29" s="66"/>
      <c r="O29" s="65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>
      <c r="A30" s="67"/>
      <c r="B30" s="62">
        <v>100.0</v>
      </c>
      <c r="C30" s="17" t="s">
        <v>204</v>
      </c>
      <c r="D30" s="17" t="s">
        <v>157</v>
      </c>
      <c r="E30" s="17"/>
      <c r="F30" s="64" t="s">
        <v>149</v>
      </c>
      <c r="G30" s="66"/>
      <c r="H30" s="18"/>
      <c r="I30" s="18"/>
      <c r="J30" s="18"/>
      <c r="K30" s="65"/>
      <c r="L30" s="66"/>
      <c r="M30" s="65"/>
      <c r="N30" s="66"/>
      <c r="O30" s="65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>
      <c r="A31" s="63">
        <v>45320.0</v>
      </c>
      <c r="B31" s="62">
        <v>250.0</v>
      </c>
      <c r="C31" s="17" t="s">
        <v>154</v>
      </c>
      <c r="D31" s="17" t="s">
        <v>24</v>
      </c>
      <c r="E31" s="18"/>
      <c r="F31" s="64" t="s">
        <v>149</v>
      </c>
      <c r="G31" s="66"/>
      <c r="H31" s="18"/>
      <c r="I31" s="18"/>
      <c r="J31" s="18"/>
      <c r="K31" s="65"/>
      <c r="L31" s="66"/>
      <c r="M31" s="65"/>
      <c r="N31" s="66"/>
      <c r="O31" s="65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>
      <c r="A32" s="63">
        <v>45322.0</v>
      </c>
      <c r="B32" s="66"/>
      <c r="C32" s="18"/>
      <c r="D32" s="18"/>
      <c r="E32" s="18"/>
      <c r="F32" s="65"/>
      <c r="G32" s="66"/>
      <c r="H32" s="18"/>
      <c r="I32" s="18"/>
      <c r="J32" s="18"/>
      <c r="K32" s="65"/>
      <c r="L32" s="62">
        <v>10000.0</v>
      </c>
      <c r="M32" s="65"/>
      <c r="N32" s="66"/>
      <c r="O32" s="65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>
      <c r="A33" s="92"/>
      <c r="B33" s="93"/>
      <c r="C33" s="93"/>
      <c r="D33" s="93"/>
      <c r="E33" s="93"/>
      <c r="F33" s="94"/>
      <c r="G33" s="93"/>
      <c r="H33" s="93"/>
      <c r="I33" s="93"/>
      <c r="J33" s="93"/>
      <c r="K33" s="94"/>
      <c r="L33" s="93"/>
      <c r="M33" s="94"/>
      <c r="N33" s="93"/>
      <c r="O33" s="94"/>
      <c r="P33" s="93"/>
      <c r="Q33" s="93"/>
      <c r="R33" s="93"/>
      <c r="S33" s="93"/>
      <c r="T33" s="93"/>
      <c r="U33" s="93"/>
      <c r="V33" s="93"/>
      <c r="W33" s="93"/>
      <c r="X33" s="93"/>
      <c r="Y33" s="93"/>
    </row>
    <row r="34">
      <c r="A34" s="92"/>
      <c r="B34" s="93"/>
      <c r="C34" s="93"/>
      <c r="D34" s="93"/>
      <c r="E34" s="93"/>
      <c r="F34" s="94"/>
      <c r="G34" s="93"/>
      <c r="H34" s="93"/>
      <c r="I34" s="93"/>
      <c r="J34" s="93"/>
      <c r="K34" s="94"/>
      <c r="L34" s="93"/>
      <c r="M34" s="94"/>
      <c r="N34" s="93"/>
      <c r="O34" s="94"/>
      <c r="P34" s="93"/>
      <c r="Q34" s="93"/>
      <c r="R34" s="93"/>
      <c r="S34" s="93"/>
      <c r="T34" s="93"/>
      <c r="U34" s="93"/>
      <c r="V34" s="93"/>
      <c r="W34" s="93"/>
      <c r="X34" s="93"/>
      <c r="Y34" s="93"/>
    </row>
    <row r="35">
      <c r="A35" s="63">
        <v>45323.0</v>
      </c>
      <c r="B35" s="62">
        <v>11350.0</v>
      </c>
      <c r="C35" s="17" t="s">
        <v>154</v>
      </c>
      <c r="D35" s="17" t="s">
        <v>112</v>
      </c>
      <c r="E35" s="17" t="s">
        <v>350</v>
      </c>
      <c r="F35" s="64" t="s">
        <v>149</v>
      </c>
      <c r="G35" s="66"/>
      <c r="H35" s="18"/>
      <c r="I35" s="18"/>
      <c r="J35" s="18"/>
      <c r="K35" s="65"/>
      <c r="L35" s="62">
        <v>2500.0</v>
      </c>
      <c r="M35" s="65"/>
      <c r="N35" s="66"/>
      <c r="O35" s="65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>
      <c r="A36" s="67"/>
      <c r="B36" s="62">
        <v>300.0</v>
      </c>
      <c r="C36" s="17" t="s">
        <v>154</v>
      </c>
      <c r="D36" s="17" t="s">
        <v>25</v>
      </c>
      <c r="E36" s="17" t="s">
        <v>351</v>
      </c>
      <c r="F36" s="64" t="s">
        <v>149</v>
      </c>
      <c r="G36" s="66"/>
      <c r="H36" s="18"/>
      <c r="I36" s="18"/>
      <c r="J36" s="18"/>
      <c r="K36" s="65"/>
      <c r="L36" s="66"/>
      <c r="M36" s="65"/>
      <c r="N36" s="66"/>
      <c r="O36" s="65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>
      <c r="A37" s="67"/>
      <c r="B37" s="62">
        <v>300.0</v>
      </c>
      <c r="C37" s="17" t="s">
        <v>154</v>
      </c>
      <c r="D37" s="17" t="s">
        <v>25</v>
      </c>
      <c r="E37" s="17" t="s">
        <v>352</v>
      </c>
      <c r="F37" s="64" t="s">
        <v>149</v>
      </c>
      <c r="G37" s="66"/>
      <c r="H37" s="18"/>
      <c r="I37" s="18"/>
      <c r="J37" s="18"/>
      <c r="K37" s="65"/>
      <c r="L37" s="66"/>
      <c r="M37" s="65"/>
      <c r="N37" s="66"/>
      <c r="O37" s="65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>
      <c r="A38" s="67"/>
      <c r="B38" s="62">
        <v>200.0</v>
      </c>
      <c r="C38" s="17" t="s">
        <v>154</v>
      </c>
      <c r="D38" s="17" t="s">
        <v>25</v>
      </c>
      <c r="E38" s="17" t="s">
        <v>353</v>
      </c>
      <c r="F38" s="64" t="s">
        <v>149</v>
      </c>
      <c r="G38" s="66"/>
      <c r="H38" s="18"/>
      <c r="I38" s="18"/>
      <c r="J38" s="18"/>
      <c r="K38" s="65"/>
      <c r="L38" s="66"/>
      <c r="M38" s="65"/>
      <c r="N38" s="66"/>
      <c r="O38" s="65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>
      <c r="A39" s="67"/>
      <c r="B39" s="62">
        <v>300.0</v>
      </c>
      <c r="C39" s="17" t="s">
        <v>154</v>
      </c>
      <c r="D39" s="17" t="s">
        <v>25</v>
      </c>
      <c r="E39" s="17" t="s">
        <v>351</v>
      </c>
      <c r="F39" s="64" t="s">
        <v>149</v>
      </c>
      <c r="G39" s="66"/>
      <c r="H39" s="18"/>
      <c r="I39" s="18"/>
      <c r="J39" s="18"/>
      <c r="K39" s="65"/>
      <c r="L39" s="66"/>
      <c r="M39" s="65"/>
      <c r="N39" s="66"/>
      <c r="O39" s="65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>
      <c r="A40" s="67"/>
      <c r="B40" s="62">
        <v>3350.0</v>
      </c>
      <c r="C40" s="17" t="s">
        <v>154</v>
      </c>
      <c r="D40" s="17" t="s">
        <v>113</v>
      </c>
      <c r="E40" s="17" t="s">
        <v>354</v>
      </c>
      <c r="F40" s="64" t="s">
        <v>149</v>
      </c>
      <c r="G40" s="66"/>
      <c r="H40" s="18"/>
      <c r="I40" s="18"/>
      <c r="J40" s="18"/>
      <c r="K40" s="65"/>
      <c r="L40" s="66"/>
      <c r="M40" s="65"/>
      <c r="N40" s="66"/>
      <c r="O40" s="65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>
      <c r="A41" s="67"/>
      <c r="B41" s="62">
        <v>700.0</v>
      </c>
      <c r="C41" s="17" t="s">
        <v>154</v>
      </c>
      <c r="D41" s="17" t="s">
        <v>25</v>
      </c>
      <c r="E41" s="17" t="s">
        <v>355</v>
      </c>
      <c r="F41" s="64" t="s">
        <v>149</v>
      </c>
      <c r="G41" s="66"/>
      <c r="H41" s="18"/>
      <c r="I41" s="18"/>
      <c r="J41" s="18"/>
      <c r="K41" s="65"/>
      <c r="L41" s="66"/>
      <c r="M41" s="65"/>
      <c r="N41" s="66"/>
      <c r="O41" s="65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>
      <c r="A42" s="63">
        <v>45324.0</v>
      </c>
      <c r="B42" s="62">
        <v>54.0</v>
      </c>
      <c r="C42" s="17" t="s">
        <v>154</v>
      </c>
      <c r="D42" s="17" t="s">
        <v>157</v>
      </c>
      <c r="E42" s="17" t="s">
        <v>356</v>
      </c>
      <c r="F42" s="64" t="s">
        <v>149</v>
      </c>
      <c r="G42" s="66"/>
      <c r="H42" s="18"/>
      <c r="I42" s="18"/>
      <c r="J42" s="18"/>
      <c r="K42" s="65"/>
      <c r="L42" s="62">
        <v>1500.0</v>
      </c>
      <c r="M42" s="65"/>
      <c r="N42" s="66"/>
      <c r="O42" s="65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>
      <c r="A43" s="63">
        <v>45325.0</v>
      </c>
      <c r="B43" s="62">
        <v>500.0</v>
      </c>
      <c r="C43" s="17" t="s">
        <v>154</v>
      </c>
      <c r="D43" s="17" t="s">
        <v>24</v>
      </c>
      <c r="E43" s="17" t="s">
        <v>357</v>
      </c>
      <c r="F43" s="64" t="s">
        <v>149</v>
      </c>
      <c r="G43" s="66"/>
      <c r="H43" s="18"/>
      <c r="I43" s="18"/>
      <c r="J43" s="18"/>
      <c r="K43" s="65"/>
      <c r="L43" s="62">
        <v>2000.0</v>
      </c>
      <c r="M43" s="65"/>
      <c r="N43" s="66"/>
      <c r="O43" s="65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>
      <c r="A44" s="67"/>
      <c r="B44" s="62">
        <v>750.0</v>
      </c>
      <c r="C44" s="17" t="s">
        <v>154</v>
      </c>
      <c r="D44" s="17" t="s">
        <v>24</v>
      </c>
      <c r="E44" s="17" t="s">
        <v>358</v>
      </c>
      <c r="F44" s="64" t="s">
        <v>149</v>
      </c>
      <c r="G44" s="66"/>
      <c r="H44" s="18"/>
      <c r="I44" s="18"/>
      <c r="J44" s="18"/>
      <c r="K44" s="65"/>
      <c r="L44" s="66"/>
      <c r="M44" s="65"/>
      <c r="N44" s="66"/>
      <c r="O44" s="65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>
      <c r="A45" s="67"/>
      <c r="B45" s="62">
        <v>500.0</v>
      </c>
      <c r="C45" s="17" t="s">
        <v>154</v>
      </c>
      <c r="D45" s="17" t="s">
        <v>157</v>
      </c>
      <c r="E45" s="17" t="s">
        <v>359</v>
      </c>
      <c r="F45" s="64" t="s">
        <v>149</v>
      </c>
      <c r="G45" s="66"/>
      <c r="H45" s="18"/>
      <c r="I45" s="18"/>
      <c r="J45" s="18"/>
      <c r="K45" s="65"/>
      <c r="L45" s="66"/>
      <c r="M45" s="65"/>
      <c r="N45" s="66"/>
      <c r="O45" s="65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>
      <c r="A46" s="67"/>
      <c r="B46" s="62">
        <v>50.0</v>
      </c>
      <c r="C46" s="17" t="s">
        <v>154</v>
      </c>
      <c r="D46" s="17" t="s">
        <v>157</v>
      </c>
      <c r="E46" s="17" t="s">
        <v>360</v>
      </c>
      <c r="F46" s="64" t="s">
        <v>149</v>
      </c>
      <c r="G46" s="66"/>
      <c r="H46" s="18"/>
      <c r="I46" s="18"/>
      <c r="J46" s="18"/>
      <c r="K46" s="65"/>
      <c r="L46" s="66"/>
      <c r="M46" s="65"/>
      <c r="N46" s="66"/>
      <c r="O46" s="65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>
      <c r="A47" s="67"/>
      <c r="B47" s="62">
        <v>60.0</v>
      </c>
      <c r="C47" s="17" t="s">
        <v>154</v>
      </c>
      <c r="D47" s="17" t="s">
        <v>157</v>
      </c>
      <c r="E47" s="17" t="s">
        <v>361</v>
      </c>
      <c r="F47" s="64" t="s">
        <v>149</v>
      </c>
      <c r="G47" s="66"/>
      <c r="H47" s="18"/>
      <c r="I47" s="18"/>
      <c r="J47" s="18"/>
      <c r="K47" s="65"/>
      <c r="L47" s="66"/>
      <c r="M47" s="65"/>
      <c r="N47" s="66"/>
      <c r="O47" s="65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>
      <c r="A48" s="67"/>
      <c r="B48" s="62">
        <v>50.0</v>
      </c>
      <c r="C48" s="17" t="s">
        <v>154</v>
      </c>
      <c r="D48" s="17" t="s">
        <v>25</v>
      </c>
      <c r="E48" s="17" t="s">
        <v>362</v>
      </c>
      <c r="F48" s="64" t="s">
        <v>149</v>
      </c>
      <c r="G48" s="66"/>
      <c r="H48" s="18"/>
      <c r="I48" s="18"/>
      <c r="J48" s="18"/>
      <c r="K48" s="65"/>
      <c r="L48" s="66"/>
      <c r="M48" s="65"/>
      <c r="N48" s="66"/>
      <c r="O48" s="65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>
      <c r="A49" s="67"/>
      <c r="B49" s="62">
        <v>160.58</v>
      </c>
      <c r="C49" s="17" t="s">
        <v>154</v>
      </c>
      <c r="D49" s="17" t="s">
        <v>146</v>
      </c>
      <c r="E49" s="17"/>
      <c r="F49" s="64" t="s">
        <v>155</v>
      </c>
      <c r="G49" s="66"/>
      <c r="H49" s="18"/>
      <c r="I49" s="18"/>
      <c r="J49" s="18"/>
      <c r="K49" s="65"/>
      <c r="L49" s="66"/>
      <c r="M49" s="65"/>
      <c r="N49" s="66"/>
      <c r="O49" s="65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>
      <c r="A50" s="67"/>
      <c r="B50" s="62">
        <v>7.0</v>
      </c>
      <c r="C50" s="17" t="s">
        <v>154</v>
      </c>
      <c r="D50" s="17" t="s">
        <v>138</v>
      </c>
      <c r="E50" s="17"/>
      <c r="F50" s="64" t="s">
        <v>155</v>
      </c>
      <c r="G50" s="66"/>
      <c r="H50" s="18"/>
      <c r="I50" s="18"/>
      <c r="J50" s="18"/>
      <c r="K50" s="65"/>
      <c r="L50" s="66"/>
      <c r="M50" s="65"/>
      <c r="N50" s="66"/>
      <c r="O50" s="65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>
      <c r="A51" s="63">
        <v>45326.0</v>
      </c>
      <c r="B51" s="62">
        <v>2.5</v>
      </c>
      <c r="C51" s="17" t="s">
        <v>154</v>
      </c>
      <c r="D51" s="17" t="s">
        <v>138</v>
      </c>
      <c r="E51" s="17"/>
      <c r="F51" s="64" t="s">
        <v>155</v>
      </c>
      <c r="G51" s="66"/>
      <c r="H51" s="18"/>
      <c r="I51" s="18"/>
      <c r="J51" s="18"/>
      <c r="K51" s="65"/>
      <c r="L51" s="62">
        <v>900.0</v>
      </c>
      <c r="M51" s="65"/>
      <c r="N51" s="66"/>
      <c r="O51" s="65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>
      <c r="A52" s="67"/>
      <c r="B52" s="62">
        <v>9.0</v>
      </c>
      <c r="C52" s="17" t="s">
        <v>154</v>
      </c>
      <c r="D52" s="17" t="s">
        <v>138</v>
      </c>
      <c r="E52" s="17"/>
      <c r="F52" s="64" t="s">
        <v>155</v>
      </c>
      <c r="G52" s="66"/>
      <c r="H52" s="18"/>
      <c r="I52" s="18"/>
      <c r="J52" s="18"/>
      <c r="K52" s="65"/>
      <c r="L52" s="66"/>
      <c r="M52" s="65"/>
      <c r="N52" s="66"/>
      <c r="O52" s="65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>
      <c r="A53" s="63">
        <v>45328.0</v>
      </c>
      <c r="B53" s="62"/>
      <c r="C53" s="18"/>
      <c r="D53" s="18"/>
      <c r="E53" s="18"/>
      <c r="F53" s="65"/>
      <c r="G53" s="62">
        <v>1491.0</v>
      </c>
      <c r="H53" s="17" t="s">
        <v>154</v>
      </c>
      <c r="I53" s="17" t="s">
        <v>9</v>
      </c>
      <c r="J53" s="17" t="s">
        <v>363</v>
      </c>
      <c r="K53" s="64" t="s">
        <v>155</v>
      </c>
      <c r="L53" s="66"/>
      <c r="M53" s="65"/>
      <c r="N53" s="66"/>
      <c r="O53" s="65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>
      <c r="A54" s="63">
        <v>45330.0</v>
      </c>
      <c r="B54" s="62">
        <v>7.0</v>
      </c>
      <c r="C54" s="17" t="s">
        <v>154</v>
      </c>
      <c r="D54" s="17" t="s">
        <v>138</v>
      </c>
      <c r="E54" s="17"/>
      <c r="F54" s="64" t="s">
        <v>155</v>
      </c>
      <c r="G54" s="66"/>
      <c r="H54" s="18"/>
      <c r="I54" s="18"/>
      <c r="J54" s="18"/>
      <c r="K54" s="65"/>
      <c r="L54" s="62">
        <v>2000.0</v>
      </c>
      <c r="M54" s="65"/>
      <c r="N54" s="66"/>
      <c r="O54" s="65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>
      <c r="A55" s="63">
        <v>45333.0</v>
      </c>
      <c r="B55" s="66"/>
      <c r="C55" s="18"/>
      <c r="D55" s="18"/>
      <c r="E55" s="18"/>
      <c r="F55" s="65"/>
      <c r="G55" s="62">
        <v>3282.0</v>
      </c>
      <c r="H55" s="17" t="s">
        <v>154</v>
      </c>
      <c r="I55" s="17" t="s">
        <v>9</v>
      </c>
      <c r="J55" s="17" t="s">
        <v>364</v>
      </c>
      <c r="K55" s="64" t="s">
        <v>155</v>
      </c>
      <c r="L55" s="66"/>
      <c r="M55" s="65"/>
      <c r="N55" s="66"/>
      <c r="O55" s="65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>
      <c r="A56" s="63">
        <v>45334.0</v>
      </c>
      <c r="B56" s="62">
        <v>7.0</v>
      </c>
      <c r="C56" s="17" t="s">
        <v>154</v>
      </c>
      <c r="D56" s="17" t="s">
        <v>138</v>
      </c>
      <c r="E56" s="17"/>
      <c r="F56" s="64" t="s">
        <v>155</v>
      </c>
      <c r="G56" s="66"/>
      <c r="H56" s="18"/>
      <c r="I56" s="18"/>
      <c r="J56" s="18"/>
      <c r="K56" s="65"/>
      <c r="L56" s="62">
        <v>2000.0</v>
      </c>
      <c r="M56" s="65"/>
      <c r="N56" s="66"/>
      <c r="O56" s="65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>
      <c r="A57" s="63">
        <v>45337.0</v>
      </c>
      <c r="B57" s="62">
        <v>5.25</v>
      </c>
      <c r="C57" s="17" t="s">
        <v>154</v>
      </c>
      <c r="D57" s="17" t="s">
        <v>138</v>
      </c>
      <c r="E57" s="17"/>
      <c r="F57" s="64" t="s">
        <v>155</v>
      </c>
      <c r="G57" s="66"/>
      <c r="H57" s="18"/>
      <c r="I57" s="18"/>
      <c r="J57" s="18"/>
      <c r="K57" s="65"/>
      <c r="L57" s="62">
        <v>1500.0</v>
      </c>
      <c r="M57" s="65"/>
      <c r="N57" s="66"/>
      <c r="O57" s="65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>
      <c r="A58" s="63">
        <v>45338.0</v>
      </c>
      <c r="B58" s="62">
        <v>3.5</v>
      </c>
      <c r="C58" s="17" t="s">
        <v>154</v>
      </c>
      <c r="D58" s="17" t="s">
        <v>138</v>
      </c>
      <c r="E58" s="17"/>
      <c r="F58" s="64" t="s">
        <v>155</v>
      </c>
      <c r="G58" s="62">
        <v>1493.0</v>
      </c>
      <c r="H58" s="17" t="s">
        <v>154</v>
      </c>
      <c r="I58" s="17" t="s">
        <v>9</v>
      </c>
      <c r="J58" s="17" t="s">
        <v>365</v>
      </c>
      <c r="K58" s="64" t="s">
        <v>155</v>
      </c>
      <c r="L58" s="62">
        <v>1000.0</v>
      </c>
      <c r="M58" s="65"/>
      <c r="N58" s="66"/>
      <c r="O58" s="65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>
      <c r="A59" s="63">
        <v>45342.0</v>
      </c>
      <c r="B59" s="62">
        <v>1900.0</v>
      </c>
      <c r="C59" s="17" t="s">
        <v>154</v>
      </c>
      <c r="D59" s="17" t="s">
        <v>110</v>
      </c>
      <c r="E59" s="17" t="s">
        <v>366</v>
      </c>
      <c r="F59" s="64" t="s">
        <v>149</v>
      </c>
      <c r="G59" s="66"/>
      <c r="H59" s="18"/>
      <c r="I59" s="18"/>
      <c r="J59" s="18"/>
      <c r="K59" s="65"/>
      <c r="L59" s="62">
        <v>2000.0</v>
      </c>
      <c r="M59" s="65"/>
      <c r="N59" s="66"/>
      <c r="O59" s="65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>
      <c r="A60" s="63"/>
      <c r="B60" s="62">
        <v>600.0</v>
      </c>
      <c r="C60" s="17" t="s">
        <v>154</v>
      </c>
      <c r="D60" s="17" t="s">
        <v>110</v>
      </c>
      <c r="E60" s="17" t="s">
        <v>167</v>
      </c>
      <c r="F60" s="64" t="s">
        <v>149</v>
      </c>
      <c r="G60" s="66"/>
      <c r="H60" s="18"/>
      <c r="I60" s="18"/>
      <c r="J60" s="18"/>
      <c r="K60" s="65"/>
      <c r="L60" s="62"/>
      <c r="M60" s="65"/>
      <c r="N60" s="66"/>
      <c r="O60" s="65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>
      <c r="A61" s="67"/>
      <c r="B61" s="62">
        <v>8.75</v>
      </c>
      <c r="C61" s="17" t="s">
        <v>154</v>
      </c>
      <c r="D61" s="17" t="s">
        <v>138</v>
      </c>
      <c r="E61" s="17"/>
      <c r="F61" s="64" t="s">
        <v>155</v>
      </c>
      <c r="G61" s="66"/>
      <c r="H61" s="18"/>
      <c r="I61" s="18"/>
      <c r="J61" s="18"/>
      <c r="K61" s="65"/>
      <c r="L61" s="66"/>
      <c r="M61" s="65"/>
      <c r="N61" s="66"/>
      <c r="O61" s="65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>
      <c r="A62" s="63">
        <v>45345.0</v>
      </c>
      <c r="B62" s="62">
        <v>30.0</v>
      </c>
      <c r="C62" s="17" t="s">
        <v>154</v>
      </c>
      <c r="D62" s="17" t="s">
        <v>143</v>
      </c>
      <c r="E62" s="18"/>
      <c r="F62" s="64" t="s">
        <v>155</v>
      </c>
      <c r="G62" s="66"/>
      <c r="H62" s="18"/>
      <c r="I62" s="18"/>
      <c r="J62" s="18"/>
      <c r="K62" s="65"/>
      <c r="L62" s="62">
        <v>800.0</v>
      </c>
      <c r="M62" s="65"/>
      <c r="N62" s="66"/>
      <c r="O62" s="65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>
      <c r="A63" s="67"/>
      <c r="B63" s="62">
        <v>0.51</v>
      </c>
      <c r="C63" s="17" t="s">
        <v>154</v>
      </c>
      <c r="D63" s="17" t="s">
        <v>139</v>
      </c>
      <c r="E63" s="18"/>
      <c r="F63" s="64" t="s">
        <v>155</v>
      </c>
      <c r="G63" s="66"/>
      <c r="H63" s="18"/>
      <c r="I63" s="18"/>
      <c r="J63" s="18"/>
      <c r="K63" s="65"/>
      <c r="L63" s="66"/>
      <c r="M63" s="65"/>
      <c r="N63" s="66"/>
      <c r="O63" s="65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>
      <c r="A64" s="67"/>
      <c r="B64" s="62">
        <v>1000.0</v>
      </c>
      <c r="C64" s="17" t="s">
        <v>154</v>
      </c>
      <c r="D64" s="17" t="s">
        <v>157</v>
      </c>
      <c r="E64" s="17" t="s">
        <v>367</v>
      </c>
      <c r="F64" s="64" t="s">
        <v>155</v>
      </c>
      <c r="G64" s="66"/>
      <c r="H64" s="18"/>
      <c r="I64" s="18"/>
      <c r="J64" s="18"/>
      <c r="K64" s="65"/>
      <c r="L64" s="66"/>
      <c r="M64" s="65"/>
      <c r="N64" s="66"/>
      <c r="O64" s="65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>
      <c r="A65" s="67"/>
      <c r="B65" s="62">
        <v>0.45</v>
      </c>
      <c r="C65" s="17" t="s">
        <v>154</v>
      </c>
      <c r="D65" s="17" t="s">
        <v>139</v>
      </c>
      <c r="E65" s="18"/>
      <c r="F65" s="64" t="s">
        <v>155</v>
      </c>
      <c r="G65" s="66"/>
      <c r="H65" s="18"/>
      <c r="I65" s="18"/>
      <c r="J65" s="18"/>
      <c r="K65" s="65"/>
      <c r="L65" s="66"/>
      <c r="M65" s="65"/>
      <c r="N65" s="66"/>
      <c r="O65" s="65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>
      <c r="A66" s="63">
        <v>45347.0</v>
      </c>
      <c r="B66" s="62">
        <v>1.4</v>
      </c>
      <c r="C66" s="17" t="s">
        <v>154</v>
      </c>
      <c r="D66" s="17" t="s">
        <v>138</v>
      </c>
      <c r="E66" s="17"/>
      <c r="F66" s="64" t="s">
        <v>155</v>
      </c>
      <c r="G66" s="62"/>
      <c r="H66" s="18"/>
      <c r="I66" s="18"/>
      <c r="J66" s="18"/>
      <c r="K66" s="65"/>
      <c r="L66" s="62">
        <v>400.0</v>
      </c>
      <c r="M66" s="65"/>
      <c r="N66" s="66"/>
      <c r="O66" s="65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>
      <c r="A67" s="63">
        <v>45348.0</v>
      </c>
      <c r="B67" s="62">
        <v>1450.0</v>
      </c>
      <c r="C67" s="17" t="s">
        <v>154</v>
      </c>
      <c r="D67" s="17" t="s">
        <v>157</v>
      </c>
      <c r="E67" s="17" t="s">
        <v>368</v>
      </c>
      <c r="F67" s="64" t="s">
        <v>149</v>
      </c>
      <c r="G67" s="66"/>
      <c r="H67" s="18"/>
      <c r="I67" s="18"/>
      <c r="J67" s="18"/>
      <c r="K67" s="65"/>
      <c r="L67" s="66"/>
      <c r="M67" s="65"/>
      <c r="N67" s="66"/>
      <c r="O67" s="65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>
      <c r="A68" s="63">
        <v>45350.0</v>
      </c>
      <c r="B68" s="62">
        <v>418.02</v>
      </c>
      <c r="C68" s="17" t="s">
        <v>154</v>
      </c>
      <c r="D68" s="17" t="s">
        <v>25</v>
      </c>
      <c r="E68" s="17" t="s">
        <v>369</v>
      </c>
      <c r="F68" s="64" t="s">
        <v>149</v>
      </c>
      <c r="G68" s="62">
        <v>19000.0</v>
      </c>
      <c r="H68" s="17" t="s">
        <v>154</v>
      </c>
      <c r="I68" s="17" t="s">
        <v>160</v>
      </c>
      <c r="J68" s="17" t="s">
        <v>370</v>
      </c>
      <c r="K68" s="64" t="s">
        <v>155</v>
      </c>
      <c r="L68" s="62">
        <v>5000.0</v>
      </c>
      <c r="M68" s="65"/>
      <c r="N68" s="66"/>
      <c r="O68" s="65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>
      <c r="A69" s="67"/>
      <c r="B69" s="62">
        <v>17.5</v>
      </c>
      <c r="C69" s="17" t="s">
        <v>154</v>
      </c>
      <c r="D69" s="17" t="s">
        <v>138</v>
      </c>
      <c r="E69" s="17"/>
      <c r="F69" s="64" t="s">
        <v>155</v>
      </c>
      <c r="G69" s="66"/>
      <c r="H69" s="18"/>
      <c r="I69" s="18"/>
      <c r="J69" s="18"/>
      <c r="K69" s="65"/>
      <c r="L69" s="66"/>
      <c r="M69" s="65"/>
      <c r="N69" s="66"/>
      <c r="O69" s="65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>
      <c r="A70" s="63">
        <v>45351.0</v>
      </c>
      <c r="B70" s="62">
        <v>32.5</v>
      </c>
      <c r="C70" s="17" t="s">
        <v>154</v>
      </c>
      <c r="D70" s="17" t="s">
        <v>164</v>
      </c>
      <c r="E70" s="17" t="s">
        <v>371</v>
      </c>
      <c r="F70" s="64" t="s">
        <v>149</v>
      </c>
      <c r="G70" s="66"/>
      <c r="H70" s="18"/>
      <c r="I70" s="18"/>
      <c r="J70" s="18"/>
      <c r="K70" s="65"/>
      <c r="L70" s="66"/>
      <c r="M70" s="65"/>
      <c r="N70" s="66"/>
      <c r="O70" s="65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>
      <c r="A71" s="67"/>
      <c r="B71" s="62">
        <v>86.0</v>
      </c>
      <c r="C71" s="17" t="s">
        <v>154</v>
      </c>
      <c r="D71" s="17" t="s">
        <v>164</v>
      </c>
      <c r="E71" s="17" t="s">
        <v>372</v>
      </c>
      <c r="F71" s="64" t="s">
        <v>149</v>
      </c>
      <c r="G71" s="66"/>
      <c r="H71" s="18"/>
      <c r="I71" s="18"/>
      <c r="J71" s="18"/>
      <c r="K71" s="65"/>
      <c r="L71" s="66"/>
      <c r="M71" s="65"/>
      <c r="N71" s="66"/>
      <c r="O71" s="65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>
      <c r="A72" s="67"/>
      <c r="B72" s="62">
        <v>500.0</v>
      </c>
      <c r="C72" s="17" t="s">
        <v>154</v>
      </c>
      <c r="D72" s="17" t="s">
        <v>164</v>
      </c>
      <c r="E72" s="17" t="s">
        <v>373</v>
      </c>
      <c r="F72" s="64" t="s">
        <v>149</v>
      </c>
      <c r="G72" s="66"/>
      <c r="H72" s="18"/>
      <c r="I72" s="18"/>
      <c r="J72" s="18"/>
      <c r="K72" s="65"/>
      <c r="L72" s="66"/>
      <c r="M72" s="65"/>
      <c r="N72" s="66"/>
      <c r="O72" s="65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>
      <c r="A73" s="67"/>
      <c r="B73" s="62">
        <v>112.0</v>
      </c>
      <c r="C73" s="17" t="s">
        <v>154</v>
      </c>
      <c r="D73" s="17" t="s">
        <v>164</v>
      </c>
      <c r="E73" s="17" t="s">
        <v>374</v>
      </c>
      <c r="F73" s="64" t="s">
        <v>149</v>
      </c>
      <c r="G73" s="66"/>
      <c r="H73" s="18"/>
      <c r="I73" s="18"/>
      <c r="J73" s="18"/>
      <c r="K73" s="65"/>
      <c r="L73" s="66"/>
      <c r="M73" s="65"/>
      <c r="N73" s="66"/>
      <c r="O73" s="65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>
      <c r="A74" s="67"/>
      <c r="B74" s="62">
        <v>103.0</v>
      </c>
      <c r="C74" s="17" t="s">
        <v>154</v>
      </c>
      <c r="D74" s="17" t="s">
        <v>164</v>
      </c>
      <c r="E74" s="17" t="s">
        <v>375</v>
      </c>
      <c r="F74" s="64" t="s">
        <v>149</v>
      </c>
      <c r="G74" s="66"/>
      <c r="H74" s="18"/>
      <c r="I74" s="18"/>
      <c r="J74" s="18"/>
      <c r="K74" s="65"/>
      <c r="L74" s="66"/>
      <c r="M74" s="65"/>
      <c r="N74" s="66"/>
      <c r="O74" s="65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>
      <c r="A75" s="67"/>
      <c r="B75" s="62">
        <v>35.0</v>
      </c>
      <c r="C75" s="17" t="s">
        <v>154</v>
      </c>
      <c r="D75" s="17" t="s">
        <v>145</v>
      </c>
      <c r="E75" s="17"/>
      <c r="F75" s="64" t="s">
        <v>155</v>
      </c>
      <c r="G75" s="66"/>
      <c r="H75" s="18"/>
      <c r="I75" s="18"/>
      <c r="J75" s="18"/>
      <c r="K75" s="65"/>
      <c r="L75" s="66"/>
      <c r="M75" s="65"/>
      <c r="N75" s="66"/>
      <c r="O75" s="65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>
      <c r="A76" s="92"/>
      <c r="B76" s="93"/>
      <c r="C76" s="93"/>
      <c r="D76" s="93"/>
      <c r="E76" s="93"/>
      <c r="F76" s="94"/>
      <c r="G76" s="93"/>
      <c r="H76" s="93"/>
      <c r="I76" s="93"/>
      <c r="J76" s="93"/>
      <c r="K76" s="94"/>
      <c r="L76" s="93"/>
      <c r="M76" s="94"/>
      <c r="N76" s="93"/>
      <c r="O76" s="94"/>
      <c r="P76" s="93"/>
      <c r="Q76" s="93"/>
      <c r="R76" s="93"/>
      <c r="S76" s="93"/>
      <c r="T76" s="93"/>
      <c r="U76" s="93"/>
      <c r="V76" s="93"/>
      <c r="W76" s="93"/>
      <c r="X76" s="93"/>
      <c r="Y76" s="93"/>
    </row>
    <row r="77">
      <c r="A77" s="92"/>
      <c r="B77" s="93"/>
      <c r="C77" s="93"/>
      <c r="D77" s="93"/>
      <c r="E77" s="93"/>
      <c r="F77" s="94"/>
      <c r="G77" s="93"/>
      <c r="H77" s="93"/>
      <c r="I77" s="93"/>
      <c r="J77" s="93"/>
      <c r="K77" s="94"/>
      <c r="L77" s="93"/>
      <c r="M77" s="94"/>
      <c r="N77" s="93"/>
      <c r="O77" s="94"/>
      <c r="P77" s="93"/>
      <c r="Q77" s="93"/>
      <c r="R77" s="93"/>
      <c r="S77" s="93"/>
      <c r="T77" s="93"/>
      <c r="U77" s="93"/>
      <c r="V77" s="93"/>
      <c r="W77" s="93"/>
      <c r="X77" s="93"/>
      <c r="Y77" s="93"/>
    </row>
    <row r="78">
      <c r="A78" s="63">
        <v>45352.0</v>
      </c>
      <c r="B78" s="62">
        <v>36.0</v>
      </c>
      <c r="C78" s="17" t="s">
        <v>154</v>
      </c>
      <c r="D78" s="17" t="s">
        <v>164</v>
      </c>
      <c r="E78" s="17" t="s">
        <v>376</v>
      </c>
      <c r="F78" s="64" t="s">
        <v>149</v>
      </c>
      <c r="G78" s="66"/>
      <c r="H78" s="18"/>
      <c r="I78" s="18"/>
      <c r="J78" s="18"/>
      <c r="K78" s="65"/>
      <c r="L78" s="66"/>
      <c r="M78" s="65"/>
      <c r="N78" s="66"/>
      <c r="O78" s="65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>
      <c r="A79" s="67"/>
      <c r="B79" s="62">
        <v>15.0</v>
      </c>
      <c r="C79" s="17" t="s">
        <v>154</v>
      </c>
      <c r="D79" s="17" t="s">
        <v>164</v>
      </c>
      <c r="E79" s="17" t="s">
        <v>377</v>
      </c>
      <c r="F79" s="64" t="s">
        <v>149</v>
      </c>
      <c r="G79" s="66"/>
      <c r="H79" s="18"/>
      <c r="I79" s="18"/>
      <c r="J79" s="18"/>
      <c r="K79" s="65"/>
      <c r="L79" s="66"/>
      <c r="M79" s="65"/>
      <c r="N79" s="66"/>
      <c r="O79" s="65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>
      <c r="A80" s="67"/>
      <c r="B80" s="62">
        <v>40.0</v>
      </c>
      <c r="C80" s="17" t="s">
        <v>154</v>
      </c>
      <c r="D80" s="17" t="s">
        <v>164</v>
      </c>
      <c r="E80" s="17" t="s">
        <v>378</v>
      </c>
      <c r="F80" s="64" t="s">
        <v>149</v>
      </c>
      <c r="G80" s="66"/>
      <c r="H80" s="18"/>
      <c r="I80" s="18"/>
      <c r="J80" s="18"/>
      <c r="K80" s="65"/>
      <c r="L80" s="66"/>
      <c r="M80" s="65"/>
      <c r="N80" s="66"/>
      <c r="O80" s="65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>
      <c r="A81" s="67"/>
      <c r="B81" s="62">
        <v>20.0</v>
      </c>
      <c r="C81" s="17" t="s">
        <v>154</v>
      </c>
      <c r="D81" s="17" t="s">
        <v>164</v>
      </c>
      <c r="E81" s="17" t="s">
        <v>379</v>
      </c>
      <c r="F81" s="64" t="s">
        <v>149</v>
      </c>
      <c r="G81" s="66"/>
      <c r="H81" s="18"/>
      <c r="I81" s="18"/>
      <c r="J81" s="18"/>
      <c r="K81" s="65"/>
      <c r="L81" s="66"/>
      <c r="M81" s="65"/>
      <c r="N81" s="66"/>
      <c r="O81" s="65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>
      <c r="A82" s="67"/>
      <c r="B82" s="62">
        <v>15.0</v>
      </c>
      <c r="C82" s="17" t="s">
        <v>154</v>
      </c>
      <c r="D82" s="17" t="s">
        <v>164</v>
      </c>
      <c r="E82" s="17" t="s">
        <v>380</v>
      </c>
      <c r="F82" s="64" t="s">
        <v>149</v>
      </c>
      <c r="G82" s="66"/>
      <c r="H82" s="18"/>
      <c r="I82" s="18"/>
      <c r="J82" s="18"/>
      <c r="K82" s="65"/>
      <c r="L82" s="66"/>
      <c r="M82" s="65"/>
      <c r="N82" s="66"/>
      <c r="O82" s="65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>
      <c r="A83" s="63">
        <v>45353.0</v>
      </c>
      <c r="B83" s="62">
        <v>455.7</v>
      </c>
      <c r="C83" s="17" t="s">
        <v>154</v>
      </c>
      <c r="D83" s="17" t="s">
        <v>25</v>
      </c>
      <c r="E83" s="17" t="s">
        <v>369</v>
      </c>
      <c r="F83" s="64" t="s">
        <v>149</v>
      </c>
      <c r="G83" s="66"/>
      <c r="H83" s="18"/>
      <c r="I83" s="18"/>
      <c r="J83" s="18"/>
      <c r="K83" s="65"/>
      <c r="L83" s="66"/>
      <c r="M83" s="65"/>
      <c r="N83" s="66"/>
      <c r="O83" s="65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>
      <c r="A84" s="67"/>
      <c r="B84" s="62">
        <v>310.0</v>
      </c>
      <c r="C84" s="17" t="s">
        <v>154</v>
      </c>
      <c r="D84" s="17" t="s">
        <v>164</v>
      </c>
      <c r="E84" s="17" t="s">
        <v>381</v>
      </c>
      <c r="F84" s="64" t="s">
        <v>149</v>
      </c>
      <c r="G84" s="66"/>
      <c r="H84" s="18"/>
      <c r="I84" s="18"/>
      <c r="J84" s="18"/>
      <c r="K84" s="65"/>
      <c r="L84" s="66"/>
      <c r="M84" s="65"/>
      <c r="N84" s="66"/>
      <c r="O84" s="65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>
      <c r="A85" s="67"/>
      <c r="B85" s="62">
        <v>150.0</v>
      </c>
      <c r="C85" s="17" t="s">
        <v>154</v>
      </c>
      <c r="D85" s="17" t="s">
        <v>164</v>
      </c>
      <c r="E85" s="17" t="s">
        <v>382</v>
      </c>
      <c r="F85" s="64" t="s">
        <v>149</v>
      </c>
      <c r="G85" s="66"/>
      <c r="H85" s="18"/>
      <c r="I85" s="18"/>
      <c r="J85" s="18"/>
      <c r="K85" s="65"/>
      <c r="L85" s="66"/>
      <c r="M85" s="65"/>
      <c r="N85" s="66"/>
      <c r="O85" s="65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>
      <c r="A86" s="63">
        <v>45354.0</v>
      </c>
      <c r="B86" s="62">
        <v>160.44</v>
      </c>
      <c r="C86" s="17" t="s">
        <v>154</v>
      </c>
      <c r="D86" s="17" t="s">
        <v>146</v>
      </c>
      <c r="E86" s="17"/>
      <c r="F86" s="64" t="s">
        <v>155</v>
      </c>
      <c r="G86" s="66"/>
      <c r="H86" s="18"/>
      <c r="I86" s="18"/>
      <c r="J86" s="18"/>
      <c r="K86" s="65"/>
      <c r="L86" s="62">
        <v>2500.0</v>
      </c>
      <c r="M86" s="65"/>
      <c r="N86" s="66"/>
      <c r="O86" s="65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>
      <c r="A87" s="63"/>
      <c r="B87" s="62">
        <v>310.0</v>
      </c>
      <c r="C87" s="17" t="s">
        <v>154</v>
      </c>
      <c r="D87" s="17" t="s">
        <v>25</v>
      </c>
      <c r="E87" s="17" t="s">
        <v>383</v>
      </c>
      <c r="F87" s="64" t="s">
        <v>149</v>
      </c>
      <c r="G87" s="66"/>
      <c r="H87" s="18"/>
      <c r="I87" s="18"/>
      <c r="J87" s="18"/>
      <c r="K87" s="65"/>
      <c r="L87" s="66"/>
      <c r="M87" s="65"/>
      <c r="N87" s="66"/>
      <c r="O87" s="65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>
      <c r="A88" s="63">
        <v>45355.0</v>
      </c>
      <c r="B88" s="62">
        <v>1500.0</v>
      </c>
      <c r="C88" s="17" t="s">
        <v>154</v>
      </c>
      <c r="D88" s="17" t="s">
        <v>191</v>
      </c>
      <c r="E88" s="17" t="s">
        <v>384</v>
      </c>
      <c r="F88" s="64" t="s">
        <v>149</v>
      </c>
      <c r="G88" s="62">
        <v>2000.0</v>
      </c>
      <c r="H88" s="17" t="s">
        <v>154</v>
      </c>
      <c r="I88" s="17" t="s">
        <v>9</v>
      </c>
      <c r="J88" s="17" t="s">
        <v>385</v>
      </c>
      <c r="K88" s="64" t="s">
        <v>155</v>
      </c>
      <c r="L88" s="66"/>
      <c r="M88" s="65"/>
      <c r="N88" s="66"/>
      <c r="O88" s="65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>
      <c r="A89" s="63">
        <v>45357.0</v>
      </c>
      <c r="B89" s="62">
        <v>1620.0</v>
      </c>
      <c r="C89" s="17" t="s">
        <v>154</v>
      </c>
      <c r="D89" s="17" t="s">
        <v>157</v>
      </c>
      <c r="E89" s="17" t="s">
        <v>386</v>
      </c>
      <c r="F89" s="64" t="s">
        <v>149</v>
      </c>
      <c r="G89" s="66"/>
      <c r="H89" s="18"/>
      <c r="I89" s="18"/>
      <c r="J89" s="18"/>
      <c r="K89" s="65"/>
      <c r="L89" s="66"/>
      <c r="M89" s="65"/>
      <c r="N89" s="66"/>
      <c r="O89" s="65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>
      <c r="A90" s="63">
        <v>45359.0</v>
      </c>
      <c r="B90" s="62"/>
      <c r="C90" s="18"/>
      <c r="D90" s="18"/>
      <c r="E90" s="18"/>
      <c r="F90" s="65"/>
      <c r="G90" s="62">
        <v>5000.0</v>
      </c>
      <c r="H90" s="17" t="s">
        <v>154</v>
      </c>
      <c r="I90" s="17" t="s">
        <v>160</v>
      </c>
      <c r="J90" s="17" t="s">
        <v>385</v>
      </c>
      <c r="K90" s="64" t="s">
        <v>149</v>
      </c>
      <c r="L90" s="66"/>
      <c r="M90" s="65"/>
      <c r="N90" s="66"/>
      <c r="O90" s="65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>
      <c r="A91" s="63">
        <v>45360.0</v>
      </c>
      <c r="B91" s="62">
        <v>700.0</v>
      </c>
      <c r="C91" s="17" t="s">
        <v>154</v>
      </c>
      <c r="D91" s="17" t="s">
        <v>109</v>
      </c>
      <c r="E91" s="17" t="s">
        <v>385</v>
      </c>
      <c r="F91" s="64" t="s">
        <v>149</v>
      </c>
      <c r="G91" s="66"/>
      <c r="H91" s="18"/>
      <c r="I91" s="18"/>
      <c r="J91" s="18"/>
      <c r="K91" s="65"/>
      <c r="L91" s="66"/>
      <c r="M91" s="65"/>
      <c r="N91" s="66"/>
      <c r="O91" s="65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>
      <c r="A92" s="67"/>
      <c r="B92" s="62">
        <v>700.0</v>
      </c>
      <c r="C92" s="17" t="s">
        <v>154</v>
      </c>
      <c r="D92" s="17" t="s">
        <v>110</v>
      </c>
      <c r="E92" s="17" t="s">
        <v>385</v>
      </c>
      <c r="F92" s="64" t="s">
        <v>149</v>
      </c>
      <c r="G92" s="66"/>
      <c r="H92" s="18"/>
      <c r="I92" s="18"/>
      <c r="J92" s="18"/>
      <c r="K92" s="65"/>
      <c r="L92" s="66"/>
      <c r="M92" s="65"/>
      <c r="N92" s="66"/>
      <c r="O92" s="65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>
      <c r="A93" s="67"/>
      <c r="B93" s="62">
        <v>700.0</v>
      </c>
      <c r="C93" s="17" t="s">
        <v>154</v>
      </c>
      <c r="D93" s="17" t="s">
        <v>111</v>
      </c>
      <c r="E93" s="17" t="s">
        <v>385</v>
      </c>
      <c r="F93" s="64" t="s">
        <v>149</v>
      </c>
      <c r="G93" s="66"/>
      <c r="H93" s="18"/>
      <c r="I93" s="18"/>
      <c r="J93" s="18"/>
      <c r="K93" s="65"/>
      <c r="L93" s="66"/>
      <c r="M93" s="65"/>
      <c r="N93" s="66"/>
      <c r="O93" s="65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>
      <c r="A94" s="67"/>
      <c r="B94" s="62">
        <v>700.0</v>
      </c>
      <c r="C94" s="17" t="s">
        <v>154</v>
      </c>
      <c r="D94" s="17" t="s">
        <v>112</v>
      </c>
      <c r="E94" s="17" t="s">
        <v>385</v>
      </c>
      <c r="F94" s="64" t="s">
        <v>149</v>
      </c>
      <c r="G94" s="66"/>
      <c r="H94" s="18"/>
      <c r="I94" s="18"/>
      <c r="J94" s="18"/>
      <c r="K94" s="65"/>
      <c r="L94" s="66"/>
      <c r="M94" s="65"/>
      <c r="N94" s="66"/>
      <c r="O94" s="65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>
      <c r="A95" s="67"/>
      <c r="B95" s="62">
        <v>700.0</v>
      </c>
      <c r="C95" s="17" t="s">
        <v>154</v>
      </c>
      <c r="D95" s="17" t="s">
        <v>113</v>
      </c>
      <c r="E95" s="17" t="s">
        <v>385</v>
      </c>
      <c r="F95" s="64" t="s">
        <v>149</v>
      </c>
      <c r="G95" s="66"/>
      <c r="H95" s="18"/>
      <c r="I95" s="18"/>
      <c r="J95" s="18"/>
      <c r="K95" s="65"/>
      <c r="L95" s="66"/>
      <c r="M95" s="65"/>
      <c r="N95" s="66"/>
      <c r="O95" s="65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>
      <c r="A96" s="67"/>
      <c r="B96" s="62">
        <v>500.0</v>
      </c>
      <c r="C96" s="17" t="s">
        <v>154</v>
      </c>
      <c r="D96" s="17" t="s">
        <v>157</v>
      </c>
      <c r="E96" s="17" t="s">
        <v>359</v>
      </c>
      <c r="F96" s="64" t="s">
        <v>149</v>
      </c>
      <c r="G96" s="66"/>
      <c r="H96" s="18"/>
      <c r="I96" s="18"/>
      <c r="J96" s="18"/>
      <c r="K96" s="65"/>
      <c r="L96" s="66"/>
      <c r="M96" s="65"/>
      <c r="N96" s="66"/>
      <c r="O96" s="65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>
      <c r="A97" s="67"/>
      <c r="B97" s="62">
        <v>269.0</v>
      </c>
      <c r="C97" s="17" t="s">
        <v>154</v>
      </c>
      <c r="D97" s="17" t="s">
        <v>164</v>
      </c>
      <c r="E97" s="17" t="s">
        <v>385</v>
      </c>
      <c r="F97" s="64" t="s">
        <v>149</v>
      </c>
      <c r="G97" s="66"/>
      <c r="H97" s="18"/>
      <c r="I97" s="18"/>
      <c r="J97" s="18"/>
      <c r="K97" s="65"/>
      <c r="L97" s="66"/>
      <c r="M97" s="65"/>
      <c r="N97" s="66"/>
      <c r="O97" s="65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>
      <c r="A98" s="67"/>
      <c r="B98" s="62">
        <v>150.0</v>
      </c>
      <c r="C98" s="17" t="s">
        <v>154</v>
      </c>
      <c r="D98" s="17" t="s">
        <v>25</v>
      </c>
      <c r="E98" s="17" t="s">
        <v>387</v>
      </c>
      <c r="F98" s="64" t="s">
        <v>149</v>
      </c>
      <c r="G98" s="66"/>
      <c r="H98" s="18"/>
      <c r="I98" s="18"/>
      <c r="J98" s="18"/>
      <c r="K98" s="65"/>
      <c r="L98" s="66"/>
      <c r="M98" s="65"/>
      <c r="N98" s="66"/>
      <c r="O98" s="65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>
      <c r="A99" s="67"/>
      <c r="B99" s="62">
        <v>150.0</v>
      </c>
      <c r="C99" s="17" t="s">
        <v>154</v>
      </c>
      <c r="D99" s="17" t="s">
        <v>25</v>
      </c>
      <c r="E99" s="17" t="s">
        <v>388</v>
      </c>
      <c r="F99" s="64" t="s">
        <v>149</v>
      </c>
      <c r="G99" s="66"/>
      <c r="H99" s="18"/>
      <c r="I99" s="18"/>
      <c r="J99" s="18"/>
      <c r="K99" s="65"/>
      <c r="L99" s="66"/>
      <c r="M99" s="65"/>
      <c r="N99" s="66"/>
      <c r="O99" s="65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>
      <c r="A100" s="67"/>
      <c r="B100" s="62">
        <v>200.0</v>
      </c>
      <c r="C100" s="17" t="s">
        <v>154</v>
      </c>
      <c r="D100" s="17" t="s">
        <v>25</v>
      </c>
      <c r="E100" s="17" t="s">
        <v>389</v>
      </c>
      <c r="F100" s="64" t="s">
        <v>149</v>
      </c>
      <c r="G100" s="66"/>
      <c r="H100" s="18"/>
      <c r="I100" s="18"/>
      <c r="J100" s="18"/>
      <c r="K100" s="65"/>
      <c r="L100" s="66"/>
      <c r="M100" s="65"/>
      <c r="N100" s="66"/>
      <c r="O100" s="65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>
      <c r="A101" s="67"/>
      <c r="B101" s="62">
        <v>1250.0</v>
      </c>
      <c r="C101" s="17" t="s">
        <v>154</v>
      </c>
      <c r="D101" s="17" t="s">
        <v>24</v>
      </c>
      <c r="E101" s="17" t="s">
        <v>390</v>
      </c>
      <c r="F101" s="64" t="s">
        <v>149</v>
      </c>
      <c r="G101" s="66"/>
      <c r="H101" s="18"/>
      <c r="I101" s="18"/>
      <c r="J101" s="18"/>
      <c r="K101" s="65"/>
      <c r="L101" s="66"/>
      <c r="M101" s="65"/>
      <c r="N101" s="66"/>
      <c r="O101" s="65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>
      <c r="A102" s="63">
        <v>45362.0</v>
      </c>
      <c r="B102" s="66"/>
      <c r="C102" s="18"/>
      <c r="D102" s="18"/>
      <c r="E102" s="18"/>
      <c r="F102" s="65"/>
      <c r="G102" s="62">
        <v>1492.0</v>
      </c>
      <c r="H102" s="17" t="s">
        <v>154</v>
      </c>
      <c r="I102" s="17" t="s">
        <v>9</v>
      </c>
      <c r="J102" s="17" t="s">
        <v>391</v>
      </c>
      <c r="K102" s="64" t="s">
        <v>155</v>
      </c>
      <c r="L102" s="66"/>
      <c r="M102" s="65"/>
      <c r="N102" s="66"/>
      <c r="O102" s="65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>
      <c r="A103" s="63">
        <v>45363.0</v>
      </c>
      <c r="B103" s="62">
        <v>17.5</v>
      </c>
      <c r="C103" s="17" t="s">
        <v>154</v>
      </c>
      <c r="D103" s="17" t="s">
        <v>138</v>
      </c>
      <c r="E103" s="17"/>
      <c r="F103" s="64" t="s">
        <v>155</v>
      </c>
      <c r="G103" s="66"/>
      <c r="H103" s="18"/>
      <c r="I103" s="18"/>
      <c r="J103" s="18"/>
      <c r="K103" s="65"/>
      <c r="L103" s="62">
        <v>5000.0</v>
      </c>
      <c r="M103" s="65"/>
      <c r="N103" s="66"/>
      <c r="O103" s="65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>
      <c r="A104" s="63">
        <v>45369.0</v>
      </c>
      <c r="B104" s="66"/>
      <c r="C104" s="18"/>
      <c r="D104" s="18"/>
      <c r="E104" s="18"/>
      <c r="F104" s="65"/>
      <c r="G104" s="62">
        <v>6000.0</v>
      </c>
      <c r="H104" s="17" t="s">
        <v>154</v>
      </c>
      <c r="I104" s="17" t="s">
        <v>160</v>
      </c>
      <c r="J104" s="17" t="s">
        <v>392</v>
      </c>
      <c r="K104" s="64" t="s">
        <v>155</v>
      </c>
      <c r="L104" s="66"/>
      <c r="M104" s="65"/>
      <c r="N104" s="66"/>
      <c r="O104" s="65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>
      <c r="A105" s="63">
        <v>45371.0</v>
      </c>
      <c r="B105" s="62">
        <v>17.5</v>
      </c>
      <c r="C105" s="17" t="s">
        <v>154</v>
      </c>
      <c r="D105" s="17" t="s">
        <v>138</v>
      </c>
      <c r="E105" s="17"/>
      <c r="F105" s="64" t="s">
        <v>155</v>
      </c>
      <c r="G105" s="66"/>
      <c r="H105" s="18"/>
      <c r="I105" s="18"/>
      <c r="J105" s="18"/>
      <c r="K105" s="65"/>
      <c r="L105" s="62">
        <v>2500.0</v>
      </c>
      <c r="M105" s="65"/>
      <c r="N105" s="66"/>
      <c r="O105" s="65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>
      <c r="A106" s="63">
        <v>45372.0</v>
      </c>
      <c r="B106" s="62">
        <v>4200.0</v>
      </c>
      <c r="C106" s="17" t="s">
        <v>154</v>
      </c>
      <c r="D106" s="17" t="s">
        <v>174</v>
      </c>
      <c r="E106" s="18"/>
      <c r="F106" s="64" t="s">
        <v>155</v>
      </c>
      <c r="G106" s="66"/>
      <c r="H106" s="18"/>
      <c r="I106" s="18"/>
      <c r="J106" s="18"/>
      <c r="K106" s="65"/>
      <c r="L106" s="66"/>
      <c r="M106" s="65"/>
      <c r="N106" s="66"/>
      <c r="O106" s="65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>
      <c r="A107" s="63">
        <v>45375.0</v>
      </c>
      <c r="B107" s="62">
        <v>8.0</v>
      </c>
      <c r="C107" s="17" t="s">
        <v>154</v>
      </c>
      <c r="D107" s="17" t="s">
        <v>138</v>
      </c>
      <c r="E107" s="17"/>
      <c r="F107" s="64" t="s">
        <v>155</v>
      </c>
      <c r="G107" s="66"/>
      <c r="H107" s="18"/>
      <c r="I107" s="18"/>
      <c r="J107" s="18"/>
      <c r="K107" s="65"/>
      <c r="L107" s="62">
        <v>2000.0</v>
      </c>
      <c r="M107" s="65"/>
      <c r="N107" s="66"/>
      <c r="O107" s="65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>
      <c r="A108" s="63">
        <v>45376.0</v>
      </c>
      <c r="B108" s="62">
        <v>6.0</v>
      </c>
      <c r="C108" s="17" t="s">
        <v>154</v>
      </c>
      <c r="D108" s="17" t="s">
        <v>138</v>
      </c>
      <c r="E108" s="17"/>
      <c r="F108" s="64" t="s">
        <v>155</v>
      </c>
      <c r="G108" s="66"/>
      <c r="H108" s="18"/>
      <c r="I108" s="18"/>
      <c r="J108" s="18"/>
      <c r="K108" s="65"/>
      <c r="L108" s="62">
        <v>1500.0</v>
      </c>
      <c r="M108" s="65"/>
      <c r="N108" s="66"/>
      <c r="O108" s="65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>
      <c r="A109" s="67"/>
      <c r="B109" s="62">
        <v>29.0</v>
      </c>
      <c r="C109" s="17" t="s">
        <v>154</v>
      </c>
      <c r="D109" s="17" t="s">
        <v>143</v>
      </c>
      <c r="E109" s="17"/>
      <c r="F109" s="64" t="s">
        <v>155</v>
      </c>
      <c r="G109" s="66"/>
      <c r="H109" s="18"/>
      <c r="I109" s="18"/>
      <c r="J109" s="18"/>
      <c r="K109" s="65"/>
      <c r="L109" s="66"/>
      <c r="M109" s="65"/>
      <c r="N109" s="66"/>
      <c r="O109" s="65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>
      <c r="A110" s="67"/>
      <c r="B110" s="62">
        <v>0.51</v>
      </c>
      <c r="C110" s="17" t="s">
        <v>154</v>
      </c>
      <c r="D110" s="17" t="s">
        <v>139</v>
      </c>
      <c r="E110" s="17"/>
      <c r="F110" s="64" t="s">
        <v>155</v>
      </c>
      <c r="G110" s="66"/>
      <c r="H110" s="18"/>
      <c r="I110" s="18"/>
      <c r="J110" s="18"/>
      <c r="K110" s="65"/>
      <c r="L110" s="66"/>
      <c r="M110" s="65"/>
      <c r="N110" s="66"/>
      <c r="O110" s="65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>
      <c r="A111" s="63">
        <v>45378.0</v>
      </c>
      <c r="B111" s="62">
        <v>3033.0</v>
      </c>
      <c r="C111" s="17" t="s">
        <v>154</v>
      </c>
      <c r="D111" s="17" t="s">
        <v>22</v>
      </c>
      <c r="E111" s="17" t="s">
        <v>393</v>
      </c>
      <c r="F111" s="64" t="s">
        <v>155</v>
      </c>
      <c r="G111" s="66"/>
      <c r="H111" s="18"/>
      <c r="I111" s="18"/>
      <c r="J111" s="18"/>
      <c r="K111" s="65"/>
      <c r="L111" s="66"/>
      <c r="M111" s="65"/>
      <c r="N111" s="66"/>
      <c r="O111" s="65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>
      <c r="A112" s="67"/>
      <c r="B112" s="62">
        <v>0.45</v>
      </c>
      <c r="C112" s="17" t="s">
        <v>154</v>
      </c>
      <c r="D112" s="17" t="s">
        <v>139</v>
      </c>
      <c r="E112" s="17"/>
      <c r="F112" s="64" t="s">
        <v>155</v>
      </c>
      <c r="G112" s="66"/>
      <c r="H112" s="18"/>
      <c r="I112" s="18"/>
      <c r="J112" s="18"/>
      <c r="K112" s="65"/>
      <c r="L112" s="66"/>
      <c r="M112" s="65"/>
      <c r="N112" s="66"/>
      <c r="O112" s="65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>
      <c r="A113" s="63">
        <v>45379.0</v>
      </c>
      <c r="B113" s="62">
        <v>4.0</v>
      </c>
      <c r="C113" s="17" t="s">
        <v>154</v>
      </c>
      <c r="D113" s="17" t="s">
        <v>138</v>
      </c>
      <c r="E113" s="17"/>
      <c r="F113" s="64" t="s">
        <v>155</v>
      </c>
      <c r="G113" s="66"/>
      <c r="H113" s="18"/>
      <c r="I113" s="18"/>
      <c r="J113" s="18"/>
      <c r="K113" s="65"/>
      <c r="L113" s="62">
        <v>1000.0</v>
      </c>
      <c r="M113" s="65"/>
      <c r="N113" s="66"/>
      <c r="O113" s="65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>
      <c r="A114" s="63">
        <v>45380.0</v>
      </c>
      <c r="B114" s="66"/>
      <c r="C114" s="18"/>
      <c r="D114" s="18"/>
      <c r="E114" s="18"/>
      <c r="F114" s="65"/>
      <c r="G114" s="62">
        <v>1491.0</v>
      </c>
      <c r="H114" s="17" t="s">
        <v>154</v>
      </c>
      <c r="I114" s="17" t="s">
        <v>9</v>
      </c>
      <c r="J114" s="17" t="s">
        <v>394</v>
      </c>
      <c r="K114" s="64" t="s">
        <v>155</v>
      </c>
      <c r="L114" s="66"/>
      <c r="M114" s="65"/>
      <c r="N114" s="66"/>
      <c r="O114" s="65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>
      <c r="A115" s="63">
        <v>45381.0</v>
      </c>
      <c r="B115" s="62">
        <v>4.0</v>
      </c>
      <c r="C115" s="17" t="s">
        <v>154</v>
      </c>
      <c r="D115" s="17" t="s">
        <v>138</v>
      </c>
      <c r="E115" s="17"/>
      <c r="F115" s="64" t="s">
        <v>155</v>
      </c>
      <c r="G115" s="66"/>
      <c r="H115" s="18"/>
      <c r="I115" s="18"/>
      <c r="J115" s="18"/>
      <c r="K115" s="65"/>
      <c r="L115" s="62">
        <v>1000.0</v>
      </c>
      <c r="M115" s="65"/>
      <c r="N115" s="66"/>
      <c r="O115" s="65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>
      <c r="A116" s="67"/>
      <c r="B116" s="62">
        <v>1000.0</v>
      </c>
      <c r="C116" s="17" t="s">
        <v>154</v>
      </c>
      <c r="D116" s="17" t="s">
        <v>157</v>
      </c>
      <c r="E116" s="17" t="s">
        <v>395</v>
      </c>
      <c r="F116" s="64" t="s">
        <v>149</v>
      </c>
      <c r="G116" s="66"/>
      <c r="H116" s="18"/>
      <c r="I116" s="18"/>
      <c r="J116" s="18"/>
      <c r="K116" s="65"/>
      <c r="L116" s="66"/>
      <c r="M116" s="65"/>
      <c r="N116" s="66"/>
      <c r="O116" s="65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>
      <c r="A117" s="67"/>
      <c r="B117" s="62">
        <v>600.0</v>
      </c>
      <c r="C117" s="17" t="s">
        <v>154</v>
      </c>
      <c r="D117" s="17" t="s">
        <v>109</v>
      </c>
      <c r="E117" s="17" t="s">
        <v>167</v>
      </c>
      <c r="F117" s="64" t="s">
        <v>149</v>
      </c>
      <c r="G117" s="66"/>
      <c r="H117" s="18"/>
      <c r="I117" s="18"/>
      <c r="J117" s="18"/>
      <c r="K117" s="65"/>
      <c r="L117" s="66"/>
      <c r="M117" s="65"/>
      <c r="N117" s="66"/>
      <c r="O117" s="65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>
      <c r="A118" s="67"/>
      <c r="B118" s="62">
        <v>600.0</v>
      </c>
      <c r="C118" s="17" t="s">
        <v>154</v>
      </c>
      <c r="D118" s="17" t="s">
        <v>111</v>
      </c>
      <c r="E118" s="17" t="s">
        <v>167</v>
      </c>
      <c r="F118" s="64" t="s">
        <v>149</v>
      </c>
      <c r="G118" s="66"/>
      <c r="H118" s="18"/>
      <c r="I118" s="18"/>
      <c r="J118" s="18"/>
      <c r="K118" s="65"/>
      <c r="L118" s="66"/>
      <c r="M118" s="65"/>
      <c r="N118" s="66"/>
      <c r="O118" s="65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>
      <c r="A119" s="67"/>
      <c r="B119" s="62">
        <v>900.0</v>
      </c>
      <c r="C119" s="17" t="s">
        <v>154</v>
      </c>
      <c r="D119" s="17" t="s">
        <v>109</v>
      </c>
      <c r="E119" s="17" t="s">
        <v>396</v>
      </c>
      <c r="F119" s="64" t="s">
        <v>149</v>
      </c>
      <c r="G119" s="66"/>
      <c r="H119" s="18"/>
      <c r="I119" s="18"/>
      <c r="J119" s="18"/>
      <c r="K119" s="65"/>
      <c r="L119" s="66"/>
      <c r="M119" s="65"/>
      <c r="N119" s="66"/>
      <c r="O119" s="65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>
      <c r="A120" s="67"/>
      <c r="B120" s="62">
        <v>900.0</v>
      </c>
      <c r="C120" s="17" t="s">
        <v>154</v>
      </c>
      <c r="D120" s="17" t="s">
        <v>111</v>
      </c>
      <c r="E120" s="17" t="s">
        <v>396</v>
      </c>
      <c r="F120" s="64" t="s">
        <v>149</v>
      </c>
      <c r="G120" s="66"/>
      <c r="H120" s="18"/>
      <c r="I120" s="18"/>
      <c r="J120" s="18"/>
      <c r="K120" s="65"/>
      <c r="L120" s="66"/>
      <c r="M120" s="65"/>
      <c r="N120" s="66"/>
      <c r="O120" s="65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>
      <c r="A121" s="67"/>
      <c r="B121" s="62">
        <v>1000.0</v>
      </c>
      <c r="C121" s="17" t="s">
        <v>154</v>
      </c>
      <c r="D121" s="17" t="s">
        <v>109</v>
      </c>
      <c r="E121" s="17" t="s">
        <v>397</v>
      </c>
      <c r="F121" s="64" t="s">
        <v>149</v>
      </c>
      <c r="G121" s="66"/>
      <c r="H121" s="18"/>
      <c r="I121" s="18"/>
      <c r="J121" s="18"/>
      <c r="K121" s="65"/>
      <c r="L121" s="66"/>
      <c r="M121" s="65"/>
      <c r="N121" s="66"/>
      <c r="O121" s="65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>
      <c r="A122" s="67"/>
      <c r="B122" s="62">
        <v>1000.0</v>
      </c>
      <c r="C122" s="17" t="s">
        <v>154</v>
      </c>
      <c r="D122" s="17" t="s">
        <v>111</v>
      </c>
      <c r="E122" s="17" t="s">
        <v>397</v>
      </c>
      <c r="F122" s="64" t="s">
        <v>149</v>
      </c>
      <c r="G122" s="66"/>
      <c r="H122" s="18"/>
      <c r="I122" s="18"/>
      <c r="J122" s="18"/>
      <c r="K122" s="65"/>
      <c r="L122" s="66"/>
      <c r="M122" s="65"/>
      <c r="N122" s="66"/>
      <c r="O122" s="65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>
      <c r="A123" s="63">
        <v>45382.0</v>
      </c>
      <c r="B123" s="45">
        <v>35.0</v>
      </c>
      <c r="C123" s="17" t="s">
        <v>154</v>
      </c>
      <c r="D123" s="17" t="s">
        <v>145</v>
      </c>
      <c r="E123" s="17"/>
      <c r="F123" s="64" t="s">
        <v>155</v>
      </c>
      <c r="G123" s="66"/>
      <c r="H123" s="18"/>
      <c r="I123" s="18"/>
      <c r="J123" s="18"/>
      <c r="K123" s="65"/>
      <c r="L123" s="66"/>
      <c r="M123" s="65"/>
      <c r="N123" s="66"/>
      <c r="O123" s="65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>
      <c r="A124" s="92"/>
      <c r="B124" s="93"/>
      <c r="C124" s="93"/>
      <c r="D124" s="93"/>
      <c r="E124" s="93"/>
      <c r="F124" s="94"/>
      <c r="G124" s="93"/>
      <c r="H124" s="93"/>
      <c r="I124" s="93"/>
      <c r="J124" s="93"/>
      <c r="K124" s="94"/>
      <c r="L124" s="93"/>
      <c r="M124" s="94"/>
      <c r="N124" s="93"/>
      <c r="O124" s="94"/>
      <c r="P124" s="93"/>
      <c r="Q124" s="93"/>
      <c r="R124" s="93"/>
      <c r="S124" s="93"/>
      <c r="T124" s="93"/>
      <c r="U124" s="93"/>
      <c r="V124" s="93"/>
      <c r="W124" s="93"/>
      <c r="X124" s="93"/>
      <c r="Y124" s="93"/>
    </row>
    <row r="125">
      <c r="A125" s="92"/>
      <c r="B125" s="93"/>
      <c r="C125" s="93"/>
      <c r="D125" s="93"/>
      <c r="E125" s="93"/>
      <c r="F125" s="94"/>
      <c r="G125" s="93"/>
      <c r="H125" s="93"/>
      <c r="I125" s="93"/>
      <c r="J125" s="93"/>
      <c r="K125" s="94"/>
      <c r="L125" s="93"/>
      <c r="M125" s="94"/>
      <c r="N125" s="93"/>
      <c r="O125" s="94"/>
      <c r="P125" s="93"/>
      <c r="Q125" s="93"/>
      <c r="R125" s="93"/>
      <c r="S125" s="93"/>
      <c r="T125" s="93"/>
      <c r="U125" s="93"/>
      <c r="V125" s="93"/>
      <c r="W125" s="93"/>
      <c r="X125" s="93"/>
      <c r="Y125" s="93"/>
    </row>
    <row r="126">
      <c r="A126" s="63">
        <v>45385.0</v>
      </c>
      <c r="B126" s="62">
        <v>177.35</v>
      </c>
      <c r="C126" s="17" t="s">
        <v>154</v>
      </c>
      <c r="D126" s="17" t="s">
        <v>146</v>
      </c>
      <c r="E126" s="18"/>
      <c r="F126" s="64" t="s">
        <v>155</v>
      </c>
      <c r="G126" s="66"/>
      <c r="H126" s="18"/>
      <c r="I126" s="18"/>
      <c r="J126" s="18"/>
      <c r="K126" s="65"/>
      <c r="L126" s="66"/>
      <c r="M126" s="65"/>
      <c r="N126" s="66"/>
      <c r="O126" s="65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>
      <c r="A127" s="63">
        <v>45387.0</v>
      </c>
      <c r="B127" s="46"/>
      <c r="C127" s="46"/>
      <c r="D127" s="46"/>
      <c r="E127" s="46"/>
      <c r="F127" s="46"/>
      <c r="G127" s="66"/>
      <c r="H127" s="18"/>
      <c r="I127" s="18"/>
      <c r="J127" s="18"/>
      <c r="K127" s="65"/>
      <c r="L127" s="62">
        <v>1500.0</v>
      </c>
      <c r="M127" s="65"/>
      <c r="N127" s="66"/>
      <c r="O127" s="65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>
      <c r="A128" s="63">
        <v>45390.0</v>
      </c>
      <c r="B128" s="46"/>
      <c r="C128" s="46"/>
      <c r="D128" s="46"/>
      <c r="E128" s="46"/>
      <c r="F128" s="46"/>
      <c r="G128" s="66"/>
      <c r="H128" s="18"/>
      <c r="I128" s="18"/>
      <c r="J128" s="18"/>
      <c r="K128" s="65"/>
      <c r="L128" s="62">
        <v>250.0</v>
      </c>
      <c r="M128" s="65"/>
      <c r="N128" s="66"/>
      <c r="O128" s="65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>
      <c r="A129" s="63">
        <v>45397.0</v>
      </c>
      <c r="B129" s="17">
        <v>2400.0</v>
      </c>
      <c r="C129" s="17" t="s">
        <v>154</v>
      </c>
      <c r="D129" s="17" t="s">
        <v>157</v>
      </c>
      <c r="E129" s="45" t="s">
        <v>227</v>
      </c>
      <c r="F129" s="64" t="s">
        <v>149</v>
      </c>
      <c r="G129" s="62">
        <v>1700.0</v>
      </c>
      <c r="H129" s="17" t="s">
        <v>154</v>
      </c>
      <c r="I129" s="17" t="s">
        <v>160</v>
      </c>
      <c r="J129" s="17" t="s">
        <v>398</v>
      </c>
      <c r="K129" s="64" t="s">
        <v>155</v>
      </c>
      <c r="L129" s="66"/>
      <c r="M129" s="65"/>
      <c r="N129" s="66"/>
      <c r="O129" s="65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>
      <c r="A130" s="63">
        <v>45398.0</v>
      </c>
      <c r="B130" s="46"/>
      <c r="C130" s="46"/>
      <c r="D130" s="46"/>
      <c r="E130" s="46"/>
      <c r="F130" s="46"/>
      <c r="G130" s="62">
        <v>1490.0</v>
      </c>
      <c r="H130" s="17" t="s">
        <v>154</v>
      </c>
      <c r="I130" s="17" t="s">
        <v>9</v>
      </c>
      <c r="J130" s="17" t="s">
        <v>399</v>
      </c>
      <c r="K130" s="64" t="s">
        <v>155</v>
      </c>
      <c r="L130" s="66"/>
      <c r="M130" s="65"/>
      <c r="N130" s="66"/>
      <c r="O130" s="65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>
      <c r="A131" s="63">
        <v>45401.0</v>
      </c>
      <c r="B131" s="46"/>
      <c r="C131" s="46"/>
      <c r="D131" s="46"/>
      <c r="E131" s="46"/>
      <c r="F131" s="46"/>
      <c r="G131" s="66"/>
      <c r="H131" s="18"/>
      <c r="I131" s="18"/>
      <c r="J131" s="18"/>
      <c r="K131" s="65"/>
      <c r="L131" s="62">
        <v>3000.0</v>
      </c>
      <c r="M131" s="65"/>
      <c r="N131" s="66"/>
      <c r="O131" s="65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>
      <c r="A132" s="63">
        <v>45407.0</v>
      </c>
      <c r="B132" s="66"/>
      <c r="C132" s="18"/>
      <c r="D132" s="18"/>
      <c r="E132" s="18"/>
      <c r="F132" s="65"/>
      <c r="G132" s="62">
        <v>11670.0</v>
      </c>
      <c r="H132" s="17" t="s">
        <v>154</v>
      </c>
      <c r="I132" s="17" t="s">
        <v>160</v>
      </c>
      <c r="J132" s="17" t="s">
        <v>400</v>
      </c>
      <c r="K132" s="64" t="s">
        <v>155</v>
      </c>
      <c r="L132" s="62">
        <v>5200.0</v>
      </c>
      <c r="M132" s="65"/>
      <c r="N132" s="66"/>
      <c r="O132" s="65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>
      <c r="A133" s="67"/>
      <c r="B133" s="62">
        <v>20.8</v>
      </c>
      <c r="C133" s="17" t="s">
        <v>154</v>
      </c>
      <c r="D133" s="17" t="s">
        <v>138</v>
      </c>
      <c r="E133" s="17"/>
      <c r="F133" s="64" t="s">
        <v>155</v>
      </c>
      <c r="G133" s="66"/>
      <c r="H133" s="18"/>
      <c r="I133" s="18"/>
      <c r="J133" s="18"/>
      <c r="K133" s="65"/>
      <c r="L133" s="66"/>
      <c r="M133" s="65"/>
      <c r="N133" s="66"/>
      <c r="O133" s="65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>
      <c r="A134" s="63">
        <v>45410.0</v>
      </c>
      <c r="B134" s="62">
        <v>11.4</v>
      </c>
      <c r="C134" s="17" t="s">
        <v>154</v>
      </c>
      <c r="D134" s="17" t="s">
        <v>138</v>
      </c>
      <c r="E134" s="17"/>
      <c r="F134" s="64" t="s">
        <v>155</v>
      </c>
      <c r="G134" s="66"/>
      <c r="H134" s="18"/>
      <c r="I134" s="18"/>
      <c r="J134" s="18"/>
      <c r="K134" s="65"/>
      <c r="L134" s="62">
        <v>2850.0</v>
      </c>
      <c r="M134" s="65"/>
      <c r="N134" s="66"/>
      <c r="O134" s="65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>
      <c r="A135" s="63">
        <v>45412.0</v>
      </c>
      <c r="B135" s="45">
        <v>35.0</v>
      </c>
      <c r="C135" s="17" t="s">
        <v>154</v>
      </c>
      <c r="D135" s="17" t="s">
        <v>145</v>
      </c>
      <c r="E135" s="17"/>
      <c r="F135" s="64" t="s">
        <v>155</v>
      </c>
      <c r="G135" s="66"/>
      <c r="H135" s="18"/>
      <c r="I135" s="18"/>
      <c r="J135" s="18"/>
      <c r="K135" s="65"/>
      <c r="L135" s="66"/>
      <c r="M135" s="65"/>
      <c r="N135" s="66"/>
      <c r="O135" s="65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>
      <c r="A136" s="92"/>
      <c r="B136" s="93"/>
      <c r="C136" s="93"/>
      <c r="D136" s="93"/>
      <c r="E136" s="93"/>
      <c r="F136" s="94"/>
      <c r="G136" s="93"/>
      <c r="H136" s="93"/>
      <c r="I136" s="93"/>
      <c r="J136" s="93"/>
      <c r="K136" s="94"/>
      <c r="L136" s="93"/>
      <c r="M136" s="94"/>
      <c r="N136" s="93"/>
      <c r="O136" s="94"/>
      <c r="P136" s="93"/>
      <c r="Q136" s="93"/>
      <c r="R136" s="93"/>
      <c r="S136" s="93"/>
      <c r="T136" s="93"/>
      <c r="U136" s="93"/>
      <c r="V136" s="93"/>
      <c r="W136" s="93"/>
      <c r="X136" s="93"/>
      <c r="Y136" s="93"/>
    </row>
    <row r="137">
      <c r="A137" s="92"/>
      <c r="B137" s="93"/>
      <c r="C137" s="93"/>
      <c r="D137" s="93"/>
      <c r="E137" s="93"/>
      <c r="F137" s="94"/>
      <c r="G137" s="93"/>
      <c r="H137" s="93"/>
      <c r="I137" s="93"/>
      <c r="J137" s="93"/>
      <c r="K137" s="94"/>
      <c r="L137" s="93"/>
      <c r="M137" s="94"/>
      <c r="N137" s="93"/>
      <c r="O137" s="94"/>
      <c r="P137" s="93"/>
      <c r="Q137" s="93"/>
      <c r="R137" s="93"/>
      <c r="S137" s="93"/>
      <c r="T137" s="93"/>
      <c r="U137" s="93"/>
      <c r="V137" s="93"/>
      <c r="W137" s="93"/>
      <c r="X137" s="93"/>
      <c r="Y137" s="93"/>
    </row>
    <row r="138">
      <c r="A138" s="63">
        <v>45415.0</v>
      </c>
      <c r="B138" s="62">
        <v>213.16</v>
      </c>
      <c r="C138" s="17" t="s">
        <v>154</v>
      </c>
      <c r="D138" s="17" t="s">
        <v>146</v>
      </c>
      <c r="E138" s="18"/>
      <c r="F138" s="64" t="s">
        <v>155</v>
      </c>
      <c r="G138" s="66"/>
      <c r="H138" s="18"/>
      <c r="I138" s="18"/>
      <c r="J138" s="18"/>
      <c r="K138" s="65"/>
      <c r="L138" s="66"/>
      <c r="M138" s="65"/>
      <c r="N138" s="66"/>
      <c r="O138" s="65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>
      <c r="A139" s="63">
        <v>45423.0</v>
      </c>
      <c r="B139" s="66"/>
      <c r="C139" s="18"/>
      <c r="D139" s="18"/>
      <c r="E139" s="18"/>
      <c r="F139" s="65"/>
      <c r="G139" s="66"/>
      <c r="H139" s="18"/>
      <c r="I139" s="18"/>
      <c r="J139" s="18"/>
      <c r="K139" s="65"/>
      <c r="L139" s="62">
        <v>1000.0</v>
      </c>
      <c r="M139" s="65"/>
      <c r="N139" s="66"/>
      <c r="O139" s="65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>
      <c r="A140" s="63">
        <v>45425.0</v>
      </c>
      <c r="B140" s="66"/>
      <c r="C140" s="18"/>
      <c r="D140" s="18"/>
      <c r="E140" s="18"/>
      <c r="F140" s="65"/>
      <c r="G140" s="66"/>
      <c r="H140" s="18"/>
      <c r="I140" s="18"/>
      <c r="J140" s="18"/>
      <c r="K140" s="65"/>
      <c r="L140" s="62">
        <v>990.0</v>
      </c>
      <c r="M140" s="65"/>
      <c r="N140" s="66"/>
      <c r="O140" s="65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>
      <c r="A141" s="63">
        <v>45432.0</v>
      </c>
      <c r="B141" s="62">
        <v>3912.0</v>
      </c>
      <c r="C141" s="17" t="s">
        <v>154</v>
      </c>
      <c r="D141" s="17" t="s">
        <v>141</v>
      </c>
      <c r="E141" s="18"/>
      <c r="F141" s="64" t="s">
        <v>155</v>
      </c>
      <c r="G141" s="66"/>
      <c r="H141" s="18"/>
      <c r="I141" s="18"/>
      <c r="J141" s="18"/>
      <c r="K141" s="65"/>
      <c r="L141" s="62">
        <v>1000.0</v>
      </c>
      <c r="M141" s="65"/>
      <c r="N141" s="66"/>
      <c r="O141" s="65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>
      <c r="A142" s="67"/>
      <c r="B142" s="62">
        <v>0.51</v>
      </c>
      <c r="C142" s="17" t="s">
        <v>154</v>
      </c>
      <c r="D142" s="17" t="s">
        <v>139</v>
      </c>
      <c r="E142" s="18"/>
      <c r="F142" s="64" t="s">
        <v>155</v>
      </c>
      <c r="G142" s="66"/>
      <c r="H142" s="18"/>
      <c r="I142" s="18"/>
      <c r="J142" s="18"/>
      <c r="K142" s="65"/>
      <c r="L142" s="62">
        <v>5500.0</v>
      </c>
      <c r="M142" s="65"/>
      <c r="N142" s="66"/>
      <c r="O142" s="65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>
      <c r="A143" s="67"/>
      <c r="B143" s="45">
        <v>222.0</v>
      </c>
      <c r="C143" s="17" t="s">
        <v>154</v>
      </c>
      <c r="D143" s="17" t="s">
        <v>141</v>
      </c>
      <c r="E143" s="18"/>
      <c r="F143" s="64" t="s">
        <v>155</v>
      </c>
      <c r="G143" s="66"/>
      <c r="H143" s="18"/>
      <c r="I143" s="18"/>
      <c r="J143" s="18"/>
      <c r="K143" s="65"/>
      <c r="L143" s="62">
        <v>1100.0</v>
      </c>
      <c r="M143" s="65"/>
      <c r="N143" s="66"/>
      <c r="O143" s="65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>
      <c r="A144" s="67"/>
      <c r="B144" s="62">
        <v>0.51</v>
      </c>
      <c r="C144" s="17" t="s">
        <v>154</v>
      </c>
      <c r="D144" s="17" t="s">
        <v>139</v>
      </c>
      <c r="E144" s="18"/>
      <c r="F144" s="64" t="s">
        <v>155</v>
      </c>
      <c r="G144" s="66"/>
      <c r="H144" s="18"/>
      <c r="I144" s="18"/>
      <c r="J144" s="18"/>
      <c r="K144" s="65"/>
      <c r="L144" s="66"/>
      <c r="M144" s="65"/>
      <c r="N144" s="66"/>
      <c r="O144" s="65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>
      <c r="A145" s="67"/>
      <c r="B145" s="45">
        <v>287.0</v>
      </c>
      <c r="C145" s="17" t="s">
        <v>154</v>
      </c>
      <c r="D145" s="17" t="s">
        <v>212</v>
      </c>
      <c r="E145" s="46"/>
      <c r="F145" s="64" t="s">
        <v>155</v>
      </c>
      <c r="G145" s="66"/>
      <c r="H145" s="18"/>
      <c r="I145" s="18"/>
      <c r="J145" s="18"/>
      <c r="K145" s="65"/>
      <c r="L145" s="66"/>
      <c r="M145" s="65"/>
      <c r="N145" s="66"/>
      <c r="O145" s="65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>
      <c r="A146" s="67"/>
      <c r="B146" s="62">
        <v>0.51</v>
      </c>
      <c r="C146" s="17" t="s">
        <v>154</v>
      </c>
      <c r="D146" s="17" t="s">
        <v>139</v>
      </c>
      <c r="E146" s="18"/>
      <c r="F146" s="64" t="s">
        <v>155</v>
      </c>
      <c r="G146" s="66"/>
      <c r="H146" s="18"/>
      <c r="I146" s="18"/>
      <c r="J146" s="18"/>
      <c r="K146" s="65"/>
      <c r="L146" s="66"/>
      <c r="M146" s="65"/>
      <c r="N146" s="66"/>
      <c r="O146" s="65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>
      <c r="A147" s="67"/>
      <c r="B147" s="45">
        <v>33.0</v>
      </c>
      <c r="C147" s="17" t="s">
        <v>154</v>
      </c>
      <c r="D147" s="17" t="s">
        <v>143</v>
      </c>
      <c r="E147" s="46"/>
      <c r="F147" s="64" t="s">
        <v>155</v>
      </c>
      <c r="G147" s="66"/>
      <c r="H147" s="18"/>
      <c r="I147" s="18"/>
      <c r="J147" s="18"/>
      <c r="K147" s="65"/>
      <c r="L147" s="66"/>
      <c r="M147" s="65"/>
      <c r="N147" s="66"/>
      <c r="O147" s="65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>
      <c r="A148" s="67"/>
      <c r="B148" s="62">
        <v>0.51</v>
      </c>
      <c r="C148" s="17" t="s">
        <v>154</v>
      </c>
      <c r="D148" s="17" t="s">
        <v>139</v>
      </c>
      <c r="E148" s="18"/>
      <c r="F148" s="64" t="s">
        <v>155</v>
      </c>
      <c r="G148" s="66"/>
      <c r="H148" s="18"/>
      <c r="I148" s="18"/>
      <c r="J148" s="18"/>
      <c r="K148" s="65"/>
      <c r="L148" s="66"/>
      <c r="M148" s="65"/>
      <c r="N148" s="66"/>
      <c r="O148" s="65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>
      <c r="A149" s="63">
        <v>45435.0</v>
      </c>
      <c r="B149" s="45">
        <v>99.99</v>
      </c>
      <c r="C149" s="17" t="s">
        <v>154</v>
      </c>
      <c r="D149" s="17" t="s">
        <v>146</v>
      </c>
      <c r="E149" s="18"/>
      <c r="F149" s="64" t="s">
        <v>155</v>
      </c>
      <c r="G149" s="66"/>
      <c r="H149" s="18"/>
      <c r="I149" s="18"/>
      <c r="J149" s="18"/>
      <c r="K149" s="65"/>
      <c r="L149" s="66"/>
      <c r="M149" s="65"/>
      <c r="N149" s="66"/>
      <c r="O149" s="65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>
      <c r="A150" s="63">
        <v>45440.0</v>
      </c>
      <c r="B150" s="45">
        <v>39.0</v>
      </c>
      <c r="C150" s="17" t="s">
        <v>154</v>
      </c>
      <c r="D150" s="17" t="s">
        <v>143</v>
      </c>
      <c r="E150" s="46"/>
      <c r="F150" s="64" t="s">
        <v>155</v>
      </c>
      <c r="G150" s="62">
        <v>1500.0</v>
      </c>
      <c r="H150" s="17" t="s">
        <v>154</v>
      </c>
      <c r="I150" s="17" t="s">
        <v>9</v>
      </c>
      <c r="J150" s="17" t="s">
        <v>401</v>
      </c>
      <c r="K150" s="64" t="s">
        <v>155</v>
      </c>
      <c r="L150" s="66"/>
      <c r="M150" s="65"/>
      <c r="N150" s="66"/>
      <c r="O150" s="65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>
      <c r="A151" s="67"/>
      <c r="B151" s="62">
        <v>0.51</v>
      </c>
      <c r="C151" s="17" t="s">
        <v>154</v>
      </c>
      <c r="D151" s="17" t="s">
        <v>139</v>
      </c>
      <c r="E151" s="18"/>
      <c r="F151" s="64" t="s">
        <v>155</v>
      </c>
      <c r="G151" s="66"/>
      <c r="H151" s="18"/>
      <c r="I151" s="18"/>
      <c r="J151" s="18"/>
      <c r="K151" s="65"/>
      <c r="L151" s="66"/>
      <c r="M151" s="65"/>
      <c r="N151" s="66"/>
      <c r="O151" s="65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>
      <c r="A152" s="63">
        <v>45443.0</v>
      </c>
      <c r="B152" s="62">
        <v>35.0</v>
      </c>
      <c r="C152" s="17" t="s">
        <v>154</v>
      </c>
      <c r="D152" s="17" t="s">
        <v>145</v>
      </c>
      <c r="E152" s="17"/>
      <c r="F152" s="64" t="s">
        <v>155</v>
      </c>
      <c r="G152" s="62">
        <v>6000.0</v>
      </c>
      <c r="H152" s="17" t="s">
        <v>154</v>
      </c>
      <c r="I152" s="17" t="s">
        <v>160</v>
      </c>
      <c r="J152" s="17" t="s">
        <v>402</v>
      </c>
      <c r="K152" s="64" t="s">
        <v>155</v>
      </c>
      <c r="L152" s="66"/>
      <c r="M152" s="65"/>
      <c r="N152" s="66"/>
      <c r="O152" s="65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>
      <c r="A153" s="92"/>
      <c r="B153" s="93"/>
      <c r="C153" s="93"/>
      <c r="D153" s="93"/>
      <c r="E153" s="93"/>
      <c r="F153" s="94"/>
      <c r="G153" s="93"/>
      <c r="H153" s="93"/>
      <c r="I153" s="93"/>
      <c r="J153" s="93"/>
      <c r="K153" s="94"/>
      <c r="L153" s="93"/>
      <c r="M153" s="94"/>
      <c r="N153" s="93"/>
      <c r="O153" s="94"/>
      <c r="P153" s="93"/>
      <c r="Q153" s="93"/>
      <c r="R153" s="93"/>
      <c r="S153" s="93"/>
      <c r="T153" s="93"/>
      <c r="U153" s="93"/>
      <c r="V153" s="93"/>
      <c r="W153" s="93"/>
      <c r="X153" s="93"/>
      <c r="Y153" s="93"/>
    </row>
    <row r="154">
      <c r="A154" s="92"/>
      <c r="B154" s="93"/>
      <c r="C154" s="93"/>
      <c r="D154" s="93"/>
      <c r="E154" s="93"/>
      <c r="F154" s="94"/>
      <c r="G154" s="93"/>
      <c r="H154" s="93"/>
      <c r="I154" s="93"/>
      <c r="J154" s="93"/>
      <c r="K154" s="94"/>
      <c r="L154" s="93"/>
      <c r="M154" s="94"/>
      <c r="N154" s="93"/>
      <c r="O154" s="94"/>
      <c r="P154" s="93"/>
      <c r="Q154" s="93"/>
      <c r="R154" s="93"/>
      <c r="S154" s="93"/>
      <c r="T154" s="93"/>
      <c r="U154" s="93"/>
      <c r="V154" s="93"/>
      <c r="W154" s="93"/>
      <c r="X154" s="93"/>
      <c r="Y154" s="93"/>
    </row>
    <row r="155">
      <c r="A155" s="63">
        <v>45446.0</v>
      </c>
      <c r="B155" s="45">
        <v>213.21</v>
      </c>
      <c r="C155" s="17" t="s">
        <v>154</v>
      </c>
      <c r="D155" s="17" t="s">
        <v>146</v>
      </c>
      <c r="E155" s="18"/>
      <c r="F155" s="64" t="s">
        <v>155</v>
      </c>
      <c r="G155" s="66"/>
      <c r="H155" s="18"/>
      <c r="I155" s="18"/>
      <c r="J155" s="18"/>
      <c r="K155" s="65"/>
      <c r="L155" s="66"/>
      <c r="M155" s="65"/>
      <c r="N155" s="66"/>
      <c r="O155" s="65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>
      <c r="A156" s="63">
        <v>45457.0</v>
      </c>
      <c r="B156" s="46"/>
      <c r="C156" s="46"/>
      <c r="D156" s="46"/>
      <c r="E156" s="46"/>
      <c r="F156" s="46"/>
      <c r="G156" s="62">
        <v>19657.0</v>
      </c>
      <c r="H156" s="17" t="s">
        <v>154</v>
      </c>
      <c r="I156" s="17" t="s">
        <v>160</v>
      </c>
      <c r="J156" s="17" t="s">
        <v>403</v>
      </c>
      <c r="K156" s="64" t="s">
        <v>155</v>
      </c>
      <c r="L156" s="66"/>
      <c r="M156" s="65"/>
      <c r="N156" s="66"/>
      <c r="O156" s="65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>
      <c r="A157" s="63">
        <v>45461.0</v>
      </c>
      <c r="B157" s="62">
        <v>24.0</v>
      </c>
      <c r="C157" s="17" t="s">
        <v>154</v>
      </c>
      <c r="D157" s="17" t="s">
        <v>138</v>
      </c>
      <c r="E157" s="17"/>
      <c r="F157" s="64" t="s">
        <v>155</v>
      </c>
      <c r="G157" s="66"/>
      <c r="H157" s="18"/>
      <c r="I157" s="18"/>
      <c r="J157" s="18"/>
      <c r="K157" s="65"/>
      <c r="L157" s="62">
        <v>6000.0</v>
      </c>
      <c r="M157" s="65"/>
      <c r="N157" s="66"/>
      <c r="O157" s="65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>
      <c r="A158" s="67"/>
      <c r="B158" s="62">
        <v>12.0</v>
      </c>
      <c r="C158" s="17" t="s">
        <v>154</v>
      </c>
      <c r="D158" s="17" t="s">
        <v>138</v>
      </c>
      <c r="E158" s="17"/>
      <c r="F158" s="64" t="s">
        <v>155</v>
      </c>
      <c r="G158" s="66"/>
      <c r="H158" s="18"/>
      <c r="I158" s="18"/>
      <c r="J158" s="18"/>
      <c r="K158" s="65"/>
      <c r="L158" s="62">
        <v>3000.0</v>
      </c>
      <c r="M158" s="65"/>
      <c r="N158" s="66"/>
      <c r="O158" s="65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>
      <c r="A159" s="67"/>
      <c r="B159" s="45">
        <v>788.0</v>
      </c>
      <c r="C159" s="17" t="s">
        <v>154</v>
      </c>
      <c r="D159" s="17" t="s">
        <v>212</v>
      </c>
      <c r="E159" s="46"/>
      <c r="F159" s="64" t="s">
        <v>155</v>
      </c>
      <c r="G159" s="66"/>
      <c r="H159" s="18"/>
      <c r="I159" s="18"/>
      <c r="J159" s="18"/>
      <c r="K159" s="65"/>
      <c r="L159" s="66"/>
      <c r="M159" s="65"/>
      <c r="N159" s="66"/>
      <c r="O159" s="65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>
      <c r="A160" s="63">
        <v>45462.0</v>
      </c>
      <c r="B160" s="62">
        <v>0.51</v>
      </c>
      <c r="C160" s="17" t="s">
        <v>154</v>
      </c>
      <c r="D160" s="17" t="s">
        <v>139</v>
      </c>
      <c r="E160" s="18"/>
      <c r="F160" s="64" t="s">
        <v>155</v>
      </c>
      <c r="G160" s="62">
        <v>16920.0</v>
      </c>
      <c r="H160" s="17" t="s">
        <v>154</v>
      </c>
      <c r="I160" s="17" t="s">
        <v>160</v>
      </c>
      <c r="J160" s="17" t="s">
        <v>241</v>
      </c>
      <c r="K160" s="64" t="s">
        <v>155</v>
      </c>
      <c r="L160" s="66"/>
      <c r="M160" s="65"/>
      <c r="N160" s="66"/>
      <c r="O160" s="65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>
      <c r="A161" s="67"/>
      <c r="B161" s="62">
        <v>39.0</v>
      </c>
      <c r="C161" s="17" t="s">
        <v>154</v>
      </c>
      <c r="D161" s="17" t="s">
        <v>143</v>
      </c>
      <c r="E161" s="46"/>
      <c r="F161" s="64" t="s">
        <v>155</v>
      </c>
      <c r="G161" s="66"/>
      <c r="H161" s="18"/>
      <c r="I161" s="18"/>
      <c r="J161" s="18"/>
      <c r="K161" s="65"/>
      <c r="L161" s="66"/>
      <c r="M161" s="65"/>
      <c r="N161" s="66"/>
      <c r="O161" s="65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>
      <c r="A162" s="67"/>
      <c r="B162" s="62">
        <v>0.51</v>
      </c>
      <c r="C162" s="17" t="s">
        <v>154</v>
      </c>
      <c r="D162" s="17" t="s">
        <v>139</v>
      </c>
      <c r="E162" s="18"/>
      <c r="F162" s="64" t="s">
        <v>155</v>
      </c>
      <c r="G162" s="66"/>
      <c r="H162" s="18"/>
      <c r="I162" s="18"/>
      <c r="J162" s="18"/>
      <c r="K162" s="65"/>
      <c r="L162" s="66"/>
      <c r="M162" s="65"/>
      <c r="N162" s="66"/>
      <c r="O162" s="65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>
      <c r="A163" s="63">
        <v>45463.0</v>
      </c>
      <c r="B163" s="62">
        <v>4700.0</v>
      </c>
      <c r="C163" s="17" t="s">
        <v>154</v>
      </c>
      <c r="D163" s="17" t="s">
        <v>113</v>
      </c>
      <c r="E163" s="17" t="s">
        <v>404</v>
      </c>
      <c r="F163" s="64" t="s">
        <v>149</v>
      </c>
      <c r="G163" s="62">
        <v>3550.0</v>
      </c>
      <c r="H163" s="17" t="s">
        <v>204</v>
      </c>
      <c r="I163" s="17" t="s">
        <v>160</v>
      </c>
      <c r="J163" s="17" t="s">
        <v>405</v>
      </c>
      <c r="K163" s="64" t="s">
        <v>149</v>
      </c>
      <c r="L163" s="62">
        <v>2000.0</v>
      </c>
      <c r="M163" s="65"/>
      <c r="N163" s="66"/>
      <c r="O163" s="65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>
      <c r="A164" s="67"/>
      <c r="B164" s="62">
        <v>4700.0</v>
      </c>
      <c r="C164" s="17" t="s">
        <v>154</v>
      </c>
      <c r="D164" s="17" t="s">
        <v>112</v>
      </c>
      <c r="E164" s="17" t="s">
        <v>406</v>
      </c>
      <c r="F164" s="64" t="s">
        <v>149</v>
      </c>
      <c r="G164" s="62">
        <v>3850.0</v>
      </c>
      <c r="H164" s="17" t="s">
        <v>204</v>
      </c>
      <c r="I164" s="17" t="s">
        <v>160</v>
      </c>
      <c r="J164" s="17" t="s">
        <v>407</v>
      </c>
      <c r="K164" s="64" t="s">
        <v>149</v>
      </c>
      <c r="L164" s="66"/>
      <c r="M164" s="65"/>
      <c r="N164" s="66"/>
      <c r="O164" s="65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>
      <c r="A165" s="67"/>
      <c r="B165" s="62">
        <v>4100.0</v>
      </c>
      <c r="C165" s="17" t="s">
        <v>154</v>
      </c>
      <c r="D165" s="17" t="s">
        <v>111</v>
      </c>
      <c r="E165" s="17" t="s">
        <v>408</v>
      </c>
      <c r="F165" s="64" t="s">
        <v>149</v>
      </c>
      <c r="G165" s="66"/>
      <c r="H165" s="18"/>
      <c r="I165" s="18"/>
      <c r="J165" s="18"/>
      <c r="K165" s="65"/>
      <c r="L165" s="66"/>
      <c r="M165" s="65"/>
      <c r="N165" s="66"/>
      <c r="O165" s="65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>
      <c r="A166" s="67"/>
      <c r="B166" s="62">
        <v>4100.0</v>
      </c>
      <c r="C166" s="17" t="s">
        <v>154</v>
      </c>
      <c r="D166" s="17" t="s">
        <v>110</v>
      </c>
      <c r="E166" s="17" t="s">
        <v>409</v>
      </c>
      <c r="F166" s="64" t="s">
        <v>149</v>
      </c>
      <c r="G166" s="66"/>
      <c r="H166" s="18"/>
      <c r="I166" s="18"/>
      <c r="J166" s="18"/>
      <c r="K166" s="65"/>
      <c r="L166" s="66"/>
      <c r="M166" s="65"/>
      <c r="N166" s="66"/>
      <c r="O166" s="65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>
      <c r="A167" s="67"/>
      <c r="B167" s="62">
        <v>4100.0</v>
      </c>
      <c r="C167" s="17" t="s">
        <v>154</v>
      </c>
      <c r="D167" s="17" t="s">
        <v>109</v>
      </c>
      <c r="E167" s="17" t="s">
        <v>410</v>
      </c>
      <c r="F167" s="64" t="s">
        <v>149</v>
      </c>
      <c r="G167" s="66"/>
      <c r="H167" s="18"/>
      <c r="I167" s="18"/>
      <c r="J167" s="18"/>
      <c r="K167" s="65"/>
      <c r="L167" s="66"/>
      <c r="M167" s="65"/>
      <c r="N167" s="66"/>
      <c r="O167" s="65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>
      <c r="A168" s="67"/>
      <c r="B168" s="62">
        <v>500.0</v>
      </c>
      <c r="C168" s="17" t="s">
        <v>204</v>
      </c>
      <c r="D168" s="17" t="s">
        <v>113</v>
      </c>
      <c r="E168" s="17" t="s">
        <v>411</v>
      </c>
      <c r="F168" s="64" t="s">
        <v>149</v>
      </c>
      <c r="G168" s="66"/>
      <c r="H168" s="18"/>
      <c r="I168" s="18"/>
      <c r="J168" s="18"/>
      <c r="K168" s="65"/>
      <c r="L168" s="66"/>
      <c r="M168" s="65"/>
      <c r="N168" s="66"/>
      <c r="O168" s="65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>
      <c r="A169" s="67"/>
      <c r="B169" s="62">
        <v>500.0</v>
      </c>
      <c r="C169" s="17" t="s">
        <v>204</v>
      </c>
      <c r="D169" s="17" t="s">
        <v>112</v>
      </c>
      <c r="E169" s="17" t="s">
        <v>411</v>
      </c>
      <c r="F169" s="64" t="s">
        <v>149</v>
      </c>
      <c r="G169" s="66"/>
      <c r="H169" s="18"/>
      <c r="I169" s="18"/>
      <c r="J169" s="18"/>
      <c r="K169" s="65"/>
      <c r="L169" s="66"/>
      <c r="M169" s="65"/>
      <c r="N169" s="66"/>
      <c r="O169" s="65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>
      <c r="A170" s="67"/>
      <c r="B170" s="62">
        <v>500.0</v>
      </c>
      <c r="C170" s="17" t="s">
        <v>204</v>
      </c>
      <c r="D170" s="17" t="s">
        <v>111</v>
      </c>
      <c r="E170" s="17" t="s">
        <v>411</v>
      </c>
      <c r="F170" s="64" t="s">
        <v>149</v>
      </c>
      <c r="G170" s="66"/>
      <c r="H170" s="18"/>
      <c r="I170" s="18"/>
      <c r="J170" s="18"/>
      <c r="K170" s="65"/>
      <c r="L170" s="66"/>
      <c r="M170" s="65"/>
      <c r="N170" s="66"/>
      <c r="O170" s="65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>
      <c r="A171" s="67"/>
      <c r="B171" s="62">
        <v>500.0</v>
      </c>
      <c r="C171" s="17" t="s">
        <v>204</v>
      </c>
      <c r="D171" s="17" t="s">
        <v>110</v>
      </c>
      <c r="E171" s="17" t="s">
        <v>411</v>
      </c>
      <c r="F171" s="64" t="s">
        <v>149</v>
      </c>
      <c r="G171" s="66"/>
      <c r="H171" s="18"/>
      <c r="I171" s="18"/>
      <c r="J171" s="18"/>
      <c r="K171" s="65"/>
      <c r="L171" s="66"/>
      <c r="M171" s="65"/>
      <c r="N171" s="66"/>
      <c r="O171" s="65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>
      <c r="A172" s="67"/>
      <c r="B172" s="62">
        <v>500.0</v>
      </c>
      <c r="C172" s="17" t="s">
        <v>204</v>
      </c>
      <c r="D172" s="17" t="s">
        <v>109</v>
      </c>
      <c r="E172" s="17" t="s">
        <v>411</v>
      </c>
      <c r="F172" s="64" t="s">
        <v>149</v>
      </c>
      <c r="G172" s="66"/>
      <c r="H172" s="18"/>
      <c r="I172" s="18"/>
      <c r="J172" s="18"/>
      <c r="K172" s="65"/>
      <c r="L172" s="66"/>
      <c r="M172" s="65"/>
      <c r="N172" s="66"/>
      <c r="O172" s="65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>
      <c r="A173" s="67"/>
      <c r="B173" s="62">
        <v>500.0</v>
      </c>
      <c r="C173" s="17" t="s">
        <v>204</v>
      </c>
      <c r="D173" s="17" t="s">
        <v>113</v>
      </c>
      <c r="E173" s="17" t="s">
        <v>412</v>
      </c>
      <c r="F173" s="64" t="s">
        <v>149</v>
      </c>
      <c r="G173" s="66"/>
      <c r="H173" s="18"/>
      <c r="I173" s="18"/>
      <c r="J173" s="18"/>
      <c r="K173" s="65"/>
      <c r="L173" s="66"/>
      <c r="M173" s="65"/>
      <c r="N173" s="66"/>
      <c r="O173" s="65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>
      <c r="A174" s="67"/>
      <c r="B174" s="62">
        <v>500.0</v>
      </c>
      <c r="C174" s="17" t="s">
        <v>204</v>
      </c>
      <c r="D174" s="17" t="s">
        <v>112</v>
      </c>
      <c r="E174" s="17" t="s">
        <v>412</v>
      </c>
      <c r="F174" s="64" t="s">
        <v>149</v>
      </c>
      <c r="G174" s="66"/>
      <c r="H174" s="18"/>
      <c r="I174" s="18"/>
      <c r="J174" s="18"/>
      <c r="K174" s="65"/>
      <c r="L174" s="66"/>
      <c r="M174" s="65"/>
      <c r="N174" s="66"/>
      <c r="O174" s="65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>
      <c r="A175" s="67"/>
      <c r="B175" s="62">
        <v>500.0</v>
      </c>
      <c r="C175" s="17" t="s">
        <v>204</v>
      </c>
      <c r="D175" s="17" t="s">
        <v>111</v>
      </c>
      <c r="E175" s="17" t="s">
        <v>412</v>
      </c>
      <c r="F175" s="64" t="s">
        <v>149</v>
      </c>
      <c r="G175" s="66"/>
      <c r="H175" s="18"/>
      <c r="I175" s="18"/>
      <c r="J175" s="18"/>
      <c r="K175" s="65"/>
      <c r="L175" s="66"/>
      <c r="M175" s="65"/>
      <c r="N175" s="66"/>
      <c r="O175" s="65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>
      <c r="A176" s="67"/>
      <c r="B176" s="62">
        <v>500.0</v>
      </c>
      <c r="C176" s="17" t="s">
        <v>204</v>
      </c>
      <c r="D176" s="17" t="s">
        <v>110</v>
      </c>
      <c r="E176" s="17" t="s">
        <v>412</v>
      </c>
      <c r="F176" s="64" t="s">
        <v>149</v>
      </c>
      <c r="G176" s="66"/>
      <c r="H176" s="18"/>
      <c r="I176" s="18"/>
      <c r="J176" s="18"/>
      <c r="K176" s="65"/>
      <c r="L176" s="66"/>
      <c r="M176" s="65"/>
      <c r="N176" s="66"/>
      <c r="O176" s="65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>
      <c r="A177" s="67"/>
      <c r="B177" s="62">
        <v>500.0</v>
      </c>
      <c r="C177" s="17" t="s">
        <v>204</v>
      </c>
      <c r="D177" s="17" t="s">
        <v>109</v>
      </c>
      <c r="E177" s="17" t="s">
        <v>412</v>
      </c>
      <c r="F177" s="64" t="s">
        <v>149</v>
      </c>
      <c r="G177" s="66"/>
      <c r="H177" s="18"/>
      <c r="I177" s="18"/>
      <c r="J177" s="18"/>
      <c r="K177" s="65"/>
      <c r="L177" s="66"/>
      <c r="M177" s="65"/>
      <c r="N177" s="66"/>
      <c r="O177" s="65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>
      <c r="A178" s="67"/>
      <c r="B178" s="62">
        <v>2000.0</v>
      </c>
      <c r="C178" s="17" t="s">
        <v>154</v>
      </c>
      <c r="D178" s="17" t="s">
        <v>157</v>
      </c>
      <c r="E178" s="17" t="s">
        <v>413</v>
      </c>
      <c r="F178" s="64" t="s">
        <v>149</v>
      </c>
      <c r="G178" s="66"/>
      <c r="H178" s="18"/>
      <c r="I178" s="18"/>
      <c r="J178" s="18"/>
      <c r="K178" s="65"/>
      <c r="L178" s="66"/>
      <c r="M178" s="65"/>
      <c r="N178" s="66"/>
      <c r="O178" s="65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>
      <c r="A179" s="67"/>
      <c r="B179" s="62">
        <v>9500.0</v>
      </c>
      <c r="C179" s="17" t="s">
        <v>154</v>
      </c>
      <c r="D179" s="17" t="s">
        <v>414</v>
      </c>
      <c r="E179" s="18"/>
      <c r="F179" s="64" t="s">
        <v>149</v>
      </c>
      <c r="G179" s="66"/>
      <c r="H179" s="18"/>
      <c r="I179" s="18"/>
      <c r="J179" s="18"/>
      <c r="K179" s="65"/>
      <c r="L179" s="66"/>
      <c r="M179" s="65"/>
      <c r="N179" s="66"/>
      <c r="O179" s="65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>
      <c r="A180" s="67"/>
      <c r="B180" s="62">
        <v>10000.0</v>
      </c>
      <c r="C180" s="17" t="s">
        <v>154</v>
      </c>
      <c r="D180" s="17" t="s">
        <v>24</v>
      </c>
      <c r="E180" s="17" t="s">
        <v>415</v>
      </c>
      <c r="F180" s="64" t="s">
        <v>149</v>
      </c>
      <c r="G180" s="66"/>
      <c r="H180" s="18"/>
      <c r="I180" s="18"/>
      <c r="J180" s="18"/>
      <c r="K180" s="65"/>
      <c r="L180" s="66"/>
      <c r="M180" s="65"/>
      <c r="N180" s="66"/>
      <c r="O180" s="65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>
      <c r="A181" s="67"/>
      <c r="B181" s="62">
        <v>500.0</v>
      </c>
      <c r="C181" s="17" t="s">
        <v>204</v>
      </c>
      <c r="D181" s="17" t="s">
        <v>24</v>
      </c>
      <c r="E181" s="17" t="s">
        <v>415</v>
      </c>
      <c r="F181" s="64" t="s">
        <v>149</v>
      </c>
      <c r="G181" s="66"/>
      <c r="H181" s="18"/>
      <c r="I181" s="18"/>
      <c r="J181" s="18"/>
      <c r="K181" s="65"/>
      <c r="L181" s="66"/>
      <c r="M181" s="65"/>
      <c r="N181" s="66"/>
      <c r="O181" s="65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>
      <c r="A182" s="67"/>
      <c r="B182" s="62">
        <v>350.0</v>
      </c>
      <c r="C182" s="17" t="s">
        <v>204</v>
      </c>
      <c r="D182" s="17" t="s">
        <v>26</v>
      </c>
      <c r="E182" s="17" t="s">
        <v>411</v>
      </c>
      <c r="F182" s="64" t="s">
        <v>149</v>
      </c>
      <c r="G182" s="66"/>
      <c r="H182" s="18"/>
      <c r="I182" s="18"/>
      <c r="J182" s="18"/>
      <c r="K182" s="65"/>
      <c r="L182" s="66"/>
      <c r="M182" s="65"/>
      <c r="N182" s="66"/>
      <c r="O182" s="65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>
      <c r="A183" s="67"/>
      <c r="B183" s="62">
        <v>450.0</v>
      </c>
      <c r="C183" s="17" t="s">
        <v>204</v>
      </c>
      <c r="D183" s="17" t="s">
        <v>27</v>
      </c>
      <c r="E183" s="17" t="s">
        <v>411</v>
      </c>
      <c r="F183" s="64" t="s">
        <v>149</v>
      </c>
      <c r="G183" s="66"/>
      <c r="H183" s="18"/>
      <c r="I183" s="18"/>
      <c r="J183" s="18"/>
      <c r="K183" s="65"/>
      <c r="L183" s="66"/>
      <c r="M183" s="65"/>
      <c r="N183" s="66"/>
      <c r="O183" s="65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>
      <c r="A184" s="67"/>
      <c r="B184" s="17">
        <v>16300.0</v>
      </c>
      <c r="C184" s="17" t="s">
        <v>154</v>
      </c>
      <c r="D184" s="17" t="s">
        <v>22</v>
      </c>
      <c r="E184" s="17" t="s">
        <v>416</v>
      </c>
      <c r="F184" s="64" t="s">
        <v>155</v>
      </c>
      <c r="G184" s="66"/>
      <c r="H184" s="18"/>
      <c r="I184" s="18"/>
      <c r="J184" s="18"/>
      <c r="K184" s="65"/>
      <c r="L184" s="66"/>
      <c r="M184" s="65"/>
      <c r="N184" s="66"/>
      <c r="O184" s="65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>
      <c r="A185" s="67"/>
      <c r="B185" s="17">
        <v>8.0</v>
      </c>
      <c r="C185" s="17" t="s">
        <v>154</v>
      </c>
      <c r="D185" s="17" t="s">
        <v>138</v>
      </c>
      <c r="E185" s="17"/>
      <c r="F185" s="64" t="s">
        <v>155</v>
      </c>
      <c r="G185" s="66"/>
      <c r="H185" s="18"/>
      <c r="I185" s="18"/>
      <c r="J185" s="18"/>
      <c r="K185" s="65"/>
      <c r="L185" s="66"/>
      <c r="M185" s="65"/>
      <c r="N185" s="66"/>
      <c r="O185" s="65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>
      <c r="A186" s="67"/>
      <c r="B186" s="62">
        <v>0.45</v>
      </c>
      <c r="C186" s="17" t="s">
        <v>154</v>
      </c>
      <c r="D186" s="17" t="s">
        <v>139</v>
      </c>
      <c r="E186" s="18"/>
      <c r="F186" s="64" t="s">
        <v>155</v>
      </c>
      <c r="G186" s="66"/>
      <c r="H186" s="18"/>
      <c r="I186" s="18"/>
      <c r="J186" s="18"/>
      <c r="K186" s="65"/>
      <c r="L186" s="66"/>
      <c r="M186" s="65"/>
      <c r="N186" s="66"/>
      <c r="O186" s="65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>
      <c r="A187" s="63">
        <v>45464.0</v>
      </c>
      <c r="B187" s="17">
        <v>2000.0</v>
      </c>
      <c r="C187" s="17" t="s">
        <v>154</v>
      </c>
      <c r="D187" s="17" t="s">
        <v>109</v>
      </c>
      <c r="E187" s="17" t="s">
        <v>403</v>
      </c>
      <c r="F187" s="64" t="s">
        <v>149</v>
      </c>
      <c r="G187" s="62"/>
      <c r="H187" s="17"/>
      <c r="I187" s="17"/>
      <c r="J187" s="17"/>
      <c r="K187" s="64"/>
      <c r="L187" s="66"/>
      <c r="M187" s="65"/>
      <c r="N187" s="66"/>
      <c r="O187" s="65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>
      <c r="A188" s="67"/>
      <c r="B188" s="17">
        <v>2000.0</v>
      </c>
      <c r="C188" s="17" t="s">
        <v>154</v>
      </c>
      <c r="D188" s="17" t="s">
        <v>113</v>
      </c>
      <c r="E188" s="17" t="s">
        <v>403</v>
      </c>
      <c r="F188" s="64" t="s">
        <v>149</v>
      </c>
      <c r="G188" s="66"/>
      <c r="H188" s="18"/>
      <c r="I188" s="18"/>
      <c r="J188" s="18"/>
      <c r="K188" s="65"/>
      <c r="L188" s="66"/>
      <c r="M188" s="65"/>
      <c r="N188" s="66"/>
      <c r="O188" s="65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>
      <c r="A189" s="67"/>
      <c r="B189" s="17">
        <v>2000.0</v>
      </c>
      <c r="C189" s="17" t="s">
        <v>154</v>
      </c>
      <c r="D189" s="17" t="s">
        <v>112</v>
      </c>
      <c r="E189" s="17" t="s">
        <v>403</v>
      </c>
      <c r="F189" s="64" t="s">
        <v>149</v>
      </c>
      <c r="G189" s="66"/>
      <c r="H189" s="18"/>
      <c r="I189" s="18"/>
      <c r="J189" s="18"/>
      <c r="K189" s="65"/>
      <c r="L189" s="66"/>
      <c r="M189" s="65"/>
      <c r="N189" s="66"/>
      <c r="O189" s="65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>
      <c r="A190" s="67"/>
      <c r="B190" s="17">
        <v>2000.0</v>
      </c>
      <c r="C190" s="17" t="s">
        <v>154</v>
      </c>
      <c r="D190" s="17" t="s">
        <v>111</v>
      </c>
      <c r="E190" s="17" t="s">
        <v>403</v>
      </c>
      <c r="F190" s="64" t="s">
        <v>149</v>
      </c>
      <c r="G190" s="66"/>
      <c r="H190" s="18"/>
      <c r="I190" s="18"/>
      <c r="J190" s="18"/>
      <c r="K190" s="65"/>
      <c r="L190" s="66"/>
      <c r="M190" s="65"/>
      <c r="N190" s="66"/>
      <c r="O190" s="65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>
      <c r="A191" s="67"/>
      <c r="B191" s="17">
        <v>2000.0</v>
      </c>
      <c r="C191" s="17" t="s">
        <v>154</v>
      </c>
      <c r="D191" s="17" t="s">
        <v>110</v>
      </c>
      <c r="E191" s="17" t="s">
        <v>403</v>
      </c>
      <c r="F191" s="64" t="s">
        <v>149</v>
      </c>
      <c r="G191" s="66"/>
      <c r="H191" s="18"/>
      <c r="I191" s="18"/>
      <c r="J191" s="18"/>
      <c r="K191" s="65"/>
      <c r="L191" s="66"/>
      <c r="M191" s="65"/>
      <c r="N191" s="66"/>
      <c r="O191" s="65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>
      <c r="A192" s="67"/>
      <c r="B192" s="17">
        <v>2000.0</v>
      </c>
      <c r="C192" s="17" t="s">
        <v>154</v>
      </c>
      <c r="D192" s="17" t="s">
        <v>109</v>
      </c>
      <c r="E192" s="17" t="s">
        <v>417</v>
      </c>
      <c r="F192" s="64" t="s">
        <v>149</v>
      </c>
      <c r="G192" s="66"/>
      <c r="H192" s="18"/>
      <c r="I192" s="18"/>
      <c r="J192" s="18"/>
      <c r="K192" s="65"/>
      <c r="L192" s="66"/>
      <c r="M192" s="65"/>
      <c r="N192" s="66"/>
      <c r="O192" s="65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>
      <c r="A193" s="67"/>
      <c r="B193" s="17">
        <v>2000.0</v>
      </c>
      <c r="C193" s="17" t="s">
        <v>154</v>
      </c>
      <c r="D193" s="17" t="s">
        <v>113</v>
      </c>
      <c r="E193" s="17" t="s">
        <v>417</v>
      </c>
      <c r="F193" s="64" t="s">
        <v>149</v>
      </c>
      <c r="G193" s="66"/>
      <c r="H193" s="18"/>
      <c r="I193" s="18"/>
      <c r="J193" s="18"/>
      <c r="K193" s="65"/>
      <c r="L193" s="66"/>
      <c r="M193" s="65"/>
      <c r="N193" s="66"/>
      <c r="O193" s="65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>
      <c r="A194" s="67"/>
      <c r="B194" s="17">
        <v>2000.0</v>
      </c>
      <c r="C194" s="17" t="s">
        <v>154</v>
      </c>
      <c r="D194" s="17" t="s">
        <v>112</v>
      </c>
      <c r="E194" s="17" t="s">
        <v>417</v>
      </c>
      <c r="F194" s="64" t="s">
        <v>149</v>
      </c>
      <c r="G194" s="66"/>
      <c r="H194" s="18"/>
      <c r="I194" s="18"/>
      <c r="J194" s="18"/>
      <c r="K194" s="65"/>
      <c r="L194" s="66"/>
      <c r="M194" s="65"/>
      <c r="N194" s="66"/>
      <c r="O194" s="65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>
      <c r="A195" s="67"/>
      <c r="B195" s="17">
        <v>2000.0</v>
      </c>
      <c r="C195" s="17" t="s">
        <v>154</v>
      </c>
      <c r="D195" s="17" t="s">
        <v>111</v>
      </c>
      <c r="E195" s="17" t="s">
        <v>417</v>
      </c>
      <c r="F195" s="64" t="s">
        <v>149</v>
      </c>
      <c r="G195" s="66"/>
      <c r="H195" s="18"/>
      <c r="I195" s="18"/>
      <c r="J195" s="18"/>
      <c r="K195" s="65"/>
      <c r="L195" s="66"/>
      <c r="M195" s="65"/>
      <c r="N195" s="66"/>
      <c r="O195" s="65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>
      <c r="A196" s="67"/>
      <c r="B196" s="17">
        <v>2000.0</v>
      </c>
      <c r="C196" s="17" t="s">
        <v>154</v>
      </c>
      <c r="D196" s="17" t="s">
        <v>110</v>
      </c>
      <c r="E196" s="17" t="s">
        <v>417</v>
      </c>
      <c r="F196" s="64" t="s">
        <v>149</v>
      </c>
      <c r="G196" s="66"/>
      <c r="H196" s="18"/>
      <c r="I196" s="18"/>
      <c r="J196" s="18"/>
      <c r="K196" s="65"/>
      <c r="L196" s="66"/>
      <c r="M196" s="65"/>
      <c r="N196" s="66"/>
      <c r="O196" s="65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>
      <c r="A197" s="63">
        <v>45465.0</v>
      </c>
      <c r="B197" s="17">
        <v>1000.0</v>
      </c>
      <c r="C197" s="17" t="s">
        <v>154</v>
      </c>
      <c r="D197" s="17" t="s">
        <v>109</v>
      </c>
      <c r="E197" s="17" t="s">
        <v>418</v>
      </c>
      <c r="F197" s="64" t="s">
        <v>149</v>
      </c>
      <c r="G197" s="62">
        <v>4000.0</v>
      </c>
      <c r="H197" s="17" t="s">
        <v>154</v>
      </c>
      <c r="I197" s="17" t="s">
        <v>160</v>
      </c>
      <c r="J197" s="17" t="s">
        <v>419</v>
      </c>
      <c r="K197" s="64" t="s">
        <v>155</v>
      </c>
      <c r="L197" s="66"/>
      <c r="M197" s="65"/>
      <c r="N197" s="66"/>
      <c r="O197" s="65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>
      <c r="A198" s="67"/>
      <c r="B198" s="17">
        <v>1000.0</v>
      </c>
      <c r="C198" s="17" t="s">
        <v>154</v>
      </c>
      <c r="D198" s="17" t="s">
        <v>113</v>
      </c>
      <c r="E198" s="17" t="s">
        <v>418</v>
      </c>
      <c r="F198" s="64" t="s">
        <v>149</v>
      </c>
      <c r="G198" s="62">
        <v>7465.0</v>
      </c>
      <c r="H198" s="17" t="s">
        <v>154</v>
      </c>
      <c r="I198" s="17" t="s">
        <v>160</v>
      </c>
      <c r="J198" s="17" t="s">
        <v>418</v>
      </c>
      <c r="K198" s="64" t="s">
        <v>155</v>
      </c>
      <c r="L198" s="66"/>
      <c r="M198" s="65"/>
      <c r="N198" s="66"/>
      <c r="O198" s="65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>
      <c r="A199" s="67"/>
      <c r="B199" s="17">
        <v>1000.0</v>
      </c>
      <c r="C199" s="17" t="s">
        <v>154</v>
      </c>
      <c r="D199" s="17" t="s">
        <v>112</v>
      </c>
      <c r="E199" s="17" t="s">
        <v>418</v>
      </c>
      <c r="F199" s="64" t="s">
        <v>149</v>
      </c>
      <c r="G199" s="66"/>
      <c r="H199" s="18"/>
      <c r="I199" s="18"/>
      <c r="J199" s="18"/>
      <c r="K199" s="65"/>
      <c r="L199" s="66"/>
      <c r="M199" s="65"/>
      <c r="N199" s="66"/>
      <c r="O199" s="65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>
      <c r="A200" s="67"/>
      <c r="B200" s="17">
        <v>1000.0</v>
      </c>
      <c r="C200" s="17" t="s">
        <v>154</v>
      </c>
      <c r="D200" s="17" t="s">
        <v>111</v>
      </c>
      <c r="E200" s="17" t="s">
        <v>418</v>
      </c>
      <c r="F200" s="64" t="s">
        <v>149</v>
      </c>
      <c r="G200" s="66"/>
      <c r="H200" s="18"/>
      <c r="I200" s="18"/>
      <c r="J200" s="18"/>
      <c r="K200" s="65"/>
      <c r="L200" s="66"/>
      <c r="M200" s="65"/>
      <c r="N200" s="66"/>
      <c r="O200" s="65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>
      <c r="A201" s="67"/>
      <c r="B201" s="17">
        <v>1000.0</v>
      </c>
      <c r="C201" s="17" t="s">
        <v>154</v>
      </c>
      <c r="D201" s="17" t="s">
        <v>110</v>
      </c>
      <c r="E201" s="17" t="s">
        <v>418</v>
      </c>
      <c r="F201" s="64" t="s">
        <v>149</v>
      </c>
      <c r="G201" s="66"/>
      <c r="H201" s="18"/>
      <c r="I201" s="18"/>
      <c r="J201" s="18"/>
      <c r="K201" s="65"/>
      <c r="L201" s="66"/>
      <c r="M201" s="65"/>
      <c r="N201" s="66"/>
      <c r="O201" s="65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>
      <c r="A202" s="67"/>
      <c r="B202" s="62">
        <v>200.0</v>
      </c>
      <c r="C202" s="17" t="s">
        <v>204</v>
      </c>
      <c r="D202" s="17" t="s">
        <v>24</v>
      </c>
      <c r="E202" s="17" t="s">
        <v>420</v>
      </c>
      <c r="F202" s="64" t="s">
        <v>149</v>
      </c>
      <c r="G202" s="62">
        <v>3750.0</v>
      </c>
      <c r="H202" s="17" t="s">
        <v>204</v>
      </c>
      <c r="I202" s="17" t="s">
        <v>160</v>
      </c>
      <c r="J202" s="17" t="s">
        <v>421</v>
      </c>
      <c r="K202" s="64" t="s">
        <v>149</v>
      </c>
      <c r="L202" s="66"/>
      <c r="M202" s="65"/>
      <c r="N202" s="66"/>
      <c r="O202" s="65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>
      <c r="A203" s="67"/>
      <c r="B203" s="62">
        <v>200.0</v>
      </c>
      <c r="C203" s="17" t="s">
        <v>204</v>
      </c>
      <c r="D203" s="17" t="s">
        <v>24</v>
      </c>
      <c r="E203" s="17" t="s">
        <v>418</v>
      </c>
      <c r="F203" s="64" t="s">
        <v>149</v>
      </c>
      <c r="G203" s="66"/>
      <c r="H203" s="18"/>
      <c r="I203" s="18"/>
      <c r="J203" s="18"/>
      <c r="K203" s="65"/>
      <c r="L203" s="66"/>
      <c r="M203" s="65"/>
      <c r="N203" s="66"/>
      <c r="O203" s="65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>
      <c r="A204" s="67"/>
      <c r="B204" s="62">
        <v>500.0</v>
      </c>
      <c r="C204" s="17" t="s">
        <v>204</v>
      </c>
      <c r="D204" s="17" t="s">
        <v>113</v>
      </c>
      <c r="E204" s="17" t="s">
        <v>420</v>
      </c>
      <c r="F204" s="64" t="s">
        <v>149</v>
      </c>
      <c r="G204" s="66"/>
      <c r="H204" s="18"/>
      <c r="I204" s="18"/>
      <c r="J204" s="18"/>
      <c r="K204" s="65"/>
      <c r="L204" s="66"/>
      <c r="M204" s="65"/>
      <c r="N204" s="66"/>
      <c r="O204" s="65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>
      <c r="A205" s="67"/>
      <c r="B205" s="62">
        <v>500.0</v>
      </c>
      <c r="C205" s="17" t="s">
        <v>204</v>
      </c>
      <c r="D205" s="17" t="s">
        <v>112</v>
      </c>
      <c r="E205" s="17" t="s">
        <v>420</v>
      </c>
      <c r="F205" s="64" t="s">
        <v>149</v>
      </c>
      <c r="G205" s="66"/>
      <c r="H205" s="18"/>
      <c r="I205" s="18"/>
      <c r="J205" s="18"/>
      <c r="K205" s="65"/>
      <c r="L205" s="66"/>
      <c r="M205" s="65"/>
      <c r="N205" s="66"/>
      <c r="O205" s="65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>
      <c r="A206" s="67"/>
      <c r="B206" s="62">
        <v>500.0</v>
      </c>
      <c r="C206" s="17" t="s">
        <v>204</v>
      </c>
      <c r="D206" s="17" t="s">
        <v>111</v>
      </c>
      <c r="E206" s="17" t="s">
        <v>420</v>
      </c>
      <c r="F206" s="64" t="s">
        <v>149</v>
      </c>
      <c r="G206" s="66"/>
      <c r="H206" s="18"/>
      <c r="I206" s="18"/>
      <c r="J206" s="18"/>
      <c r="K206" s="65"/>
      <c r="L206" s="66"/>
      <c r="M206" s="65"/>
      <c r="N206" s="66"/>
      <c r="O206" s="65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>
      <c r="A207" s="67"/>
      <c r="B207" s="62">
        <v>500.0</v>
      </c>
      <c r="C207" s="17" t="s">
        <v>204</v>
      </c>
      <c r="D207" s="17" t="s">
        <v>110</v>
      </c>
      <c r="E207" s="17" t="s">
        <v>420</v>
      </c>
      <c r="F207" s="64" t="s">
        <v>149</v>
      </c>
      <c r="G207" s="66"/>
      <c r="H207" s="18"/>
      <c r="I207" s="18"/>
      <c r="J207" s="18"/>
      <c r="K207" s="65"/>
      <c r="L207" s="66"/>
      <c r="M207" s="65"/>
      <c r="N207" s="66"/>
      <c r="O207" s="65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>
      <c r="A208" s="67"/>
      <c r="B208" s="62">
        <v>500.0</v>
      </c>
      <c r="C208" s="17" t="s">
        <v>204</v>
      </c>
      <c r="D208" s="17" t="s">
        <v>109</v>
      </c>
      <c r="E208" s="17" t="s">
        <v>420</v>
      </c>
      <c r="F208" s="64" t="s">
        <v>149</v>
      </c>
      <c r="G208" s="66"/>
      <c r="H208" s="18"/>
      <c r="I208" s="18"/>
      <c r="J208" s="18"/>
      <c r="K208" s="65"/>
      <c r="L208" s="66"/>
      <c r="M208" s="65"/>
      <c r="N208" s="66"/>
      <c r="O208" s="65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>
      <c r="A209" s="67"/>
      <c r="B209" s="62">
        <v>500.0</v>
      </c>
      <c r="C209" s="17" t="s">
        <v>204</v>
      </c>
      <c r="D209" s="17" t="s">
        <v>26</v>
      </c>
      <c r="E209" s="17" t="s">
        <v>420</v>
      </c>
      <c r="F209" s="64" t="s">
        <v>149</v>
      </c>
      <c r="G209" s="66"/>
      <c r="H209" s="18"/>
      <c r="I209" s="18"/>
      <c r="J209" s="18"/>
      <c r="K209" s="65"/>
      <c r="L209" s="66"/>
      <c r="M209" s="65"/>
      <c r="N209" s="66"/>
      <c r="O209" s="65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>
      <c r="A210" s="67"/>
      <c r="B210" s="17">
        <v>50.0</v>
      </c>
      <c r="C210" s="17" t="s">
        <v>204</v>
      </c>
      <c r="D210" s="17" t="s">
        <v>25</v>
      </c>
      <c r="E210" s="17" t="s">
        <v>422</v>
      </c>
      <c r="F210" s="64" t="s">
        <v>149</v>
      </c>
      <c r="G210" s="66"/>
      <c r="H210" s="18"/>
      <c r="I210" s="18"/>
      <c r="J210" s="18"/>
      <c r="K210" s="65"/>
      <c r="L210" s="66"/>
      <c r="M210" s="65"/>
      <c r="N210" s="66"/>
      <c r="O210" s="65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>
      <c r="A211" s="63">
        <v>45467.0</v>
      </c>
      <c r="B211" s="17">
        <v>20.0</v>
      </c>
      <c r="C211" s="17" t="s">
        <v>154</v>
      </c>
      <c r="D211" s="17" t="s">
        <v>138</v>
      </c>
      <c r="E211" s="17"/>
      <c r="F211" s="64" t="s">
        <v>155</v>
      </c>
      <c r="G211" s="66"/>
      <c r="H211" s="18"/>
      <c r="I211" s="18"/>
      <c r="J211" s="18"/>
      <c r="K211" s="65"/>
      <c r="L211" s="62">
        <v>5000.0</v>
      </c>
      <c r="M211" s="65"/>
      <c r="N211" s="66"/>
      <c r="O211" s="65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>
      <c r="A212" s="63">
        <v>45470.0</v>
      </c>
      <c r="B212" s="17">
        <v>1700.0</v>
      </c>
      <c r="C212" s="17" t="s">
        <v>154</v>
      </c>
      <c r="D212" s="17" t="s">
        <v>109</v>
      </c>
      <c r="E212" s="17" t="s">
        <v>423</v>
      </c>
      <c r="F212" s="64" t="s">
        <v>149</v>
      </c>
      <c r="G212" s="62"/>
      <c r="H212" s="17"/>
      <c r="I212" s="17"/>
      <c r="J212" s="17"/>
      <c r="K212" s="64"/>
      <c r="L212" s="66"/>
      <c r="M212" s="65"/>
      <c r="N212" s="66"/>
      <c r="O212" s="65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>
      <c r="A213" s="63"/>
      <c r="B213" s="17">
        <v>1700.0</v>
      </c>
      <c r="C213" s="17" t="s">
        <v>154</v>
      </c>
      <c r="D213" s="17" t="s">
        <v>113</v>
      </c>
      <c r="E213" s="17" t="s">
        <v>423</v>
      </c>
      <c r="F213" s="64" t="s">
        <v>149</v>
      </c>
      <c r="G213" s="62"/>
      <c r="H213" s="17"/>
      <c r="I213" s="17"/>
      <c r="J213" s="17"/>
      <c r="K213" s="64"/>
      <c r="L213" s="66"/>
      <c r="M213" s="65"/>
      <c r="N213" s="66"/>
      <c r="O213" s="65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>
      <c r="A214" s="63"/>
      <c r="B214" s="17">
        <v>1700.0</v>
      </c>
      <c r="C214" s="17" t="s">
        <v>154</v>
      </c>
      <c r="D214" s="17" t="s">
        <v>112</v>
      </c>
      <c r="E214" s="17" t="s">
        <v>423</v>
      </c>
      <c r="F214" s="64" t="s">
        <v>149</v>
      </c>
      <c r="G214" s="62"/>
      <c r="H214" s="17"/>
      <c r="I214" s="17"/>
      <c r="J214" s="17"/>
      <c r="K214" s="64"/>
      <c r="L214" s="66"/>
      <c r="M214" s="65"/>
      <c r="N214" s="66"/>
      <c r="O214" s="65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>
      <c r="A215" s="63"/>
      <c r="B215" s="17">
        <v>1700.0</v>
      </c>
      <c r="C215" s="17" t="s">
        <v>154</v>
      </c>
      <c r="D215" s="17" t="s">
        <v>111</v>
      </c>
      <c r="E215" s="17" t="s">
        <v>423</v>
      </c>
      <c r="F215" s="64" t="s">
        <v>149</v>
      </c>
      <c r="G215" s="62"/>
      <c r="H215" s="17"/>
      <c r="I215" s="17"/>
      <c r="J215" s="17"/>
      <c r="K215" s="64"/>
      <c r="L215" s="66"/>
      <c r="M215" s="65"/>
      <c r="N215" s="66"/>
      <c r="O215" s="65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>
      <c r="A216" s="63"/>
      <c r="B216" s="17">
        <v>1700.0</v>
      </c>
      <c r="C216" s="17" t="s">
        <v>154</v>
      </c>
      <c r="D216" s="17" t="s">
        <v>110</v>
      </c>
      <c r="E216" s="17" t="s">
        <v>423</v>
      </c>
      <c r="F216" s="64" t="s">
        <v>149</v>
      </c>
      <c r="G216" s="62"/>
      <c r="H216" s="17"/>
      <c r="I216" s="17"/>
      <c r="J216" s="17"/>
      <c r="K216" s="64"/>
      <c r="L216" s="66"/>
      <c r="M216" s="65"/>
      <c r="N216" s="66"/>
      <c r="O216" s="65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>
      <c r="A217" s="63"/>
      <c r="B217" s="17">
        <v>1000.0</v>
      </c>
      <c r="C217" s="17" t="s">
        <v>154</v>
      </c>
      <c r="D217" s="17" t="s">
        <v>24</v>
      </c>
      <c r="E217" s="17" t="s">
        <v>423</v>
      </c>
      <c r="F217" s="64" t="s">
        <v>149</v>
      </c>
      <c r="G217" s="62"/>
      <c r="H217" s="17"/>
      <c r="I217" s="17"/>
      <c r="J217" s="17"/>
      <c r="K217" s="64"/>
      <c r="L217" s="66"/>
      <c r="M217" s="65"/>
      <c r="N217" s="66"/>
      <c r="O217" s="65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>
      <c r="A218" s="67"/>
      <c r="B218" s="17">
        <v>35.0</v>
      </c>
      <c r="C218" s="17" t="s">
        <v>154</v>
      </c>
      <c r="D218" s="17" t="s">
        <v>145</v>
      </c>
      <c r="E218" s="17"/>
      <c r="F218" s="64" t="s">
        <v>155</v>
      </c>
      <c r="G218" s="66"/>
      <c r="H218" s="18"/>
      <c r="I218" s="18"/>
      <c r="J218" s="18"/>
      <c r="K218" s="65"/>
      <c r="L218" s="66"/>
      <c r="M218" s="65"/>
      <c r="N218" s="66"/>
      <c r="O218" s="65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>
      <c r="A219" s="63">
        <v>45472.0</v>
      </c>
      <c r="B219" s="62">
        <v>500.0</v>
      </c>
      <c r="C219" s="17" t="s">
        <v>204</v>
      </c>
      <c r="D219" s="17" t="s">
        <v>113</v>
      </c>
      <c r="E219" s="17" t="s">
        <v>424</v>
      </c>
      <c r="F219" s="64" t="s">
        <v>149</v>
      </c>
      <c r="G219" s="62">
        <v>3150.0</v>
      </c>
      <c r="H219" s="17" t="s">
        <v>204</v>
      </c>
      <c r="I219" s="17" t="s">
        <v>160</v>
      </c>
      <c r="J219" s="17" t="s">
        <v>425</v>
      </c>
      <c r="K219" s="64" t="s">
        <v>149</v>
      </c>
      <c r="L219" s="66"/>
      <c r="M219" s="65"/>
      <c r="N219" s="66"/>
      <c r="O219" s="65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>
      <c r="A220" s="63"/>
      <c r="B220" s="62">
        <v>500.0</v>
      </c>
      <c r="C220" s="17" t="s">
        <v>204</v>
      </c>
      <c r="D220" s="17" t="s">
        <v>112</v>
      </c>
      <c r="E220" s="17" t="s">
        <v>424</v>
      </c>
      <c r="F220" s="64" t="s">
        <v>149</v>
      </c>
      <c r="G220" s="62"/>
      <c r="H220" s="17"/>
      <c r="I220" s="17"/>
      <c r="J220" s="17"/>
      <c r="K220" s="64"/>
      <c r="L220" s="66"/>
      <c r="M220" s="65"/>
      <c r="N220" s="66"/>
      <c r="O220" s="65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>
      <c r="A221" s="63"/>
      <c r="B221" s="62">
        <v>500.0</v>
      </c>
      <c r="C221" s="17" t="s">
        <v>204</v>
      </c>
      <c r="D221" s="17" t="s">
        <v>111</v>
      </c>
      <c r="E221" s="17" t="s">
        <v>424</v>
      </c>
      <c r="F221" s="64" t="s">
        <v>149</v>
      </c>
      <c r="G221" s="17"/>
      <c r="H221" s="17"/>
      <c r="I221" s="17"/>
      <c r="J221" s="17"/>
      <c r="K221" s="64"/>
      <c r="L221" s="18"/>
      <c r="M221" s="65"/>
      <c r="N221" s="18"/>
      <c r="O221" s="65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>
      <c r="A222" s="63"/>
      <c r="B222" s="62">
        <v>500.0</v>
      </c>
      <c r="C222" s="17" t="s">
        <v>204</v>
      </c>
      <c r="D222" s="17" t="s">
        <v>110</v>
      </c>
      <c r="E222" s="17" t="s">
        <v>424</v>
      </c>
      <c r="F222" s="64" t="s">
        <v>149</v>
      </c>
      <c r="G222" s="17"/>
      <c r="H222" s="17"/>
      <c r="I222" s="17"/>
      <c r="J222" s="17"/>
      <c r="K222" s="64"/>
      <c r="L222" s="18"/>
      <c r="M222" s="65"/>
      <c r="N222" s="18"/>
      <c r="O222" s="65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>
      <c r="A223" s="63"/>
      <c r="B223" s="62">
        <v>500.0</v>
      </c>
      <c r="C223" s="17" t="s">
        <v>204</v>
      </c>
      <c r="D223" s="17" t="s">
        <v>109</v>
      </c>
      <c r="E223" s="17" t="s">
        <v>424</v>
      </c>
      <c r="F223" s="64" t="s">
        <v>149</v>
      </c>
      <c r="G223" s="17"/>
      <c r="H223" s="17"/>
      <c r="I223" s="17"/>
      <c r="J223" s="17"/>
      <c r="K223" s="64"/>
      <c r="L223" s="18"/>
      <c r="M223" s="65"/>
      <c r="N223" s="18"/>
      <c r="O223" s="65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>
      <c r="A224" s="63"/>
      <c r="B224" s="62">
        <v>200.0</v>
      </c>
      <c r="C224" s="17" t="s">
        <v>204</v>
      </c>
      <c r="D224" s="17" t="s">
        <v>24</v>
      </c>
      <c r="E224" s="17" t="s">
        <v>424</v>
      </c>
      <c r="F224" s="64" t="s">
        <v>149</v>
      </c>
      <c r="G224" s="17"/>
      <c r="H224" s="17"/>
      <c r="I224" s="17"/>
      <c r="J224" s="17"/>
      <c r="K224" s="64"/>
      <c r="L224" s="18"/>
      <c r="M224" s="65"/>
      <c r="N224" s="18"/>
      <c r="O224" s="65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>
      <c r="A225" s="63"/>
      <c r="B225" s="17">
        <v>50.0</v>
      </c>
      <c r="C225" s="17" t="s">
        <v>204</v>
      </c>
      <c r="D225" s="17" t="s">
        <v>25</v>
      </c>
      <c r="E225" s="17" t="s">
        <v>424</v>
      </c>
      <c r="F225" s="64" t="s">
        <v>149</v>
      </c>
      <c r="G225" s="17"/>
      <c r="H225" s="17"/>
      <c r="I225" s="17"/>
      <c r="J225" s="17"/>
      <c r="K225" s="64"/>
      <c r="L225" s="18"/>
      <c r="M225" s="65"/>
      <c r="N225" s="18"/>
      <c r="O225" s="65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>
      <c r="A226" s="92"/>
      <c r="B226" s="93"/>
      <c r="C226" s="93"/>
      <c r="D226" s="93"/>
      <c r="E226" s="93"/>
      <c r="F226" s="94"/>
      <c r="G226" s="93"/>
      <c r="H226" s="93"/>
      <c r="I226" s="93"/>
      <c r="J226" s="93"/>
      <c r="K226" s="94"/>
      <c r="L226" s="93"/>
      <c r="M226" s="94"/>
      <c r="N226" s="93"/>
      <c r="O226" s="94"/>
      <c r="P226" s="93"/>
      <c r="Q226" s="93"/>
      <c r="R226" s="93"/>
      <c r="S226" s="93"/>
      <c r="T226" s="93"/>
      <c r="U226" s="93"/>
      <c r="V226" s="93"/>
      <c r="W226" s="93"/>
      <c r="X226" s="93"/>
      <c r="Y226" s="93"/>
    </row>
    <row r="227">
      <c r="A227" s="92"/>
      <c r="B227" s="93"/>
      <c r="C227" s="93"/>
      <c r="D227" s="93"/>
      <c r="E227" s="93"/>
      <c r="F227" s="94"/>
      <c r="G227" s="93"/>
      <c r="H227" s="93"/>
      <c r="I227" s="93"/>
      <c r="J227" s="93"/>
      <c r="K227" s="94"/>
      <c r="L227" s="93"/>
      <c r="M227" s="94"/>
      <c r="N227" s="93"/>
      <c r="O227" s="94"/>
      <c r="P227" s="93"/>
      <c r="Q227" s="93"/>
      <c r="R227" s="93"/>
      <c r="S227" s="93"/>
      <c r="T227" s="93"/>
      <c r="U227" s="93"/>
      <c r="V227" s="93"/>
      <c r="W227" s="93"/>
      <c r="X227" s="93"/>
      <c r="Y227" s="93"/>
    </row>
    <row r="228">
      <c r="A228" s="63">
        <v>45476.0</v>
      </c>
      <c r="B228" s="17">
        <v>213.2</v>
      </c>
      <c r="C228" s="17" t="s">
        <v>154</v>
      </c>
      <c r="D228" s="17" t="s">
        <v>146</v>
      </c>
      <c r="E228" s="18"/>
      <c r="F228" s="64" t="s">
        <v>155</v>
      </c>
      <c r="G228" s="66"/>
      <c r="H228" s="18"/>
      <c r="I228" s="18"/>
      <c r="J228" s="18"/>
      <c r="K228" s="65"/>
      <c r="L228" s="66"/>
      <c r="M228" s="65"/>
      <c r="N228" s="66"/>
      <c r="O228" s="65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>
      <c r="A229" s="63">
        <v>45477.0</v>
      </c>
      <c r="B229" s="66"/>
      <c r="C229" s="18"/>
      <c r="D229" s="18"/>
      <c r="E229" s="18"/>
      <c r="F229" s="65"/>
      <c r="G229" s="66"/>
      <c r="H229" s="18"/>
      <c r="I229" s="18"/>
      <c r="J229" s="18"/>
      <c r="K229" s="65"/>
      <c r="L229" s="62">
        <v>250.0</v>
      </c>
      <c r="M229" s="65"/>
      <c r="N229" s="66"/>
      <c r="O229" s="65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>
      <c r="A230" s="63">
        <v>45478.0</v>
      </c>
      <c r="B230" s="17">
        <v>36.0</v>
      </c>
      <c r="C230" s="17" t="s">
        <v>154</v>
      </c>
      <c r="D230" s="17" t="s">
        <v>138</v>
      </c>
      <c r="E230" s="17"/>
      <c r="F230" s="64" t="s">
        <v>155</v>
      </c>
      <c r="G230" s="62">
        <v>12940.0</v>
      </c>
      <c r="H230" s="17" t="s">
        <v>154</v>
      </c>
      <c r="I230" s="17" t="s">
        <v>160</v>
      </c>
      <c r="J230" s="17" t="s">
        <v>426</v>
      </c>
      <c r="K230" s="64" t="s">
        <v>155</v>
      </c>
      <c r="L230" s="62">
        <v>9000.0</v>
      </c>
      <c r="M230" s="65"/>
      <c r="N230" s="66"/>
      <c r="O230" s="65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>
      <c r="A231" s="63"/>
      <c r="B231" s="17">
        <v>450.0</v>
      </c>
      <c r="C231" s="17" t="s">
        <v>204</v>
      </c>
      <c r="D231" s="17" t="s">
        <v>113</v>
      </c>
      <c r="E231" s="17" t="s">
        <v>427</v>
      </c>
      <c r="F231" s="64" t="s">
        <v>149</v>
      </c>
      <c r="G231" s="62">
        <v>3300.0</v>
      </c>
      <c r="H231" s="17" t="s">
        <v>204</v>
      </c>
      <c r="I231" s="17" t="s">
        <v>160</v>
      </c>
      <c r="J231" s="17" t="s">
        <v>428</v>
      </c>
      <c r="K231" s="64" t="s">
        <v>149</v>
      </c>
      <c r="L231" s="62"/>
      <c r="M231" s="65"/>
      <c r="N231" s="66"/>
      <c r="O231" s="65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>
      <c r="A232" s="63"/>
      <c r="B232" s="17">
        <v>450.0</v>
      </c>
      <c r="C232" s="17" t="s">
        <v>204</v>
      </c>
      <c r="D232" s="17" t="s">
        <v>112</v>
      </c>
      <c r="E232" s="17" t="s">
        <v>427</v>
      </c>
      <c r="F232" s="64" t="s">
        <v>149</v>
      </c>
      <c r="G232" s="62"/>
      <c r="H232" s="17"/>
      <c r="I232" s="17"/>
      <c r="J232" s="17"/>
      <c r="K232" s="64"/>
      <c r="L232" s="62"/>
      <c r="M232" s="65"/>
      <c r="N232" s="66"/>
      <c r="O232" s="65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>
      <c r="A233" s="63"/>
      <c r="B233" s="17">
        <v>450.0</v>
      </c>
      <c r="C233" s="17" t="s">
        <v>204</v>
      </c>
      <c r="D233" s="17" t="s">
        <v>111</v>
      </c>
      <c r="E233" s="17" t="s">
        <v>427</v>
      </c>
      <c r="F233" s="64" t="s">
        <v>149</v>
      </c>
      <c r="G233" s="62"/>
      <c r="H233" s="17"/>
      <c r="I233" s="17"/>
      <c r="J233" s="17"/>
      <c r="K233" s="64"/>
      <c r="L233" s="62"/>
      <c r="M233" s="65"/>
      <c r="N233" s="66"/>
      <c r="O233" s="65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>
      <c r="A234" s="63"/>
      <c r="B234" s="17">
        <v>450.0</v>
      </c>
      <c r="C234" s="17" t="s">
        <v>204</v>
      </c>
      <c r="D234" s="17" t="s">
        <v>110</v>
      </c>
      <c r="E234" s="17" t="s">
        <v>427</v>
      </c>
      <c r="F234" s="64" t="s">
        <v>149</v>
      </c>
      <c r="G234" s="62"/>
      <c r="H234" s="17"/>
      <c r="I234" s="17"/>
      <c r="J234" s="17"/>
      <c r="K234" s="64"/>
      <c r="L234" s="62"/>
      <c r="M234" s="65"/>
      <c r="N234" s="66"/>
      <c r="O234" s="65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>
      <c r="A235" s="63"/>
      <c r="B235" s="17">
        <v>450.0</v>
      </c>
      <c r="C235" s="17" t="s">
        <v>204</v>
      </c>
      <c r="D235" s="17" t="s">
        <v>109</v>
      </c>
      <c r="E235" s="17" t="s">
        <v>427</v>
      </c>
      <c r="F235" s="64" t="s">
        <v>149</v>
      </c>
      <c r="G235" s="62"/>
      <c r="H235" s="17"/>
      <c r="I235" s="17"/>
      <c r="J235" s="17"/>
      <c r="K235" s="64"/>
      <c r="L235" s="62"/>
      <c r="M235" s="65"/>
      <c r="N235" s="66"/>
      <c r="O235" s="65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>
      <c r="A236" s="63"/>
      <c r="B236" s="62">
        <v>200.0</v>
      </c>
      <c r="C236" s="17" t="s">
        <v>204</v>
      </c>
      <c r="D236" s="17" t="s">
        <v>24</v>
      </c>
      <c r="E236" s="17" t="s">
        <v>427</v>
      </c>
      <c r="F236" s="64" t="s">
        <v>149</v>
      </c>
      <c r="G236" s="62"/>
      <c r="H236" s="17"/>
      <c r="I236" s="17"/>
      <c r="J236" s="17"/>
      <c r="K236" s="64"/>
      <c r="L236" s="62"/>
      <c r="M236" s="65"/>
      <c r="N236" s="66"/>
      <c r="O236" s="65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>
      <c r="A237" s="63"/>
      <c r="B237" s="17">
        <v>50.0</v>
      </c>
      <c r="C237" s="17" t="s">
        <v>204</v>
      </c>
      <c r="D237" s="17" t="s">
        <v>25</v>
      </c>
      <c r="E237" s="17" t="s">
        <v>427</v>
      </c>
      <c r="F237" s="64" t="s">
        <v>149</v>
      </c>
      <c r="G237" s="62"/>
      <c r="H237" s="17"/>
      <c r="I237" s="17"/>
      <c r="J237" s="17"/>
      <c r="K237" s="64"/>
      <c r="L237" s="62"/>
      <c r="M237" s="65"/>
      <c r="N237" s="66"/>
      <c r="O237" s="65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>
      <c r="A238" s="63"/>
      <c r="B238" s="17">
        <v>400.0</v>
      </c>
      <c r="C238" s="17" t="s">
        <v>204</v>
      </c>
      <c r="D238" s="17" t="s">
        <v>26</v>
      </c>
      <c r="E238" s="17" t="s">
        <v>427</v>
      </c>
      <c r="F238" s="64" t="s">
        <v>149</v>
      </c>
      <c r="G238" s="62"/>
      <c r="H238" s="17"/>
      <c r="I238" s="17"/>
      <c r="J238" s="17"/>
      <c r="K238" s="64"/>
      <c r="L238" s="62"/>
      <c r="M238" s="65"/>
      <c r="N238" s="66"/>
      <c r="O238" s="65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>
      <c r="A239" s="63">
        <v>45479.0</v>
      </c>
      <c r="B239" s="17">
        <v>2.5</v>
      </c>
      <c r="C239" s="17" t="s">
        <v>154</v>
      </c>
      <c r="D239" s="17" t="s">
        <v>138</v>
      </c>
      <c r="E239" s="17"/>
      <c r="F239" s="64" t="s">
        <v>155</v>
      </c>
      <c r="G239" s="66"/>
      <c r="H239" s="18"/>
      <c r="I239" s="18"/>
      <c r="J239" s="18"/>
      <c r="K239" s="65"/>
      <c r="L239" s="62">
        <v>900.0</v>
      </c>
      <c r="M239" s="65"/>
      <c r="N239" s="66"/>
      <c r="O239" s="65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>
      <c r="A240" s="67"/>
      <c r="B240" s="62">
        <v>9.0</v>
      </c>
      <c r="C240" s="17" t="s">
        <v>154</v>
      </c>
      <c r="D240" s="17" t="s">
        <v>138</v>
      </c>
      <c r="E240" s="17"/>
      <c r="F240" s="64" t="s">
        <v>155</v>
      </c>
      <c r="G240" s="66"/>
      <c r="H240" s="18"/>
      <c r="I240" s="18"/>
      <c r="J240" s="18"/>
      <c r="K240" s="65"/>
      <c r="L240" s="62">
        <v>5000.0</v>
      </c>
      <c r="M240" s="65"/>
      <c r="N240" s="66"/>
      <c r="O240" s="65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>
      <c r="A241" s="67"/>
      <c r="B241" s="62">
        <v>20.0</v>
      </c>
      <c r="C241" s="17" t="s">
        <v>154</v>
      </c>
      <c r="D241" s="17" t="s">
        <v>138</v>
      </c>
      <c r="E241" s="17"/>
      <c r="F241" s="64" t="s">
        <v>155</v>
      </c>
      <c r="G241" s="66"/>
      <c r="H241" s="18"/>
      <c r="I241" s="18"/>
      <c r="J241" s="18"/>
      <c r="K241" s="65"/>
      <c r="L241" s="66"/>
      <c r="M241" s="65"/>
      <c r="N241" s="66"/>
      <c r="O241" s="65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>
      <c r="A242" s="63">
        <v>45482.0</v>
      </c>
      <c r="B242" s="62">
        <v>13.6</v>
      </c>
      <c r="C242" s="17" t="s">
        <v>154</v>
      </c>
      <c r="D242" s="17" t="s">
        <v>138</v>
      </c>
      <c r="E242" s="17"/>
      <c r="F242" s="64" t="s">
        <v>155</v>
      </c>
      <c r="G242" s="66"/>
      <c r="H242" s="18"/>
      <c r="I242" s="18"/>
      <c r="J242" s="18"/>
      <c r="K242" s="65"/>
      <c r="L242" s="62">
        <v>3400.0</v>
      </c>
      <c r="M242" s="65"/>
      <c r="N242" s="66"/>
      <c r="O242" s="65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>
      <c r="A243" s="63">
        <v>45483.0</v>
      </c>
      <c r="B243" s="62">
        <v>55.34</v>
      </c>
      <c r="C243" s="17" t="s">
        <v>154</v>
      </c>
      <c r="D243" s="17" t="s">
        <v>157</v>
      </c>
      <c r="E243" s="17" t="s">
        <v>429</v>
      </c>
      <c r="F243" s="64" t="s">
        <v>155</v>
      </c>
      <c r="G243" s="66"/>
      <c r="H243" s="18"/>
      <c r="I243" s="18"/>
      <c r="J243" s="18"/>
      <c r="K243" s="65"/>
      <c r="L243" s="66"/>
      <c r="M243" s="65"/>
      <c r="N243" s="66"/>
      <c r="O243" s="65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>
      <c r="A244" s="63">
        <v>45485.0</v>
      </c>
      <c r="B244" s="17">
        <v>400.0</v>
      </c>
      <c r="C244" s="17" t="s">
        <v>204</v>
      </c>
      <c r="D244" s="17" t="s">
        <v>113</v>
      </c>
      <c r="E244" s="17" t="s">
        <v>430</v>
      </c>
      <c r="F244" s="64" t="s">
        <v>149</v>
      </c>
      <c r="G244" s="62">
        <v>2450.0</v>
      </c>
      <c r="H244" s="17" t="s">
        <v>204</v>
      </c>
      <c r="I244" s="17" t="s">
        <v>160</v>
      </c>
      <c r="J244" s="17" t="s">
        <v>430</v>
      </c>
      <c r="K244" s="64" t="s">
        <v>149</v>
      </c>
      <c r="L244" s="66"/>
      <c r="M244" s="65"/>
      <c r="N244" s="66"/>
      <c r="O244" s="65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>
      <c r="A245" s="63"/>
      <c r="B245" s="17">
        <v>400.0</v>
      </c>
      <c r="C245" s="17" t="s">
        <v>204</v>
      </c>
      <c r="D245" s="17" t="s">
        <v>112</v>
      </c>
      <c r="E245" s="17" t="s">
        <v>430</v>
      </c>
      <c r="F245" s="64" t="s">
        <v>149</v>
      </c>
      <c r="G245" s="66"/>
      <c r="H245" s="18"/>
      <c r="I245" s="18"/>
      <c r="J245" s="18"/>
      <c r="K245" s="65"/>
      <c r="L245" s="66"/>
      <c r="M245" s="65"/>
      <c r="N245" s="66"/>
      <c r="O245" s="65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>
      <c r="A246" s="63"/>
      <c r="B246" s="17">
        <v>400.0</v>
      </c>
      <c r="C246" s="17" t="s">
        <v>204</v>
      </c>
      <c r="D246" s="17" t="s">
        <v>111</v>
      </c>
      <c r="E246" s="17" t="s">
        <v>430</v>
      </c>
      <c r="F246" s="64" t="s">
        <v>149</v>
      </c>
      <c r="G246" s="66"/>
      <c r="H246" s="18"/>
      <c r="I246" s="18"/>
      <c r="J246" s="18"/>
      <c r="K246" s="65"/>
      <c r="L246" s="66"/>
      <c r="M246" s="65"/>
      <c r="N246" s="66"/>
      <c r="O246" s="65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>
      <c r="A247" s="63"/>
      <c r="B247" s="17">
        <v>400.0</v>
      </c>
      <c r="C247" s="17" t="s">
        <v>204</v>
      </c>
      <c r="D247" s="17" t="s">
        <v>110</v>
      </c>
      <c r="E247" s="17" t="s">
        <v>430</v>
      </c>
      <c r="F247" s="64" t="s">
        <v>149</v>
      </c>
      <c r="G247" s="66"/>
      <c r="H247" s="18"/>
      <c r="I247" s="18"/>
      <c r="J247" s="18"/>
      <c r="K247" s="65"/>
      <c r="L247" s="66"/>
      <c r="M247" s="65"/>
      <c r="N247" s="66"/>
      <c r="O247" s="65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>
      <c r="A248" s="63"/>
      <c r="B248" s="17">
        <v>400.0</v>
      </c>
      <c r="C248" s="17" t="s">
        <v>204</v>
      </c>
      <c r="D248" s="17" t="s">
        <v>109</v>
      </c>
      <c r="E248" s="17" t="s">
        <v>430</v>
      </c>
      <c r="F248" s="64" t="s">
        <v>149</v>
      </c>
      <c r="G248" s="66"/>
      <c r="H248" s="18"/>
      <c r="I248" s="18"/>
      <c r="J248" s="18"/>
      <c r="K248" s="65"/>
      <c r="L248" s="66"/>
      <c r="M248" s="65"/>
      <c r="N248" s="66"/>
      <c r="O248" s="65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>
      <c r="A249" s="63"/>
      <c r="B249" s="62">
        <v>200.0</v>
      </c>
      <c r="C249" s="17" t="s">
        <v>204</v>
      </c>
      <c r="D249" s="17" t="s">
        <v>24</v>
      </c>
      <c r="E249" s="17" t="s">
        <v>430</v>
      </c>
      <c r="F249" s="64" t="s">
        <v>149</v>
      </c>
      <c r="G249" s="66"/>
      <c r="H249" s="18"/>
      <c r="I249" s="18"/>
      <c r="J249" s="18"/>
      <c r="K249" s="65"/>
      <c r="L249" s="66"/>
      <c r="M249" s="65"/>
      <c r="N249" s="66"/>
      <c r="O249" s="65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>
      <c r="A250" s="63">
        <v>45489.0</v>
      </c>
      <c r="B250" s="62">
        <v>20.0</v>
      </c>
      <c r="C250" s="17" t="s">
        <v>154</v>
      </c>
      <c r="D250" s="17" t="s">
        <v>138</v>
      </c>
      <c r="E250" s="17"/>
      <c r="F250" s="64" t="s">
        <v>155</v>
      </c>
      <c r="G250" s="62">
        <v>0.23</v>
      </c>
      <c r="H250" s="17" t="s">
        <v>154</v>
      </c>
      <c r="I250" s="17" t="s">
        <v>157</v>
      </c>
      <c r="J250" s="17" t="s">
        <v>431</v>
      </c>
      <c r="K250" s="64" t="s">
        <v>155</v>
      </c>
      <c r="L250" s="62">
        <v>5000.0</v>
      </c>
      <c r="M250" s="65"/>
      <c r="N250" s="66"/>
      <c r="O250" s="65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>
      <c r="A251" s="63">
        <v>45495.0</v>
      </c>
      <c r="B251" s="62">
        <v>950.0</v>
      </c>
      <c r="C251" s="17" t="s">
        <v>154</v>
      </c>
      <c r="D251" s="17" t="s">
        <v>110</v>
      </c>
      <c r="E251" s="17" t="s">
        <v>432</v>
      </c>
      <c r="F251" s="64" t="s">
        <v>149</v>
      </c>
      <c r="G251" s="62">
        <v>2485.0</v>
      </c>
      <c r="H251" s="17" t="s">
        <v>154</v>
      </c>
      <c r="I251" s="17" t="s">
        <v>9</v>
      </c>
      <c r="J251" s="17" t="s">
        <v>433</v>
      </c>
      <c r="K251" s="64" t="s">
        <v>155</v>
      </c>
      <c r="L251" s="62">
        <v>3000.0</v>
      </c>
      <c r="M251" s="65"/>
      <c r="N251" s="66"/>
      <c r="O251" s="65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>
      <c r="A252" s="67"/>
      <c r="B252" s="62">
        <v>1350.0</v>
      </c>
      <c r="C252" s="17" t="s">
        <v>154</v>
      </c>
      <c r="D252" s="17" t="s">
        <v>110</v>
      </c>
      <c r="E252" s="17" t="s">
        <v>434</v>
      </c>
      <c r="F252" s="64" t="s">
        <v>149</v>
      </c>
      <c r="G252" s="66"/>
      <c r="H252" s="18"/>
      <c r="I252" s="18"/>
      <c r="J252" s="18"/>
      <c r="K252" s="65"/>
      <c r="L252" s="66"/>
      <c r="M252" s="65"/>
      <c r="N252" s="66"/>
      <c r="O252" s="65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>
      <c r="A253" s="63">
        <v>45499.0</v>
      </c>
      <c r="B253" s="62">
        <v>200.0</v>
      </c>
      <c r="C253" s="17" t="s">
        <v>204</v>
      </c>
      <c r="D253" s="17" t="s">
        <v>24</v>
      </c>
      <c r="E253" s="17" t="s">
        <v>434</v>
      </c>
      <c r="F253" s="64" t="s">
        <v>149</v>
      </c>
      <c r="G253" s="62"/>
      <c r="H253" s="17"/>
      <c r="I253" s="18"/>
      <c r="J253" s="18"/>
      <c r="K253" s="65"/>
      <c r="L253" s="66"/>
      <c r="M253" s="65"/>
      <c r="N253" s="62">
        <v>4000.0</v>
      </c>
      <c r="O253" s="65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>
      <c r="A254" s="63">
        <v>45502.0</v>
      </c>
      <c r="B254" s="62">
        <v>3912.0</v>
      </c>
      <c r="C254" s="17" t="s">
        <v>154</v>
      </c>
      <c r="D254" s="17" t="s">
        <v>141</v>
      </c>
      <c r="E254" s="18"/>
      <c r="F254" s="64" t="s">
        <v>155</v>
      </c>
      <c r="G254" s="62">
        <v>7465.0</v>
      </c>
      <c r="H254" s="17" t="s">
        <v>154</v>
      </c>
      <c r="I254" s="17" t="s">
        <v>160</v>
      </c>
      <c r="J254" s="17" t="s">
        <v>435</v>
      </c>
      <c r="K254" s="64" t="s">
        <v>155</v>
      </c>
      <c r="L254" s="66"/>
      <c r="M254" s="65"/>
      <c r="N254" s="66"/>
      <c r="O254" s="65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>
      <c r="A255" s="67"/>
      <c r="B255" s="62">
        <v>0.51</v>
      </c>
      <c r="C255" s="17" t="s">
        <v>154</v>
      </c>
      <c r="D255" s="17" t="s">
        <v>139</v>
      </c>
      <c r="E255" s="18"/>
      <c r="F255" s="64" t="s">
        <v>155</v>
      </c>
      <c r="G255" s="66"/>
      <c r="H255" s="18"/>
      <c r="I255" s="18"/>
      <c r="J255" s="18"/>
      <c r="K255" s="65"/>
      <c r="L255" s="66"/>
      <c r="M255" s="65"/>
      <c r="N255" s="66"/>
      <c r="O255" s="65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>
      <c r="A256" s="67"/>
      <c r="B256" s="45">
        <v>707.0</v>
      </c>
      <c r="C256" s="17" t="s">
        <v>154</v>
      </c>
      <c r="D256" s="17" t="s">
        <v>212</v>
      </c>
      <c r="E256" s="46"/>
      <c r="F256" s="64" t="s">
        <v>155</v>
      </c>
      <c r="G256" s="66"/>
      <c r="H256" s="18"/>
      <c r="I256" s="18"/>
      <c r="J256" s="18"/>
      <c r="K256" s="65"/>
      <c r="L256" s="66"/>
      <c r="M256" s="65"/>
      <c r="N256" s="66"/>
      <c r="O256" s="65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>
      <c r="A257" s="67"/>
      <c r="B257" s="62">
        <v>0.51</v>
      </c>
      <c r="C257" s="17" t="s">
        <v>154</v>
      </c>
      <c r="D257" s="17" t="s">
        <v>139</v>
      </c>
      <c r="E257" s="18"/>
      <c r="F257" s="64" t="s">
        <v>155</v>
      </c>
      <c r="G257" s="66"/>
      <c r="H257" s="18"/>
      <c r="I257" s="18"/>
      <c r="J257" s="18"/>
      <c r="K257" s="65"/>
      <c r="L257" s="66"/>
      <c r="M257" s="65"/>
      <c r="N257" s="66"/>
      <c r="O257" s="65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>
      <c r="A258" s="67"/>
      <c r="B258" s="45">
        <v>222.0</v>
      </c>
      <c r="C258" s="17" t="s">
        <v>154</v>
      </c>
      <c r="D258" s="17" t="s">
        <v>141</v>
      </c>
      <c r="E258" s="18"/>
      <c r="F258" s="64" t="s">
        <v>155</v>
      </c>
      <c r="G258" s="66"/>
      <c r="H258" s="18"/>
      <c r="I258" s="18"/>
      <c r="J258" s="18"/>
      <c r="K258" s="65"/>
      <c r="L258" s="66"/>
      <c r="M258" s="65"/>
      <c r="N258" s="66"/>
      <c r="O258" s="65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>
      <c r="A259" s="67"/>
      <c r="B259" s="62">
        <v>0.51</v>
      </c>
      <c r="C259" s="17" t="s">
        <v>154</v>
      </c>
      <c r="D259" s="17" t="s">
        <v>139</v>
      </c>
      <c r="E259" s="18"/>
      <c r="F259" s="64" t="s">
        <v>155</v>
      </c>
      <c r="G259" s="66"/>
      <c r="H259" s="18"/>
      <c r="I259" s="18"/>
      <c r="J259" s="18"/>
      <c r="K259" s="65"/>
      <c r="L259" s="66"/>
      <c r="M259" s="65"/>
      <c r="N259" s="66"/>
      <c r="O259" s="65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>
      <c r="A260" s="67"/>
      <c r="B260" s="45">
        <v>39.0</v>
      </c>
      <c r="C260" s="17" t="s">
        <v>154</v>
      </c>
      <c r="D260" s="17" t="s">
        <v>143</v>
      </c>
      <c r="E260" s="46"/>
      <c r="F260" s="64" t="s">
        <v>155</v>
      </c>
      <c r="G260" s="66"/>
      <c r="H260" s="18"/>
      <c r="I260" s="18"/>
      <c r="J260" s="18"/>
      <c r="K260" s="65"/>
      <c r="L260" s="66"/>
      <c r="M260" s="65"/>
      <c r="N260" s="66"/>
      <c r="O260" s="65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>
      <c r="A261" s="67"/>
      <c r="B261" s="62">
        <v>0.51</v>
      </c>
      <c r="C261" s="17" t="s">
        <v>154</v>
      </c>
      <c r="D261" s="17" t="s">
        <v>139</v>
      </c>
      <c r="E261" s="18"/>
      <c r="F261" s="64" t="s">
        <v>155</v>
      </c>
      <c r="G261" s="66"/>
      <c r="H261" s="18"/>
      <c r="I261" s="18"/>
      <c r="J261" s="18"/>
      <c r="K261" s="65"/>
      <c r="L261" s="66"/>
      <c r="M261" s="65"/>
      <c r="N261" s="66"/>
      <c r="O261" s="65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>
      <c r="A262" s="63">
        <v>45504.0</v>
      </c>
      <c r="B262" s="17">
        <v>40.0</v>
      </c>
      <c r="C262" s="17" t="s">
        <v>154</v>
      </c>
      <c r="D262" s="17" t="s">
        <v>145</v>
      </c>
      <c r="E262" s="17"/>
      <c r="F262" s="64" t="s">
        <v>155</v>
      </c>
      <c r="G262" s="66"/>
      <c r="H262" s="18"/>
      <c r="I262" s="18"/>
      <c r="J262" s="18"/>
      <c r="K262" s="65"/>
      <c r="L262" s="66"/>
      <c r="M262" s="65"/>
      <c r="N262" s="66"/>
      <c r="O262" s="65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>
      <c r="A263" s="67"/>
      <c r="B263" s="62">
        <v>950.0</v>
      </c>
      <c r="C263" s="17" t="s">
        <v>154</v>
      </c>
      <c r="D263" s="17" t="s">
        <v>111</v>
      </c>
      <c r="E263" s="17" t="s">
        <v>432</v>
      </c>
      <c r="F263" s="64" t="s">
        <v>149</v>
      </c>
      <c r="G263" s="66"/>
      <c r="H263" s="18"/>
      <c r="I263" s="18"/>
      <c r="J263" s="18"/>
      <c r="K263" s="65"/>
      <c r="L263" s="66"/>
      <c r="M263" s="65"/>
      <c r="N263" s="66"/>
      <c r="O263" s="65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>
      <c r="A264" s="67"/>
      <c r="B264" s="62">
        <v>1350.0</v>
      </c>
      <c r="C264" s="17" t="s">
        <v>154</v>
      </c>
      <c r="D264" s="17" t="s">
        <v>111</v>
      </c>
      <c r="E264" s="17" t="s">
        <v>434</v>
      </c>
      <c r="F264" s="64" t="s">
        <v>149</v>
      </c>
      <c r="G264" s="66"/>
      <c r="H264" s="18"/>
      <c r="I264" s="18"/>
      <c r="J264" s="18"/>
      <c r="K264" s="65"/>
      <c r="L264" s="66"/>
      <c r="M264" s="65"/>
      <c r="N264" s="66"/>
      <c r="O264" s="65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>
      <c r="A265" s="92"/>
      <c r="B265" s="93"/>
      <c r="C265" s="93"/>
      <c r="D265" s="93"/>
      <c r="E265" s="93"/>
      <c r="F265" s="94"/>
      <c r="G265" s="93"/>
      <c r="H265" s="93"/>
      <c r="I265" s="93"/>
      <c r="J265" s="93"/>
      <c r="K265" s="94"/>
      <c r="L265" s="93"/>
      <c r="M265" s="94"/>
      <c r="N265" s="93"/>
      <c r="O265" s="94"/>
      <c r="P265" s="93"/>
      <c r="Q265" s="93"/>
      <c r="R265" s="93"/>
      <c r="S265" s="93"/>
      <c r="T265" s="93"/>
      <c r="U265" s="93"/>
      <c r="V265" s="93"/>
      <c r="W265" s="93"/>
      <c r="X265" s="93"/>
      <c r="Y265" s="93"/>
    </row>
    <row r="266">
      <c r="A266" s="92"/>
      <c r="B266" s="93"/>
      <c r="C266" s="93"/>
      <c r="D266" s="93"/>
      <c r="E266" s="93"/>
      <c r="F266" s="94"/>
      <c r="G266" s="93"/>
      <c r="H266" s="93"/>
      <c r="I266" s="93"/>
      <c r="J266" s="93"/>
      <c r="K266" s="94"/>
      <c r="L266" s="93"/>
      <c r="M266" s="94"/>
      <c r="N266" s="93"/>
      <c r="O266" s="94"/>
      <c r="P266" s="93"/>
      <c r="Q266" s="93"/>
      <c r="R266" s="93"/>
      <c r="S266" s="93"/>
      <c r="T266" s="93"/>
      <c r="U266" s="93"/>
      <c r="V266" s="93"/>
      <c r="W266" s="93"/>
      <c r="X266" s="93"/>
      <c r="Y266" s="93"/>
    </row>
    <row r="267">
      <c r="A267" s="63">
        <v>45506.0</v>
      </c>
      <c r="B267" s="46"/>
      <c r="C267" s="46"/>
      <c r="D267" s="46"/>
      <c r="E267" s="46"/>
      <c r="F267" s="46"/>
      <c r="G267" s="62">
        <v>7500.0</v>
      </c>
      <c r="H267" s="17" t="s">
        <v>154</v>
      </c>
      <c r="I267" s="17" t="s">
        <v>160</v>
      </c>
      <c r="J267" s="17" t="s">
        <v>436</v>
      </c>
      <c r="K267" s="64" t="s">
        <v>155</v>
      </c>
      <c r="L267" s="66"/>
      <c r="M267" s="65"/>
      <c r="N267" s="66"/>
      <c r="O267" s="65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>
      <c r="A268" s="63">
        <v>45507.0</v>
      </c>
      <c r="B268" s="17">
        <v>213.17</v>
      </c>
      <c r="C268" s="17" t="s">
        <v>154</v>
      </c>
      <c r="D268" s="17" t="s">
        <v>146</v>
      </c>
      <c r="E268" s="18"/>
      <c r="F268" s="64" t="s">
        <v>155</v>
      </c>
      <c r="G268" s="62">
        <v>7500.0</v>
      </c>
      <c r="H268" s="17" t="s">
        <v>154</v>
      </c>
      <c r="I268" s="17" t="s">
        <v>157</v>
      </c>
      <c r="J268" s="17" t="s">
        <v>437</v>
      </c>
      <c r="K268" s="64" t="s">
        <v>155</v>
      </c>
      <c r="L268" s="66"/>
      <c r="M268" s="65"/>
      <c r="N268" s="66"/>
      <c r="O268" s="65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>
      <c r="A269" s="63">
        <v>45510.0</v>
      </c>
      <c r="B269" s="62">
        <v>24.0</v>
      </c>
      <c r="C269" s="17" t="s">
        <v>154</v>
      </c>
      <c r="D269" s="17" t="s">
        <v>138</v>
      </c>
      <c r="E269" s="17"/>
      <c r="F269" s="64" t="s">
        <v>155</v>
      </c>
      <c r="G269" s="66"/>
      <c r="H269" s="18"/>
      <c r="I269" s="18"/>
      <c r="J269" s="18"/>
      <c r="K269" s="65"/>
      <c r="L269" s="62">
        <v>6000.0</v>
      </c>
      <c r="M269" s="65"/>
      <c r="N269" s="66"/>
      <c r="O269" s="65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>
      <c r="A270" s="67"/>
      <c r="B270" s="62">
        <v>16.0</v>
      </c>
      <c r="C270" s="17" t="s">
        <v>154</v>
      </c>
      <c r="D270" s="17" t="s">
        <v>138</v>
      </c>
      <c r="E270" s="17"/>
      <c r="F270" s="64" t="s">
        <v>155</v>
      </c>
      <c r="G270" s="66"/>
      <c r="H270" s="18"/>
      <c r="I270" s="18"/>
      <c r="J270" s="18"/>
      <c r="K270" s="65"/>
      <c r="L270" s="62">
        <v>4000.0</v>
      </c>
      <c r="M270" s="65"/>
      <c r="N270" s="66"/>
      <c r="O270" s="65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>
      <c r="A271" s="67"/>
      <c r="B271" s="62">
        <v>200.0</v>
      </c>
      <c r="C271" s="17" t="s">
        <v>154</v>
      </c>
      <c r="D271" s="17" t="s">
        <v>157</v>
      </c>
      <c r="E271" s="17" t="s">
        <v>438</v>
      </c>
      <c r="F271" s="64" t="s">
        <v>149</v>
      </c>
      <c r="G271" s="66"/>
      <c r="H271" s="18"/>
      <c r="I271" s="18"/>
      <c r="J271" s="18"/>
      <c r="K271" s="65"/>
      <c r="L271" s="66"/>
      <c r="M271" s="65"/>
      <c r="N271" s="66"/>
      <c r="O271" s="65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>
      <c r="A272" s="67"/>
      <c r="B272" s="62">
        <v>950.0</v>
      </c>
      <c r="C272" s="17" t="s">
        <v>154</v>
      </c>
      <c r="D272" s="17" t="s">
        <v>109</v>
      </c>
      <c r="E272" s="17" t="s">
        <v>432</v>
      </c>
      <c r="F272" s="64" t="s">
        <v>149</v>
      </c>
      <c r="G272" s="66"/>
      <c r="H272" s="18"/>
      <c r="I272" s="18"/>
      <c r="J272" s="18"/>
      <c r="K272" s="65"/>
      <c r="L272" s="66"/>
      <c r="M272" s="65"/>
      <c r="N272" s="66"/>
      <c r="O272" s="65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>
      <c r="A273" s="67"/>
      <c r="B273" s="62">
        <v>1350.0</v>
      </c>
      <c r="C273" s="17" t="s">
        <v>154</v>
      </c>
      <c r="D273" s="17" t="s">
        <v>109</v>
      </c>
      <c r="E273" s="17" t="s">
        <v>434</v>
      </c>
      <c r="F273" s="64" t="s">
        <v>149</v>
      </c>
      <c r="G273" s="66"/>
      <c r="H273" s="18"/>
      <c r="I273" s="18"/>
      <c r="J273" s="18"/>
      <c r="K273" s="65"/>
      <c r="L273" s="66"/>
      <c r="M273" s="65"/>
      <c r="N273" s="66"/>
      <c r="O273" s="65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>
      <c r="A274" s="67"/>
      <c r="B274" s="62">
        <v>6750.0</v>
      </c>
      <c r="C274" s="17" t="s">
        <v>154</v>
      </c>
      <c r="D274" s="17" t="s">
        <v>157</v>
      </c>
      <c r="E274" s="17" t="s">
        <v>437</v>
      </c>
      <c r="F274" s="64" t="s">
        <v>149</v>
      </c>
      <c r="G274" s="66"/>
      <c r="H274" s="18"/>
      <c r="I274" s="18"/>
      <c r="J274" s="18"/>
      <c r="K274" s="65"/>
      <c r="L274" s="66"/>
      <c r="M274" s="65"/>
      <c r="N274" s="66"/>
      <c r="O274" s="65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>
      <c r="A275" s="63">
        <v>45518.0</v>
      </c>
      <c r="B275" s="66"/>
      <c r="C275" s="18"/>
      <c r="D275" s="18"/>
      <c r="E275" s="18"/>
      <c r="F275" s="65"/>
      <c r="G275" s="62">
        <v>2488.0</v>
      </c>
      <c r="H275" s="17" t="s">
        <v>154</v>
      </c>
      <c r="I275" s="17" t="s">
        <v>9</v>
      </c>
      <c r="J275" s="17" t="s">
        <v>439</v>
      </c>
      <c r="K275" s="64" t="s">
        <v>155</v>
      </c>
      <c r="L275" s="66"/>
      <c r="M275" s="65"/>
      <c r="N275" s="66"/>
      <c r="O275" s="65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>
      <c r="A276" s="63">
        <v>45520.0</v>
      </c>
      <c r="B276" s="62">
        <v>39.0</v>
      </c>
      <c r="C276" s="17" t="s">
        <v>154</v>
      </c>
      <c r="D276" s="17" t="s">
        <v>143</v>
      </c>
      <c r="E276" s="46"/>
      <c r="F276" s="64" t="s">
        <v>155</v>
      </c>
      <c r="G276" s="66"/>
      <c r="H276" s="18"/>
      <c r="I276" s="18"/>
      <c r="J276" s="18"/>
      <c r="K276" s="65"/>
      <c r="L276" s="66"/>
      <c r="M276" s="65"/>
      <c r="N276" s="66"/>
      <c r="O276" s="65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>
      <c r="A277" s="67"/>
      <c r="B277" s="62">
        <v>0.51</v>
      </c>
      <c r="C277" s="17" t="s">
        <v>154</v>
      </c>
      <c r="D277" s="17" t="s">
        <v>139</v>
      </c>
      <c r="E277" s="18"/>
      <c r="F277" s="64" t="s">
        <v>155</v>
      </c>
      <c r="G277" s="66"/>
      <c r="H277" s="18"/>
      <c r="I277" s="18"/>
      <c r="J277" s="18"/>
      <c r="K277" s="65"/>
      <c r="L277" s="66"/>
      <c r="M277" s="65"/>
      <c r="N277" s="66"/>
      <c r="O277" s="65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>
      <c r="A278" s="63">
        <v>45522.0</v>
      </c>
      <c r="B278" s="62">
        <v>24.0</v>
      </c>
      <c r="C278" s="17" t="s">
        <v>154</v>
      </c>
      <c r="D278" s="17" t="s">
        <v>138</v>
      </c>
      <c r="E278" s="17"/>
      <c r="F278" s="64" t="s">
        <v>155</v>
      </c>
      <c r="G278" s="66"/>
      <c r="H278" s="18"/>
      <c r="I278" s="18"/>
      <c r="J278" s="18"/>
      <c r="K278" s="65"/>
      <c r="L278" s="62">
        <v>6000.0</v>
      </c>
      <c r="M278" s="65"/>
      <c r="N278" s="66"/>
      <c r="O278" s="65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>
      <c r="A279" s="67"/>
      <c r="B279" s="62">
        <v>16.0</v>
      </c>
      <c r="C279" s="17" t="s">
        <v>154</v>
      </c>
      <c r="D279" s="17" t="s">
        <v>138</v>
      </c>
      <c r="E279" s="17"/>
      <c r="F279" s="64" t="s">
        <v>155</v>
      </c>
      <c r="G279" s="66"/>
      <c r="H279" s="18"/>
      <c r="I279" s="18"/>
      <c r="J279" s="18"/>
      <c r="K279" s="65"/>
      <c r="L279" s="62">
        <v>4000.0</v>
      </c>
      <c r="M279" s="65"/>
      <c r="N279" s="66"/>
      <c r="O279" s="65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>
      <c r="A280" s="67"/>
      <c r="B280" s="17">
        <v>2000.0</v>
      </c>
      <c r="C280" s="17" t="s">
        <v>154</v>
      </c>
      <c r="D280" s="17" t="s">
        <v>24</v>
      </c>
      <c r="E280" s="17" t="s">
        <v>440</v>
      </c>
      <c r="F280" s="64" t="s">
        <v>149</v>
      </c>
      <c r="G280" s="46"/>
      <c r="H280" s="46"/>
      <c r="I280" s="46"/>
      <c r="J280" s="46"/>
      <c r="K280" s="46"/>
      <c r="L280" s="62"/>
      <c r="M280" s="65"/>
      <c r="N280" s="18"/>
      <c r="O280" s="65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>
      <c r="A281" s="63">
        <v>45524.0</v>
      </c>
      <c r="B281" s="18"/>
      <c r="C281" s="18"/>
      <c r="D281" s="18"/>
      <c r="E281" s="18"/>
      <c r="F281" s="65"/>
      <c r="G281" s="62">
        <v>10945.0</v>
      </c>
      <c r="H281" s="17" t="s">
        <v>154</v>
      </c>
      <c r="I281" s="17" t="s">
        <v>157</v>
      </c>
      <c r="J281" s="17" t="s">
        <v>441</v>
      </c>
      <c r="K281" s="64" t="s">
        <v>155</v>
      </c>
      <c r="L281" s="18"/>
      <c r="M281" s="65"/>
      <c r="N281" s="18"/>
      <c r="O281" s="65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>
      <c r="A282" s="63">
        <v>45525.0</v>
      </c>
      <c r="B282" s="17">
        <v>623.87</v>
      </c>
      <c r="C282" s="17" t="s">
        <v>154</v>
      </c>
      <c r="D282" s="17" t="s">
        <v>25</v>
      </c>
      <c r="E282" s="17" t="s">
        <v>442</v>
      </c>
      <c r="F282" s="64" t="s">
        <v>155</v>
      </c>
      <c r="G282" s="18"/>
      <c r="H282" s="18"/>
      <c r="I282" s="18"/>
      <c r="J282" s="18"/>
      <c r="K282" s="65"/>
      <c r="L282" s="18"/>
      <c r="M282" s="65"/>
      <c r="N282" s="18"/>
      <c r="O282" s="65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>
      <c r="A283" s="63">
        <v>45531.0</v>
      </c>
      <c r="B283" s="62">
        <v>36.0</v>
      </c>
      <c r="C283" s="17" t="s">
        <v>154</v>
      </c>
      <c r="D283" s="17" t="s">
        <v>138</v>
      </c>
      <c r="E283" s="17"/>
      <c r="F283" s="64" t="s">
        <v>155</v>
      </c>
      <c r="G283" s="18"/>
      <c r="H283" s="18"/>
      <c r="I283" s="18"/>
      <c r="J283" s="18"/>
      <c r="K283" s="65"/>
      <c r="L283" s="17">
        <v>9000.0</v>
      </c>
      <c r="M283" s="65"/>
      <c r="N283" s="18"/>
      <c r="O283" s="65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>
      <c r="A284" s="67"/>
      <c r="B284" s="62">
        <v>4.0</v>
      </c>
      <c r="C284" s="17" t="s">
        <v>154</v>
      </c>
      <c r="D284" s="17" t="s">
        <v>138</v>
      </c>
      <c r="E284" s="17"/>
      <c r="F284" s="64" t="s">
        <v>155</v>
      </c>
      <c r="G284" s="18"/>
      <c r="H284" s="18"/>
      <c r="I284" s="18"/>
      <c r="J284" s="18"/>
      <c r="K284" s="65"/>
      <c r="L284" s="17">
        <v>1000.0</v>
      </c>
      <c r="M284" s="65"/>
      <c r="N284" s="18"/>
      <c r="O284" s="65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>
      <c r="A285" s="63">
        <v>45535.0</v>
      </c>
      <c r="B285" s="17">
        <v>40.0</v>
      </c>
      <c r="C285" s="17" t="s">
        <v>154</v>
      </c>
      <c r="D285" s="17" t="s">
        <v>145</v>
      </c>
      <c r="E285" s="17"/>
      <c r="F285" s="64" t="s">
        <v>155</v>
      </c>
      <c r="G285" s="18"/>
      <c r="H285" s="18"/>
      <c r="I285" s="18"/>
      <c r="J285" s="18"/>
      <c r="K285" s="65"/>
      <c r="L285" s="18"/>
      <c r="M285" s="65"/>
      <c r="N285" s="18"/>
      <c r="O285" s="65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>
      <c r="A286" s="67"/>
      <c r="B286" s="17">
        <v>5000.0</v>
      </c>
      <c r="C286" s="17" t="s">
        <v>154</v>
      </c>
      <c r="D286" s="17" t="s">
        <v>24</v>
      </c>
      <c r="E286" s="17" t="s">
        <v>443</v>
      </c>
      <c r="F286" s="64" t="s">
        <v>149</v>
      </c>
      <c r="G286" s="18"/>
      <c r="H286" s="18"/>
      <c r="I286" s="18"/>
      <c r="J286" s="18"/>
      <c r="K286" s="65"/>
      <c r="L286" s="18"/>
      <c r="M286" s="65"/>
      <c r="N286" s="18"/>
      <c r="O286" s="65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>
      <c r="A287" s="92"/>
      <c r="B287" s="93"/>
      <c r="C287" s="93"/>
      <c r="D287" s="93"/>
      <c r="E287" s="93"/>
      <c r="F287" s="94"/>
      <c r="G287" s="93"/>
      <c r="H287" s="93"/>
      <c r="I287" s="93"/>
      <c r="J287" s="93"/>
      <c r="K287" s="94"/>
      <c r="L287" s="93"/>
      <c r="M287" s="94"/>
      <c r="N287" s="93"/>
      <c r="O287" s="94"/>
      <c r="P287" s="93"/>
      <c r="Q287" s="93"/>
      <c r="R287" s="93"/>
      <c r="S287" s="93"/>
      <c r="T287" s="93"/>
      <c r="U287" s="93"/>
      <c r="V287" s="93"/>
      <c r="W287" s="93"/>
      <c r="X287" s="93"/>
      <c r="Y287" s="93"/>
    </row>
    <row r="288">
      <c r="A288" s="92"/>
      <c r="B288" s="93"/>
      <c r="C288" s="93"/>
      <c r="D288" s="93"/>
      <c r="E288" s="93"/>
      <c r="F288" s="94"/>
      <c r="G288" s="93"/>
      <c r="H288" s="93"/>
      <c r="I288" s="93"/>
      <c r="J288" s="93"/>
      <c r="K288" s="94"/>
      <c r="L288" s="93"/>
      <c r="M288" s="94"/>
      <c r="N288" s="93"/>
      <c r="O288" s="94"/>
      <c r="P288" s="93"/>
      <c r="Q288" s="93"/>
      <c r="R288" s="93"/>
      <c r="S288" s="93"/>
      <c r="T288" s="93"/>
      <c r="U288" s="93"/>
      <c r="V288" s="93"/>
      <c r="W288" s="93"/>
      <c r="X288" s="93"/>
      <c r="Y288" s="93"/>
    </row>
    <row r="289">
      <c r="A289" s="63">
        <v>45538.0</v>
      </c>
      <c r="B289" s="17">
        <v>213.16</v>
      </c>
      <c r="C289" s="17" t="s">
        <v>154</v>
      </c>
      <c r="D289" s="17" t="s">
        <v>146</v>
      </c>
      <c r="E289" s="18"/>
      <c r="F289" s="64" t="s">
        <v>155</v>
      </c>
      <c r="G289" s="66"/>
      <c r="H289" s="18"/>
      <c r="I289" s="18"/>
      <c r="J289" s="18"/>
      <c r="K289" s="65"/>
      <c r="L289" s="66"/>
      <c r="M289" s="65"/>
      <c r="N289" s="66"/>
      <c r="O289" s="65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>
      <c r="A290" s="67"/>
      <c r="B290" s="62">
        <v>1000.0</v>
      </c>
      <c r="C290" s="17" t="s">
        <v>154</v>
      </c>
      <c r="D290" s="17" t="s">
        <v>110</v>
      </c>
      <c r="E290" s="17" t="s">
        <v>444</v>
      </c>
      <c r="F290" s="64" t="s">
        <v>149</v>
      </c>
      <c r="G290" s="66"/>
      <c r="H290" s="18"/>
      <c r="I290" s="18"/>
      <c r="J290" s="18"/>
      <c r="K290" s="65"/>
      <c r="L290" s="66"/>
      <c r="M290" s="65"/>
      <c r="N290" s="66"/>
      <c r="O290" s="65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>
      <c r="A291" s="46"/>
      <c r="B291" s="62">
        <v>1200.0</v>
      </c>
      <c r="C291" s="17" t="s">
        <v>154</v>
      </c>
      <c r="D291" s="17" t="s">
        <v>110</v>
      </c>
      <c r="E291" s="17" t="s">
        <v>445</v>
      </c>
      <c r="F291" s="64" t="s">
        <v>149</v>
      </c>
      <c r="G291" s="66"/>
      <c r="H291" s="18"/>
      <c r="I291" s="18"/>
      <c r="J291" s="18"/>
      <c r="K291" s="65"/>
      <c r="L291" s="66"/>
      <c r="M291" s="65"/>
      <c r="N291" s="66"/>
      <c r="O291" s="65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>
      <c r="A292" s="67"/>
      <c r="B292" s="62">
        <v>1000.0</v>
      </c>
      <c r="C292" s="17" t="s">
        <v>154</v>
      </c>
      <c r="D292" s="17" t="s">
        <v>110</v>
      </c>
      <c r="E292" s="17" t="s">
        <v>446</v>
      </c>
      <c r="F292" s="64" t="s">
        <v>149</v>
      </c>
      <c r="G292" s="66"/>
      <c r="H292" s="18"/>
      <c r="I292" s="18"/>
      <c r="J292" s="18"/>
      <c r="K292" s="65"/>
      <c r="L292" s="66"/>
      <c r="M292" s="65"/>
      <c r="N292" s="66"/>
      <c r="O292" s="65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>
      <c r="A293" s="67"/>
      <c r="B293" s="62">
        <v>1500.0</v>
      </c>
      <c r="C293" s="17" t="s">
        <v>154</v>
      </c>
      <c r="D293" s="17" t="s">
        <v>110</v>
      </c>
      <c r="E293" s="17" t="s">
        <v>447</v>
      </c>
      <c r="F293" s="64" t="s">
        <v>149</v>
      </c>
      <c r="G293" s="66"/>
      <c r="H293" s="18"/>
      <c r="I293" s="18"/>
      <c r="J293" s="18"/>
      <c r="K293" s="65"/>
      <c r="L293" s="66"/>
      <c r="M293" s="65"/>
      <c r="N293" s="66"/>
      <c r="O293" s="65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>
      <c r="A294" s="67"/>
      <c r="B294" s="62">
        <v>24.0</v>
      </c>
      <c r="C294" s="17" t="s">
        <v>154</v>
      </c>
      <c r="D294" s="17" t="s">
        <v>138</v>
      </c>
      <c r="E294" s="17"/>
      <c r="F294" s="64" t="s">
        <v>155</v>
      </c>
      <c r="G294" s="66"/>
      <c r="H294" s="18"/>
      <c r="I294" s="18"/>
      <c r="J294" s="18"/>
      <c r="K294" s="65"/>
      <c r="L294" s="62">
        <v>6000.0</v>
      </c>
      <c r="M294" s="65"/>
      <c r="N294" s="66"/>
      <c r="O294" s="65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>
      <c r="A295" s="67"/>
      <c r="B295" s="62">
        <v>8.0</v>
      </c>
      <c r="C295" s="17" t="s">
        <v>154</v>
      </c>
      <c r="D295" s="17" t="s">
        <v>138</v>
      </c>
      <c r="E295" s="17"/>
      <c r="F295" s="64" t="s">
        <v>155</v>
      </c>
      <c r="G295" s="66"/>
      <c r="H295" s="18"/>
      <c r="I295" s="18"/>
      <c r="J295" s="18"/>
      <c r="K295" s="65"/>
      <c r="L295" s="62">
        <v>2000.0</v>
      </c>
      <c r="M295" s="65"/>
      <c r="N295" s="66"/>
      <c r="O295" s="65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>
      <c r="A296" s="63">
        <v>45539.0</v>
      </c>
      <c r="B296" s="62">
        <v>1750.0</v>
      </c>
      <c r="C296" s="17" t="s">
        <v>154</v>
      </c>
      <c r="D296" s="17" t="s">
        <v>110</v>
      </c>
      <c r="E296" s="45" t="s">
        <v>448</v>
      </c>
      <c r="F296" s="64" t="s">
        <v>149</v>
      </c>
      <c r="G296" s="62">
        <v>12434.0</v>
      </c>
      <c r="H296" s="17" t="s">
        <v>154</v>
      </c>
      <c r="I296" s="17" t="s">
        <v>160</v>
      </c>
      <c r="J296" s="17" t="s">
        <v>448</v>
      </c>
      <c r="K296" s="64" t="s">
        <v>155</v>
      </c>
      <c r="L296" s="62">
        <v>6000.0</v>
      </c>
      <c r="M296" s="65"/>
      <c r="N296" s="66"/>
      <c r="O296" s="65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>
      <c r="A297" s="67"/>
      <c r="B297" s="17">
        <v>300.0</v>
      </c>
      <c r="C297" s="17" t="s">
        <v>204</v>
      </c>
      <c r="D297" s="17" t="s">
        <v>25</v>
      </c>
      <c r="E297" s="17" t="s">
        <v>449</v>
      </c>
      <c r="F297" s="64" t="s">
        <v>149</v>
      </c>
      <c r="G297" s="62">
        <v>10949.0</v>
      </c>
      <c r="H297" s="17" t="s">
        <v>154</v>
      </c>
      <c r="I297" s="17" t="s">
        <v>160</v>
      </c>
      <c r="J297" s="17" t="s">
        <v>450</v>
      </c>
      <c r="K297" s="64" t="s">
        <v>155</v>
      </c>
      <c r="L297" s="62">
        <v>4000.0</v>
      </c>
      <c r="M297" s="65"/>
      <c r="N297" s="66"/>
      <c r="O297" s="65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>
      <c r="A298" s="67"/>
      <c r="B298" s="62">
        <v>1000.0</v>
      </c>
      <c r="C298" s="17" t="s">
        <v>154</v>
      </c>
      <c r="D298" s="17" t="s">
        <v>111</v>
      </c>
      <c r="E298" s="17" t="s">
        <v>444</v>
      </c>
      <c r="F298" s="64" t="s">
        <v>149</v>
      </c>
      <c r="G298" s="62">
        <v>2650.0</v>
      </c>
      <c r="H298" s="17" t="s">
        <v>204</v>
      </c>
      <c r="I298" s="17" t="s">
        <v>160</v>
      </c>
      <c r="J298" s="17" t="s">
        <v>451</v>
      </c>
      <c r="K298" s="64" t="s">
        <v>149</v>
      </c>
      <c r="L298" s="66"/>
      <c r="M298" s="65"/>
      <c r="N298" s="66"/>
      <c r="O298" s="65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>
      <c r="A299" s="67"/>
      <c r="B299" s="62">
        <v>1200.0</v>
      </c>
      <c r="C299" s="17" t="s">
        <v>154</v>
      </c>
      <c r="D299" s="17" t="s">
        <v>111</v>
      </c>
      <c r="E299" s="17" t="s">
        <v>445</v>
      </c>
      <c r="F299" s="64" t="s">
        <v>149</v>
      </c>
      <c r="G299" s="62">
        <v>9940.0</v>
      </c>
      <c r="H299" s="17" t="s">
        <v>154</v>
      </c>
      <c r="I299" s="17" t="s">
        <v>160</v>
      </c>
      <c r="J299" s="17" t="s">
        <v>444</v>
      </c>
      <c r="K299" s="64" t="s">
        <v>155</v>
      </c>
      <c r="L299" s="66"/>
      <c r="M299" s="65"/>
      <c r="N299" s="66"/>
      <c r="O299" s="65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>
      <c r="A300" s="67"/>
      <c r="B300" s="62">
        <v>1000.0</v>
      </c>
      <c r="C300" s="17" t="s">
        <v>154</v>
      </c>
      <c r="D300" s="17" t="s">
        <v>111</v>
      </c>
      <c r="E300" s="17" t="s">
        <v>446</v>
      </c>
      <c r="F300" s="64" t="s">
        <v>149</v>
      </c>
      <c r="G300" s="62">
        <v>9600.0</v>
      </c>
      <c r="H300" s="17" t="s">
        <v>154</v>
      </c>
      <c r="I300" s="17" t="s">
        <v>219</v>
      </c>
      <c r="J300" s="18"/>
      <c r="K300" s="64" t="s">
        <v>149</v>
      </c>
      <c r="L300" s="66"/>
      <c r="M300" s="65"/>
      <c r="N300" s="66"/>
      <c r="O300" s="65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>
      <c r="A301" s="67"/>
      <c r="B301" s="62">
        <v>1500.0</v>
      </c>
      <c r="C301" s="17" t="s">
        <v>154</v>
      </c>
      <c r="D301" s="17" t="s">
        <v>111</v>
      </c>
      <c r="E301" s="17" t="s">
        <v>447</v>
      </c>
      <c r="F301" s="64" t="s">
        <v>149</v>
      </c>
      <c r="G301" s="66"/>
      <c r="H301" s="18"/>
      <c r="I301" s="18"/>
      <c r="J301" s="18"/>
      <c r="K301" s="65"/>
      <c r="L301" s="66"/>
      <c r="M301" s="65"/>
      <c r="N301" s="66"/>
      <c r="O301" s="65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>
      <c r="A302" s="67"/>
      <c r="B302" s="62">
        <v>1750.0</v>
      </c>
      <c r="C302" s="17" t="s">
        <v>154</v>
      </c>
      <c r="D302" s="17" t="s">
        <v>111</v>
      </c>
      <c r="E302" s="45" t="s">
        <v>448</v>
      </c>
      <c r="F302" s="64" t="s">
        <v>149</v>
      </c>
      <c r="G302" s="66"/>
      <c r="H302" s="18"/>
      <c r="I302" s="18"/>
      <c r="J302" s="18"/>
      <c r="K302" s="65"/>
      <c r="L302" s="66"/>
      <c r="M302" s="65"/>
      <c r="N302" s="66"/>
      <c r="O302" s="65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>
      <c r="A303" s="67"/>
      <c r="B303" s="17">
        <v>450.0</v>
      </c>
      <c r="C303" s="17" t="s">
        <v>204</v>
      </c>
      <c r="D303" s="17" t="s">
        <v>111</v>
      </c>
      <c r="E303" s="45" t="s">
        <v>452</v>
      </c>
      <c r="F303" s="64" t="s">
        <v>149</v>
      </c>
      <c r="G303" s="66"/>
      <c r="H303" s="18"/>
      <c r="I303" s="18"/>
      <c r="J303" s="18"/>
      <c r="K303" s="65"/>
      <c r="L303" s="66"/>
      <c r="M303" s="65"/>
      <c r="N303" s="66"/>
      <c r="O303" s="65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>
      <c r="A304" s="67"/>
      <c r="B304" s="62">
        <v>1000.0</v>
      </c>
      <c r="C304" s="17" t="s">
        <v>154</v>
      </c>
      <c r="D304" s="17" t="s">
        <v>113</v>
      </c>
      <c r="E304" s="17" t="s">
        <v>444</v>
      </c>
      <c r="F304" s="64" t="s">
        <v>149</v>
      </c>
      <c r="G304" s="66"/>
      <c r="H304" s="18"/>
      <c r="I304" s="18"/>
      <c r="J304" s="18"/>
      <c r="K304" s="65"/>
      <c r="L304" s="66"/>
      <c r="M304" s="65"/>
      <c r="N304" s="66"/>
      <c r="O304" s="65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>
      <c r="A305" s="67"/>
      <c r="B305" s="62">
        <v>24.0</v>
      </c>
      <c r="C305" s="17" t="s">
        <v>154</v>
      </c>
      <c r="D305" s="17" t="s">
        <v>138</v>
      </c>
      <c r="E305" s="17"/>
      <c r="F305" s="64" t="s">
        <v>155</v>
      </c>
      <c r="G305" s="66"/>
      <c r="H305" s="18"/>
      <c r="I305" s="18"/>
      <c r="J305" s="18"/>
      <c r="K305" s="65"/>
      <c r="L305" s="66"/>
      <c r="M305" s="65"/>
      <c r="N305" s="66"/>
      <c r="O305" s="65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>
      <c r="A306" s="67"/>
      <c r="B306" s="62">
        <v>8.0</v>
      </c>
      <c r="C306" s="17" t="s">
        <v>154</v>
      </c>
      <c r="D306" s="17" t="s">
        <v>138</v>
      </c>
      <c r="E306" s="17"/>
      <c r="F306" s="64" t="s">
        <v>155</v>
      </c>
      <c r="G306" s="66"/>
      <c r="H306" s="18"/>
      <c r="I306" s="18"/>
      <c r="J306" s="18"/>
      <c r="K306" s="65"/>
      <c r="L306" s="66"/>
      <c r="M306" s="65"/>
      <c r="N306" s="66"/>
      <c r="O306" s="65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>
      <c r="A307" s="67"/>
      <c r="B307" s="17">
        <v>450.0</v>
      </c>
      <c r="C307" s="17" t="s">
        <v>204</v>
      </c>
      <c r="D307" s="17" t="s">
        <v>109</v>
      </c>
      <c r="E307" s="45" t="s">
        <v>452</v>
      </c>
      <c r="F307" s="64" t="s">
        <v>149</v>
      </c>
      <c r="G307" s="66"/>
      <c r="H307" s="18"/>
      <c r="I307" s="18"/>
      <c r="J307" s="18"/>
      <c r="K307" s="65"/>
      <c r="L307" s="66"/>
      <c r="M307" s="65"/>
      <c r="N307" s="66"/>
      <c r="O307" s="65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>
      <c r="A308" s="67"/>
      <c r="B308" s="17">
        <v>450.0</v>
      </c>
      <c r="C308" s="17" t="s">
        <v>204</v>
      </c>
      <c r="D308" s="17" t="s">
        <v>113</v>
      </c>
      <c r="E308" s="45" t="s">
        <v>452</v>
      </c>
      <c r="F308" s="64" t="s">
        <v>149</v>
      </c>
      <c r="G308" s="66"/>
      <c r="H308" s="18"/>
      <c r="I308" s="18"/>
      <c r="J308" s="18"/>
      <c r="K308" s="65"/>
      <c r="L308" s="66"/>
      <c r="M308" s="65"/>
      <c r="N308" s="66"/>
      <c r="O308" s="65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>
      <c r="A309" s="67"/>
      <c r="B309" s="17">
        <v>450.0</v>
      </c>
      <c r="C309" s="17" t="s">
        <v>204</v>
      </c>
      <c r="D309" s="17" t="s">
        <v>110</v>
      </c>
      <c r="E309" s="45" t="s">
        <v>452</v>
      </c>
      <c r="F309" s="64" t="s">
        <v>149</v>
      </c>
      <c r="G309" s="66"/>
      <c r="H309" s="18"/>
      <c r="I309" s="18"/>
      <c r="J309" s="18"/>
      <c r="K309" s="65"/>
      <c r="L309" s="66"/>
      <c r="M309" s="65"/>
      <c r="N309" s="66"/>
      <c r="O309" s="65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>
      <c r="A310" s="67"/>
      <c r="B310" s="17">
        <v>450.0</v>
      </c>
      <c r="C310" s="17" t="s">
        <v>204</v>
      </c>
      <c r="D310" s="17" t="s">
        <v>112</v>
      </c>
      <c r="E310" s="45" t="s">
        <v>452</v>
      </c>
      <c r="F310" s="64" t="s">
        <v>149</v>
      </c>
      <c r="G310" s="66"/>
      <c r="H310" s="18"/>
      <c r="I310" s="18"/>
      <c r="J310" s="18"/>
      <c r="K310" s="65"/>
      <c r="L310" s="66"/>
      <c r="M310" s="65"/>
      <c r="N310" s="66"/>
      <c r="O310" s="65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>
      <c r="A311" s="67"/>
      <c r="B311" s="17">
        <v>450.0</v>
      </c>
      <c r="C311" s="17" t="s">
        <v>204</v>
      </c>
      <c r="D311" s="17" t="s">
        <v>113</v>
      </c>
      <c r="E311" s="45" t="s">
        <v>453</v>
      </c>
      <c r="F311" s="64" t="s">
        <v>149</v>
      </c>
      <c r="G311" s="66"/>
      <c r="H311" s="18"/>
      <c r="I311" s="18"/>
      <c r="J311" s="18"/>
      <c r="K311" s="65"/>
      <c r="L311" s="66"/>
      <c r="M311" s="65"/>
      <c r="N311" s="66"/>
      <c r="O311" s="65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>
      <c r="A312" s="67"/>
      <c r="B312" s="62">
        <v>1950.0</v>
      </c>
      <c r="C312" s="17" t="s">
        <v>204</v>
      </c>
      <c r="D312" s="17" t="s">
        <v>219</v>
      </c>
      <c r="E312" s="18"/>
      <c r="F312" s="64" t="s">
        <v>149</v>
      </c>
      <c r="G312" s="66"/>
      <c r="H312" s="18"/>
      <c r="I312" s="18"/>
      <c r="J312" s="18"/>
      <c r="K312" s="65"/>
      <c r="L312" s="66"/>
      <c r="M312" s="65"/>
      <c r="N312" s="66"/>
      <c r="O312" s="65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>
      <c r="A313" s="63">
        <v>45540.0</v>
      </c>
      <c r="B313" s="62">
        <v>1200.0</v>
      </c>
      <c r="C313" s="17" t="s">
        <v>154</v>
      </c>
      <c r="D313" s="17" t="s">
        <v>109</v>
      </c>
      <c r="E313" s="17" t="s">
        <v>445</v>
      </c>
      <c r="F313" s="64" t="s">
        <v>149</v>
      </c>
      <c r="G313" s="66"/>
      <c r="H313" s="18"/>
      <c r="I313" s="18"/>
      <c r="J313" s="18"/>
      <c r="K313" s="65"/>
      <c r="L313" s="66"/>
      <c r="M313" s="65"/>
      <c r="N313" s="66"/>
      <c r="O313" s="65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>
      <c r="A314" s="67"/>
      <c r="B314" s="62">
        <v>1000.0</v>
      </c>
      <c r="C314" s="17" t="s">
        <v>154</v>
      </c>
      <c r="D314" s="17" t="s">
        <v>109</v>
      </c>
      <c r="E314" s="17" t="s">
        <v>446</v>
      </c>
      <c r="F314" s="64" t="s">
        <v>149</v>
      </c>
      <c r="G314" s="66"/>
      <c r="H314" s="18"/>
      <c r="I314" s="18"/>
      <c r="J314" s="18"/>
      <c r="K314" s="65"/>
      <c r="L314" s="66"/>
      <c r="M314" s="65"/>
      <c r="N314" s="66"/>
      <c r="O314" s="65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>
      <c r="A315" s="67"/>
      <c r="B315" s="62">
        <v>1500.0</v>
      </c>
      <c r="C315" s="17" t="s">
        <v>154</v>
      </c>
      <c r="D315" s="17" t="s">
        <v>109</v>
      </c>
      <c r="E315" s="17" t="s">
        <v>447</v>
      </c>
      <c r="F315" s="64" t="s">
        <v>149</v>
      </c>
      <c r="G315" s="66"/>
      <c r="H315" s="18"/>
      <c r="I315" s="18"/>
      <c r="J315" s="18"/>
      <c r="K315" s="65"/>
      <c r="L315" s="66"/>
      <c r="M315" s="65"/>
      <c r="N315" s="66"/>
      <c r="O315" s="65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>
      <c r="A316" s="67"/>
      <c r="B316" s="62">
        <v>1750.0</v>
      </c>
      <c r="C316" s="17" t="s">
        <v>154</v>
      </c>
      <c r="D316" s="17" t="s">
        <v>109</v>
      </c>
      <c r="E316" s="45" t="s">
        <v>448</v>
      </c>
      <c r="F316" s="64" t="s">
        <v>149</v>
      </c>
      <c r="G316" s="66"/>
      <c r="H316" s="18"/>
      <c r="I316" s="18"/>
      <c r="J316" s="18"/>
      <c r="K316" s="65"/>
      <c r="L316" s="66"/>
      <c r="M316" s="65"/>
      <c r="N316" s="66"/>
      <c r="O316" s="65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>
      <c r="A317" s="67"/>
      <c r="B317" s="62">
        <v>1350.0</v>
      </c>
      <c r="C317" s="17" t="s">
        <v>154</v>
      </c>
      <c r="D317" s="17" t="s">
        <v>109</v>
      </c>
      <c r="E317" s="45" t="s">
        <v>434</v>
      </c>
      <c r="F317" s="64" t="s">
        <v>149</v>
      </c>
      <c r="G317" s="66"/>
      <c r="H317" s="18"/>
      <c r="I317" s="18"/>
      <c r="J317" s="18"/>
      <c r="K317" s="65"/>
      <c r="L317" s="66"/>
      <c r="M317" s="65"/>
      <c r="N317" s="66"/>
      <c r="O317" s="65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>
      <c r="A318" s="67"/>
      <c r="B318" s="62">
        <v>1000.0</v>
      </c>
      <c r="C318" s="17" t="s">
        <v>154</v>
      </c>
      <c r="D318" s="17" t="s">
        <v>109</v>
      </c>
      <c r="E318" s="45" t="s">
        <v>444</v>
      </c>
      <c r="F318" s="64" t="s">
        <v>149</v>
      </c>
      <c r="G318" s="66"/>
      <c r="H318" s="18"/>
      <c r="I318" s="18"/>
      <c r="J318" s="18"/>
      <c r="K318" s="65"/>
      <c r="L318" s="66"/>
      <c r="M318" s="65"/>
      <c r="N318" s="66"/>
      <c r="O318" s="65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>
      <c r="A319" s="67"/>
      <c r="B319" s="62">
        <v>1200.0</v>
      </c>
      <c r="C319" s="17" t="s">
        <v>154</v>
      </c>
      <c r="D319" s="17" t="s">
        <v>112</v>
      </c>
      <c r="E319" s="17" t="s">
        <v>445</v>
      </c>
      <c r="F319" s="64" t="s">
        <v>149</v>
      </c>
      <c r="G319" s="66"/>
      <c r="H319" s="18"/>
      <c r="I319" s="18"/>
      <c r="J319" s="18"/>
      <c r="K319" s="65"/>
      <c r="L319" s="66"/>
      <c r="M319" s="65"/>
      <c r="N319" s="66"/>
      <c r="O319" s="65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>
      <c r="A320" s="67"/>
      <c r="B320" s="62">
        <v>1000.0</v>
      </c>
      <c r="C320" s="17" t="s">
        <v>154</v>
      </c>
      <c r="D320" s="17" t="s">
        <v>112</v>
      </c>
      <c r="E320" s="17" t="s">
        <v>446</v>
      </c>
      <c r="F320" s="64" t="s">
        <v>149</v>
      </c>
      <c r="G320" s="66"/>
      <c r="H320" s="18"/>
      <c r="I320" s="18"/>
      <c r="J320" s="18"/>
      <c r="K320" s="65"/>
      <c r="L320" s="66"/>
      <c r="M320" s="65"/>
      <c r="N320" s="66"/>
      <c r="O320" s="65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>
      <c r="A321" s="67"/>
      <c r="B321" s="62">
        <v>1500.0</v>
      </c>
      <c r="C321" s="17" t="s">
        <v>154</v>
      </c>
      <c r="D321" s="17" t="s">
        <v>112</v>
      </c>
      <c r="E321" s="17" t="s">
        <v>447</v>
      </c>
      <c r="F321" s="64" t="s">
        <v>149</v>
      </c>
      <c r="G321" s="66"/>
      <c r="H321" s="18"/>
      <c r="I321" s="18"/>
      <c r="J321" s="18"/>
      <c r="K321" s="65"/>
      <c r="L321" s="66"/>
      <c r="M321" s="65"/>
      <c r="N321" s="66"/>
      <c r="O321" s="65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>
      <c r="A322" s="67"/>
      <c r="B322" s="62">
        <v>1750.0</v>
      </c>
      <c r="C322" s="17" t="s">
        <v>154</v>
      </c>
      <c r="D322" s="17" t="s">
        <v>112</v>
      </c>
      <c r="E322" s="45" t="s">
        <v>448</v>
      </c>
      <c r="F322" s="64" t="s">
        <v>149</v>
      </c>
      <c r="G322" s="66"/>
      <c r="H322" s="18"/>
      <c r="I322" s="18"/>
      <c r="J322" s="18"/>
      <c r="K322" s="65"/>
      <c r="L322" s="66"/>
      <c r="M322" s="65"/>
      <c r="N322" s="66"/>
      <c r="O322" s="65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>
      <c r="A323" s="67"/>
      <c r="B323" s="62">
        <v>1350.0</v>
      </c>
      <c r="C323" s="17" t="s">
        <v>154</v>
      </c>
      <c r="D323" s="17" t="s">
        <v>112</v>
      </c>
      <c r="E323" s="45" t="s">
        <v>434</v>
      </c>
      <c r="F323" s="64" t="s">
        <v>149</v>
      </c>
      <c r="G323" s="66"/>
      <c r="H323" s="18"/>
      <c r="I323" s="18"/>
      <c r="J323" s="18"/>
      <c r="K323" s="65"/>
      <c r="L323" s="66"/>
      <c r="M323" s="65"/>
      <c r="N323" s="66"/>
      <c r="O323" s="65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>
      <c r="A324" s="67"/>
      <c r="B324" s="62">
        <v>1000.0</v>
      </c>
      <c r="C324" s="17" t="s">
        <v>154</v>
      </c>
      <c r="D324" s="17" t="s">
        <v>112</v>
      </c>
      <c r="E324" s="45" t="s">
        <v>444</v>
      </c>
      <c r="F324" s="64" t="s">
        <v>149</v>
      </c>
      <c r="G324" s="66"/>
      <c r="H324" s="18"/>
      <c r="I324" s="18"/>
      <c r="J324" s="18"/>
      <c r="K324" s="65"/>
      <c r="L324" s="66"/>
      <c r="M324" s="65"/>
      <c r="N324" s="66"/>
      <c r="O324" s="65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>
      <c r="A325" s="67"/>
      <c r="B325" s="62">
        <v>950.0</v>
      </c>
      <c r="C325" s="17" t="s">
        <v>154</v>
      </c>
      <c r="D325" s="17" t="s">
        <v>112</v>
      </c>
      <c r="E325" s="45" t="s">
        <v>454</v>
      </c>
      <c r="F325" s="64" t="s">
        <v>149</v>
      </c>
      <c r="G325" s="66"/>
      <c r="H325" s="18"/>
      <c r="I325" s="18"/>
      <c r="J325" s="18"/>
      <c r="K325" s="65"/>
      <c r="L325" s="66"/>
      <c r="M325" s="65"/>
      <c r="N325" s="66"/>
      <c r="O325" s="65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>
      <c r="A326" s="67"/>
      <c r="B326" s="62">
        <v>1200.0</v>
      </c>
      <c r="C326" s="17" t="s">
        <v>154</v>
      </c>
      <c r="D326" s="17" t="s">
        <v>113</v>
      </c>
      <c r="E326" s="17" t="s">
        <v>445</v>
      </c>
      <c r="F326" s="64" t="s">
        <v>149</v>
      </c>
      <c r="G326" s="66"/>
      <c r="H326" s="18"/>
      <c r="I326" s="18"/>
      <c r="J326" s="18"/>
      <c r="K326" s="65"/>
      <c r="L326" s="66"/>
      <c r="M326" s="65"/>
      <c r="N326" s="66"/>
      <c r="O326" s="65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>
      <c r="A327" s="67"/>
      <c r="B327" s="62">
        <v>1000.0</v>
      </c>
      <c r="C327" s="17" t="s">
        <v>154</v>
      </c>
      <c r="D327" s="17" t="s">
        <v>113</v>
      </c>
      <c r="E327" s="17" t="s">
        <v>446</v>
      </c>
      <c r="F327" s="64" t="s">
        <v>149</v>
      </c>
      <c r="G327" s="66"/>
      <c r="H327" s="18"/>
      <c r="I327" s="18"/>
      <c r="J327" s="18"/>
      <c r="K327" s="65"/>
      <c r="L327" s="66"/>
      <c r="M327" s="65"/>
      <c r="N327" s="66"/>
      <c r="O327" s="65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>
      <c r="A328" s="67"/>
      <c r="B328" s="62">
        <v>1500.0</v>
      </c>
      <c r="C328" s="17" t="s">
        <v>154</v>
      </c>
      <c r="D328" s="17" t="s">
        <v>113</v>
      </c>
      <c r="E328" s="17" t="s">
        <v>447</v>
      </c>
      <c r="F328" s="64" t="s">
        <v>149</v>
      </c>
      <c r="G328" s="66"/>
      <c r="H328" s="18"/>
      <c r="I328" s="18"/>
      <c r="J328" s="18"/>
      <c r="K328" s="65"/>
      <c r="L328" s="66"/>
      <c r="M328" s="65"/>
      <c r="N328" s="66"/>
      <c r="O328" s="65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>
      <c r="A329" s="67"/>
      <c r="B329" s="62">
        <v>1750.0</v>
      </c>
      <c r="C329" s="17" t="s">
        <v>154</v>
      </c>
      <c r="D329" s="17" t="s">
        <v>113</v>
      </c>
      <c r="E329" s="45" t="s">
        <v>448</v>
      </c>
      <c r="F329" s="64" t="s">
        <v>149</v>
      </c>
      <c r="G329" s="66"/>
      <c r="H329" s="18"/>
      <c r="I329" s="18"/>
      <c r="J329" s="18"/>
      <c r="K329" s="65"/>
      <c r="L329" s="66"/>
      <c r="M329" s="65"/>
      <c r="N329" s="66"/>
      <c r="O329" s="65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>
      <c r="A330" s="67"/>
      <c r="B330" s="62">
        <v>1350.0</v>
      </c>
      <c r="C330" s="17" t="s">
        <v>154</v>
      </c>
      <c r="D330" s="17" t="s">
        <v>113</v>
      </c>
      <c r="E330" s="45" t="s">
        <v>434</v>
      </c>
      <c r="F330" s="64" t="s">
        <v>149</v>
      </c>
      <c r="G330" s="66"/>
      <c r="H330" s="18"/>
      <c r="I330" s="18"/>
      <c r="J330" s="18"/>
      <c r="K330" s="65"/>
      <c r="L330" s="66"/>
      <c r="M330" s="65"/>
      <c r="N330" s="66"/>
      <c r="O330" s="65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>
      <c r="A331" s="67"/>
      <c r="B331" s="62">
        <v>1700.0</v>
      </c>
      <c r="C331" s="17" t="s">
        <v>154</v>
      </c>
      <c r="D331" s="17" t="s">
        <v>113</v>
      </c>
      <c r="E331" s="45" t="s">
        <v>455</v>
      </c>
      <c r="F331" s="64" t="s">
        <v>149</v>
      </c>
      <c r="G331" s="66"/>
      <c r="H331" s="18"/>
      <c r="I331" s="18"/>
      <c r="J331" s="18"/>
      <c r="K331" s="65"/>
      <c r="L331" s="66"/>
      <c r="M331" s="65"/>
      <c r="N331" s="66"/>
      <c r="O331" s="65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>
      <c r="A332" s="67"/>
      <c r="B332" s="62">
        <v>950.0</v>
      </c>
      <c r="C332" s="17" t="s">
        <v>154</v>
      </c>
      <c r="D332" s="17" t="s">
        <v>113</v>
      </c>
      <c r="E332" s="45" t="s">
        <v>454</v>
      </c>
      <c r="F332" s="64" t="s">
        <v>149</v>
      </c>
      <c r="G332" s="66"/>
      <c r="H332" s="18"/>
      <c r="I332" s="18"/>
      <c r="J332" s="18"/>
      <c r="K332" s="65"/>
      <c r="L332" s="66"/>
      <c r="M332" s="65"/>
      <c r="N332" s="66"/>
      <c r="O332" s="65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>
      <c r="A333" s="67"/>
      <c r="B333" s="62">
        <v>8400.0</v>
      </c>
      <c r="C333" s="17" t="s">
        <v>154</v>
      </c>
      <c r="D333" s="17" t="s">
        <v>22</v>
      </c>
      <c r="E333" s="17" t="s">
        <v>456</v>
      </c>
      <c r="F333" s="64" t="s">
        <v>155</v>
      </c>
      <c r="G333" s="66"/>
      <c r="H333" s="18"/>
      <c r="I333" s="18"/>
      <c r="J333" s="18"/>
      <c r="K333" s="65"/>
      <c r="L333" s="66"/>
      <c r="M333" s="65"/>
      <c r="N333" s="66"/>
      <c r="O333" s="65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>
      <c r="A334" s="67"/>
      <c r="B334" s="62">
        <v>1600.0</v>
      </c>
      <c r="C334" s="17" t="s">
        <v>154</v>
      </c>
      <c r="D334" s="17" t="s">
        <v>22</v>
      </c>
      <c r="E334" s="17" t="s">
        <v>456</v>
      </c>
      <c r="F334" s="64" t="s">
        <v>149</v>
      </c>
      <c r="G334" s="66"/>
      <c r="H334" s="18"/>
      <c r="I334" s="18"/>
      <c r="J334" s="18"/>
      <c r="K334" s="65"/>
      <c r="L334" s="66"/>
      <c r="M334" s="65"/>
      <c r="N334" s="66"/>
      <c r="O334" s="65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>
      <c r="A335" s="67"/>
      <c r="B335" s="62">
        <v>0.45</v>
      </c>
      <c r="C335" s="17" t="s">
        <v>154</v>
      </c>
      <c r="D335" s="17" t="s">
        <v>139</v>
      </c>
      <c r="E335" s="18"/>
      <c r="F335" s="64" t="s">
        <v>155</v>
      </c>
      <c r="G335" s="66"/>
      <c r="H335" s="18"/>
      <c r="I335" s="18"/>
      <c r="J335" s="18"/>
      <c r="K335" s="65"/>
      <c r="L335" s="66"/>
      <c r="M335" s="65"/>
      <c r="N335" s="66"/>
      <c r="O335" s="65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>
      <c r="A336" s="63">
        <v>45541.0</v>
      </c>
      <c r="B336" s="62">
        <v>16.0</v>
      </c>
      <c r="C336" s="17" t="s">
        <v>154</v>
      </c>
      <c r="D336" s="17" t="s">
        <v>138</v>
      </c>
      <c r="E336" s="17"/>
      <c r="F336" s="64" t="s">
        <v>155</v>
      </c>
      <c r="G336" s="66"/>
      <c r="H336" s="18"/>
      <c r="I336" s="18"/>
      <c r="J336" s="18"/>
      <c r="K336" s="65"/>
      <c r="L336" s="62">
        <v>4000.0</v>
      </c>
      <c r="M336" s="65"/>
      <c r="N336" s="66"/>
      <c r="O336" s="65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>
      <c r="A337" s="63">
        <v>45544.0</v>
      </c>
      <c r="B337" s="62">
        <v>24.0</v>
      </c>
      <c r="C337" s="17" t="s">
        <v>154</v>
      </c>
      <c r="D337" s="17" t="s">
        <v>138</v>
      </c>
      <c r="E337" s="17"/>
      <c r="F337" s="64" t="s">
        <v>155</v>
      </c>
      <c r="G337" s="66"/>
      <c r="H337" s="18"/>
      <c r="I337" s="18"/>
      <c r="J337" s="18"/>
      <c r="K337" s="65"/>
      <c r="L337" s="62">
        <v>6000.0</v>
      </c>
      <c r="M337" s="65"/>
      <c r="N337" s="66"/>
      <c r="O337" s="65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>
      <c r="A338" s="67"/>
      <c r="B338" s="62">
        <v>16.0</v>
      </c>
      <c r="C338" s="17" t="s">
        <v>154</v>
      </c>
      <c r="D338" s="17" t="s">
        <v>138</v>
      </c>
      <c r="E338" s="17"/>
      <c r="F338" s="64" t="s">
        <v>155</v>
      </c>
      <c r="G338" s="66"/>
      <c r="H338" s="18"/>
      <c r="I338" s="18"/>
      <c r="J338" s="18"/>
      <c r="K338" s="65"/>
      <c r="L338" s="62">
        <v>4000.0</v>
      </c>
      <c r="M338" s="65"/>
      <c r="N338" s="66"/>
      <c r="O338" s="65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>
      <c r="A339" s="63">
        <v>45545.0</v>
      </c>
      <c r="B339" s="66"/>
      <c r="C339" s="18"/>
      <c r="D339" s="18"/>
      <c r="E339" s="18"/>
      <c r="F339" s="65"/>
      <c r="G339" s="62">
        <v>2237.0</v>
      </c>
      <c r="H339" s="17" t="s">
        <v>154</v>
      </c>
      <c r="I339" s="17" t="s">
        <v>9</v>
      </c>
      <c r="J339" s="17" t="s">
        <v>211</v>
      </c>
      <c r="K339" s="64" t="s">
        <v>155</v>
      </c>
      <c r="L339" s="66"/>
      <c r="M339" s="65"/>
      <c r="N339" s="66"/>
      <c r="O339" s="65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>
      <c r="A340" s="67"/>
      <c r="B340" s="66"/>
      <c r="C340" s="18"/>
      <c r="D340" s="18"/>
      <c r="E340" s="18"/>
      <c r="F340" s="65"/>
      <c r="G340" s="62">
        <v>9952.0</v>
      </c>
      <c r="H340" s="17" t="s">
        <v>154</v>
      </c>
      <c r="I340" s="17" t="s">
        <v>160</v>
      </c>
      <c r="J340" s="17" t="s">
        <v>457</v>
      </c>
      <c r="K340" s="64" t="s">
        <v>155</v>
      </c>
      <c r="L340" s="66"/>
      <c r="M340" s="65"/>
      <c r="N340" s="66"/>
      <c r="O340" s="65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>
      <c r="A341" s="63">
        <v>45546.0</v>
      </c>
      <c r="B341" s="62">
        <v>21.8</v>
      </c>
      <c r="C341" s="17" t="s">
        <v>154</v>
      </c>
      <c r="D341" s="17" t="s">
        <v>138</v>
      </c>
      <c r="E341" s="17"/>
      <c r="F341" s="64" t="s">
        <v>155</v>
      </c>
      <c r="G341" s="66"/>
      <c r="H341" s="18"/>
      <c r="I341" s="18"/>
      <c r="J341" s="18"/>
      <c r="K341" s="65"/>
      <c r="L341" s="62">
        <v>5450.0</v>
      </c>
      <c r="M341" s="65"/>
      <c r="N341" s="66"/>
      <c r="O341" s="65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>
      <c r="A342" s="67"/>
      <c r="B342" s="62">
        <v>0.51</v>
      </c>
      <c r="C342" s="17" t="s">
        <v>154</v>
      </c>
      <c r="D342" s="17" t="s">
        <v>139</v>
      </c>
      <c r="E342" s="18"/>
      <c r="F342" s="64" t="s">
        <v>155</v>
      </c>
      <c r="G342" s="66"/>
      <c r="H342" s="18"/>
      <c r="I342" s="18"/>
      <c r="J342" s="18"/>
      <c r="K342" s="65"/>
      <c r="L342" s="66"/>
      <c r="M342" s="65"/>
      <c r="N342" s="66"/>
      <c r="O342" s="65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>
      <c r="A343" s="63">
        <v>45547.0</v>
      </c>
      <c r="B343" s="62">
        <v>394.0</v>
      </c>
      <c r="C343" s="17" t="s">
        <v>154</v>
      </c>
      <c r="D343" s="17" t="s">
        <v>212</v>
      </c>
      <c r="E343" s="18"/>
      <c r="F343" s="64" t="s">
        <v>155</v>
      </c>
      <c r="G343" s="66"/>
      <c r="H343" s="18"/>
      <c r="I343" s="18"/>
      <c r="J343" s="18"/>
      <c r="K343" s="65"/>
      <c r="L343" s="66"/>
      <c r="M343" s="65"/>
      <c r="N343" s="66"/>
      <c r="O343" s="65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>
      <c r="A344" s="67"/>
      <c r="B344" s="62">
        <v>0.51</v>
      </c>
      <c r="C344" s="17" t="s">
        <v>154</v>
      </c>
      <c r="D344" s="17" t="s">
        <v>139</v>
      </c>
      <c r="E344" s="18"/>
      <c r="F344" s="64" t="s">
        <v>155</v>
      </c>
      <c r="G344" s="66"/>
      <c r="H344" s="18"/>
      <c r="I344" s="18"/>
      <c r="J344" s="18"/>
      <c r="K344" s="65"/>
      <c r="L344" s="66"/>
      <c r="M344" s="65"/>
      <c r="N344" s="66"/>
      <c r="O344" s="65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>
      <c r="A345" s="63">
        <v>45549.0</v>
      </c>
      <c r="B345" s="17"/>
      <c r="C345" s="17"/>
      <c r="D345" s="17"/>
      <c r="E345" s="18"/>
      <c r="F345" s="64"/>
      <c r="G345" s="62">
        <v>1740.0</v>
      </c>
      <c r="H345" s="17" t="s">
        <v>154</v>
      </c>
      <c r="I345" s="17" t="s">
        <v>9</v>
      </c>
      <c r="J345" s="17" t="s">
        <v>458</v>
      </c>
      <c r="K345" s="64" t="s">
        <v>155</v>
      </c>
      <c r="L345" s="66"/>
      <c r="M345" s="65"/>
      <c r="N345" s="66"/>
      <c r="O345" s="65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>
      <c r="A346" s="63">
        <v>45552.0</v>
      </c>
      <c r="B346" s="17"/>
      <c r="C346" s="17"/>
      <c r="D346" s="17"/>
      <c r="E346" s="18"/>
      <c r="F346" s="64"/>
      <c r="G346" s="62">
        <v>394.0</v>
      </c>
      <c r="H346" s="17" t="s">
        <v>154</v>
      </c>
      <c r="I346" s="17" t="s">
        <v>157</v>
      </c>
      <c r="J346" s="17" t="s">
        <v>459</v>
      </c>
      <c r="K346" s="64" t="s">
        <v>155</v>
      </c>
      <c r="L346" s="66"/>
      <c r="M346" s="65"/>
      <c r="N346" s="66"/>
      <c r="O346" s="65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>
      <c r="A347" s="63">
        <v>45553.0</v>
      </c>
      <c r="B347" s="17">
        <v>500.0</v>
      </c>
      <c r="C347" s="17" t="s">
        <v>204</v>
      </c>
      <c r="D347" s="17" t="s">
        <v>111</v>
      </c>
      <c r="E347" s="17" t="s">
        <v>460</v>
      </c>
      <c r="F347" s="64" t="s">
        <v>149</v>
      </c>
      <c r="G347" s="62">
        <v>3500.0</v>
      </c>
      <c r="H347" s="17" t="s">
        <v>204</v>
      </c>
      <c r="I347" s="17" t="s">
        <v>160</v>
      </c>
      <c r="J347" s="17" t="s">
        <v>460</v>
      </c>
      <c r="K347" s="64" t="s">
        <v>149</v>
      </c>
      <c r="L347" s="66"/>
      <c r="M347" s="65"/>
      <c r="N347" s="66"/>
      <c r="O347" s="65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>
      <c r="A348" s="67"/>
      <c r="B348" s="62">
        <v>500.0</v>
      </c>
      <c r="C348" s="17" t="s">
        <v>204</v>
      </c>
      <c r="D348" s="17" t="s">
        <v>109</v>
      </c>
      <c r="E348" s="17" t="s">
        <v>460</v>
      </c>
      <c r="F348" s="64" t="s">
        <v>149</v>
      </c>
      <c r="G348" s="62">
        <v>9940.0</v>
      </c>
      <c r="H348" s="17" t="s">
        <v>154</v>
      </c>
      <c r="I348" s="17" t="s">
        <v>160</v>
      </c>
      <c r="J348" s="17" t="s">
        <v>461</v>
      </c>
      <c r="K348" s="64" t="s">
        <v>155</v>
      </c>
      <c r="L348" s="66"/>
      <c r="M348" s="65"/>
      <c r="N348" s="66"/>
      <c r="O348" s="65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>
      <c r="A349" s="67"/>
      <c r="B349" s="62">
        <v>200.0</v>
      </c>
      <c r="C349" s="17" t="s">
        <v>204</v>
      </c>
      <c r="D349" s="17" t="s">
        <v>24</v>
      </c>
      <c r="E349" s="17" t="s">
        <v>460</v>
      </c>
      <c r="F349" s="64" t="s">
        <v>149</v>
      </c>
      <c r="G349" s="62">
        <v>17250.0</v>
      </c>
      <c r="H349" s="17" t="s">
        <v>154</v>
      </c>
      <c r="I349" s="17" t="s">
        <v>160</v>
      </c>
      <c r="J349" s="17" t="s">
        <v>462</v>
      </c>
      <c r="K349" s="64" t="s">
        <v>149</v>
      </c>
      <c r="L349" s="66"/>
      <c r="M349" s="65"/>
      <c r="N349" s="66"/>
      <c r="O349" s="65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>
      <c r="A350" s="67"/>
      <c r="B350" s="62">
        <v>350.0</v>
      </c>
      <c r="C350" s="17" t="s">
        <v>204</v>
      </c>
      <c r="D350" s="17" t="s">
        <v>22</v>
      </c>
      <c r="E350" s="17" t="s">
        <v>460</v>
      </c>
      <c r="F350" s="64" t="s">
        <v>149</v>
      </c>
      <c r="G350" s="66"/>
      <c r="H350" s="18"/>
      <c r="I350" s="18"/>
      <c r="J350" s="18"/>
      <c r="K350" s="65"/>
      <c r="L350" s="66"/>
      <c r="M350" s="65"/>
      <c r="N350" s="66"/>
      <c r="O350" s="65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>
      <c r="A351" s="67"/>
      <c r="B351" s="17">
        <v>500.0</v>
      </c>
      <c r="C351" s="17" t="s">
        <v>204</v>
      </c>
      <c r="D351" s="17" t="s">
        <v>110</v>
      </c>
      <c r="E351" s="17" t="s">
        <v>460</v>
      </c>
      <c r="F351" s="64" t="s">
        <v>149</v>
      </c>
      <c r="G351" s="66"/>
      <c r="H351" s="18"/>
      <c r="I351" s="18"/>
      <c r="J351" s="18"/>
      <c r="K351" s="65"/>
      <c r="L351" s="66"/>
      <c r="M351" s="65"/>
      <c r="N351" s="66"/>
      <c r="O351" s="65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>
      <c r="A352" s="67"/>
      <c r="B352" s="62">
        <v>500.0</v>
      </c>
      <c r="C352" s="17" t="s">
        <v>204</v>
      </c>
      <c r="D352" s="17" t="s">
        <v>113</v>
      </c>
      <c r="E352" s="17" t="s">
        <v>460</v>
      </c>
      <c r="F352" s="64" t="s">
        <v>149</v>
      </c>
      <c r="G352" s="66"/>
      <c r="H352" s="18"/>
      <c r="I352" s="18"/>
      <c r="J352" s="18"/>
      <c r="K352" s="65"/>
      <c r="L352" s="66"/>
      <c r="M352" s="65"/>
      <c r="N352" s="66"/>
      <c r="O352" s="65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>
      <c r="B353" s="62">
        <v>500.0</v>
      </c>
      <c r="C353" s="17" t="s">
        <v>204</v>
      </c>
      <c r="D353" s="17" t="s">
        <v>112</v>
      </c>
      <c r="E353" s="17" t="s">
        <v>460</v>
      </c>
      <c r="F353" s="64" t="s">
        <v>149</v>
      </c>
      <c r="L353" s="66"/>
      <c r="M353" s="65"/>
      <c r="N353" s="66"/>
      <c r="O353" s="65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>
      <c r="B354" s="62">
        <v>2400.0</v>
      </c>
      <c r="C354" s="17" t="s">
        <v>154</v>
      </c>
      <c r="D354" s="17" t="s">
        <v>110</v>
      </c>
      <c r="E354" s="17" t="s">
        <v>463</v>
      </c>
      <c r="F354" s="64" t="s">
        <v>149</v>
      </c>
      <c r="L354" s="66"/>
      <c r="M354" s="65"/>
      <c r="N354" s="66"/>
      <c r="O354" s="65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>
      <c r="B355" s="62">
        <v>2400.0</v>
      </c>
      <c r="C355" s="17" t="s">
        <v>154</v>
      </c>
      <c r="D355" s="17" t="s">
        <v>113</v>
      </c>
      <c r="E355" s="17" t="s">
        <v>463</v>
      </c>
      <c r="F355" s="64" t="s">
        <v>149</v>
      </c>
      <c r="L355" s="66"/>
      <c r="M355" s="65"/>
      <c r="N355" s="66"/>
      <c r="O355" s="65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>
      <c r="B356" s="62">
        <v>2400.0</v>
      </c>
      <c r="C356" s="17" t="s">
        <v>154</v>
      </c>
      <c r="D356" s="17" t="s">
        <v>112</v>
      </c>
      <c r="E356" s="17" t="s">
        <v>463</v>
      </c>
      <c r="F356" s="64" t="s">
        <v>149</v>
      </c>
      <c r="L356" s="66"/>
      <c r="M356" s="65"/>
      <c r="N356" s="66"/>
      <c r="O356" s="65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>
      <c r="B357" s="62">
        <v>2400.0</v>
      </c>
      <c r="C357" s="17" t="s">
        <v>154</v>
      </c>
      <c r="D357" s="17" t="s">
        <v>111</v>
      </c>
      <c r="E357" s="17" t="s">
        <v>463</v>
      </c>
      <c r="F357" s="64" t="s">
        <v>149</v>
      </c>
      <c r="L357" s="66"/>
      <c r="M357" s="65"/>
      <c r="N357" s="66"/>
      <c r="O357" s="65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>
      <c r="B358" s="62">
        <v>2400.0</v>
      </c>
      <c r="C358" s="17" t="s">
        <v>154</v>
      </c>
      <c r="D358" s="17" t="s">
        <v>109</v>
      </c>
      <c r="E358" s="17" t="s">
        <v>463</v>
      </c>
      <c r="F358" s="64" t="s">
        <v>149</v>
      </c>
      <c r="L358" s="66"/>
      <c r="M358" s="65"/>
      <c r="N358" s="66"/>
      <c r="O358" s="65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>
      <c r="B359" s="62">
        <v>2000.0</v>
      </c>
      <c r="C359" s="17" t="s">
        <v>154</v>
      </c>
      <c r="D359" s="17" t="s">
        <v>24</v>
      </c>
      <c r="E359" s="17" t="s">
        <v>464</v>
      </c>
      <c r="F359" s="64" t="s">
        <v>149</v>
      </c>
      <c r="L359" s="66"/>
      <c r="M359" s="65"/>
      <c r="N359" s="66"/>
      <c r="O359" s="65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>
      <c r="B360" s="62">
        <v>1000.0</v>
      </c>
      <c r="C360" s="17" t="s">
        <v>154</v>
      </c>
      <c r="D360" s="17" t="s">
        <v>22</v>
      </c>
      <c r="E360" s="17" t="s">
        <v>465</v>
      </c>
      <c r="F360" s="64" t="s">
        <v>149</v>
      </c>
      <c r="L360" s="66"/>
      <c r="M360" s="65"/>
      <c r="N360" s="66"/>
      <c r="O360" s="65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>
      <c r="A361" s="63">
        <v>45555.0</v>
      </c>
      <c r="B361" s="62">
        <v>39.0</v>
      </c>
      <c r="C361" s="17" t="s">
        <v>154</v>
      </c>
      <c r="D361" s="17" t="s">
        <v>143</v>
      </c>
      <c r="F361" s="64" t="s">
        <v>155</v>
      </c>
      <c r="G361" s="66"/>
      <c r="H361" s="18"/>
      <c r="I361" s="18"/>
      <c r="J361" s="18"/>
      <c r="K361" s="65"/>
      <c r="L361" s="62">
        <v>2500.0</v>
      </c>
      <c r="M361" s="65"/>
      <c r="N361" s="66"/>
      <c r="O361" s="65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>
      <c r="A362" s="67"/>
      <c r="B362" s="62">
        <v>0.51</v>
      </c>
      <c r="C362" s="17" t="s">
        <v>154</v>
      </c>
      <c r="D362" s="17" t="s">
        <v>139</v>
      </c>
      <c r="F362" s="64" t="s">
        <v>155</v>
      </c>
      <c r="G362" s="66"/>
      <c r="H362" s="18"/>
      <c r="I362" s="18"/>
      <c r="J362" s="18"/>
      <c r="K362" s="65"/>
      <c r="L362" s="66"/>
      <c r="M362" s="65"/>
      <c r="N362" s="66"/>
      <c r="O362" s="65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>
      <c r="A363" s="67"/>
      <c r="B363" s="62">
        <v>10.0</v>
      </c>
      <c r="C363" s="17" t="s">
        <v>154</v>
      </c>
      <c r="D363" s="17" t="s">
        <v>138</v>
      </c>
      <c r="E363" s="17"/>
      <c r="F363" s="64" t="s">
        <v>155</v>
      </c>
      <c r="G363" s="66"/>
      <c r="H363" s="18"/>
      <c r="I363" s="18"/>
      <c r="J363" s="18"/>
      <c r="K363" s="65"/>
      <c r="L363" s="66"/>
      <c r="M363" s="65"/>
      <c r="N363" s="66"/>
      <c r="O363" s="65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>
      <c r="A364" s="63">
        <v>45558.0</v>
      </c>
      <c r="B364" s="62">
        <v>3000.0</v>
      </c>
      <c r="C364" s="17" t="s">
        <v>154</v>
      </c>
      <c r="D364" s="17" t="s">
        <v>110</v>
      </c>
      <c r="E364" s="17" t="s">
        <v>466</v>
      </c>
      <c r="F364" s="64" t="s">
        <v>155</v>
      </c>
      <c r="G364" s="62">
        <v>3150.0</v>
      </c>
      <c r="H364" s="17" t="s">
        <v>204</v>
      </c>
      <c r="I364" s="17" t="s">
        <v>160</v>
      </c>
      <c r="J364" s="17" t="s">
        <v>467</v>
      </c>
      <c r="K364" s="64" t="s">
        <v>149</v>
      </c>
      <c r="L364" s="66"/>
      <c r="M364" s="65"/>
      <c r="N364" s="66"/>
      <c r="O364" s="65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>
      <c r="A365" s="67"/>
      <c r="B365" s="62">
        <v>2200.0</v>
      </c>
      <c r="C365" s="17" t="s">
        <v>154</v>
      </c>
      <c r="D365" s="17" t="s">
        <v>110</v>
      </c>
      <c r="E365" s="17" t="s">
        <v>468</v>
      </c>
      <c r="F365" s="64" t="s">
        <v>155</v>
      </c>
      <c r="G365" s="66"/>
      <c r="H365" s="18"/>
      <c r="I365" s="18"/>
      <c r="J365" s="18"/>
      <c r="K365" s="65"/>
      <c r="L365" s="66"/>
      <c r="M365" s="65"/>
      <c r="N365" s="66"/>
      <c r="O365" s="65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>
      <c r="A366" s="67"/>
      <c r="B366" s="62">
        <v>0.45</v>
      </c>
      <c r="C366" s="17" t="s">
        <v>154</v>
      </c>
      <c r="D366" s="17" t="s">
        <v>139</v>
      </c>
      <c r="F366" s="64" t="s">
        <v>155</v>
      </c>
      <c r="G366" s="66"/>
      <c r="H366" s="18"/>
      <c r="I366" s="18"/>
      <c r="J366" s="18"/>
      <c r="K366" s="65"/>
      <c r="L366" s="66"/>
      <c r="M366" s="65"/>
      <c r="N366" s="66"/>
      <c r="O366" s="65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>
      <c r="B367" s="17">
        <v>500.0</v>
      </c>
      <c r="C367" s="17" t="s">
        <v>204</v>
      </c>
      <c r="D367" s="17" t="s">
        <v>111</v>
      </c>
      <c r="E367" s="17" t="s">
        <v>469</v>
      </c>
      <c r="F367" s="64" t="s">
        <v>149</v>
      </c>
      <c r="L367" s="66"/>
      <c r="M367" s="65"/>
      <c r="N367" s="66"/>
      <c r="O367" s="65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>
      <c r="B368" s="62">
        <v>500.0</v>
      </c>
      <c r="C368" s="17" t="s">
        <v>204</v>
      </c>
      <c r="D368" s="17" t="s">
        <v>109</v>
      </c>
      <c r="E368" s="17" t="s">
        <v>469</v>
      </c>
      <c r="F368" s="64" t="s">
        <v>149</v>
      </c>
      <c r="L368" s="66"/>
      <c r="M368" s="65"/>
      <c r="N368" s="66"/>
      <c r="O368" s="65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>
      <c r="B369" s="17">
        <v>500.0</v>
      </c>
      <c r="C369" s="17" t="s">
        <v>204</v>
      </c>
      <c r="D369" s="17" t="s">
        <v>110</v>
      </c>
      <c r="E369" s="17" t="s">
        <v>469</v>
      </c>
      <c r="F369" s="64" t="s">
        <v>149</v>
      </c>
      <c r="L369" s="66"/>
      <c r="M369" s="65"/>
      <c r="N369" s="66"/>
      <c r="O369" s="65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>
      <c r="B370" s="62">
        <v>500.0</v>
      </c>
      <c r="C370" s="17" t="s">
        <v>204</v>
      </c>
      <c r="D370" s="17" t="s">
        <v>113</v>
      </c>
      <c r="E370" s="17" t="s">
        <v>469</v>
      </c>
      <c r="F370" s="64" t="s">
        <v>149</v>
      </c>
      <c r="L370" s="66"/>
      <c r="M370" s="65"/>
      <c r="N370" s="66"/>
      <c r="O370" s="65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>
      <c r="B371" s="62">
        <v>500.0</v>
      </c>
      <c r="C371" s="17" t="s">
        <v>204</v>
      </c>
      <c r="D371" s="17" t="s">
        <v>112</v>
      </c>
      <c r="E371" s="17" t="s">
        <v>469</v>
      </c>
      <c r="F371" s="64" t="s">
        <v>149</v>
      </c>
      <c r="L371" s="66"/>
      <c r="M371" s="65"/>
      <c r="N371" s="66"/>
      <c r="O371" s="65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>
      <c r="B372" s="17">
        <v>200.0</v>
      </c>
      <c r="C372" s="17" t="s">
        <v>204</v>
      </c>
      <c r="D372" s="17" t="s">
        <v>24</v>
      </c>
      <c r="E372" s="17" t="s">
        <v>469</v>
      </c>
      <c r="F372" s="64" t="s">
        <v>149</v>
      </c>
      <c r="L372" s="66"/>
      <c r="M372" s="65"/>
      <c r="N372" s="66"/>
      <c r="O372" s="65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>
      <c r="A373" s="63">
        <v>45565.0</v>
      </c>
      <c r="B373" s="17">
        <v>40.0</v>
      </c>
      <c r="C373" s="17" t="s">
        <v>154</v>
      </c>
      <c r="D373" s="17" t="s">
        <v>145</v>
      </c>
      <c r="E373" s="17"/>
      <c r="F373" s="64" t="s">
        <v>155</v>
      </c>
      <c r="G373" s="62">
        <v>5940.0</v>
      </c>
      <c r="H373" s="17" t="s">
        <v>204</v>
      </c>
      <c r="I373" s="17" t="s">
        <v>160</v>
      </c>
      <c r="J373" s="17" t="s">
        <v>470</v>
      </c>
      <c r="K373" s="64" t="s">
        <v>155</v>
      </c>
      <c r="L373" s="66"/>
      <c r="M373" s="65"/>
      <c r="N373" s="66"/>
      <c r="O373" s="65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>
      <c r="A374" s="63"/>
      <c r="B374" s="17">
        <v>450.0</v>
      </c>
      <c r="C374" s="17" t="s">
        <v>204</v>
      </c>
      <c r="D374" s="17" t="s">
        <v>111</v>
      </c>
      <c r="E374" s="17" t="s">
        <v>471</v>
      </c>
      <c r="F374" s="64" t="s">
        <v>149</v>
      </c>
      <c r="G374" s="62">
        <v>2700.0</v>
      </c>
      <c r="H374" s="17" t="s">
        <v>204</v>
      </c>
      <c r="I374" s="17" t="s">
        <v>160</v>
      </c>
      <c r="J374" s="17" t="s">
        <v>399</v>
      </c>
      <c r="K374" s="64" t="s">
        <v>155</v>
      </c>
      <c r="L374" s="18"/>
      <c r="M374" s="65"/>
      <c r="N374" s="18"/>
      <c r="O374" s="65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>
      <c r="A375" s="63"/>
      <c r="B375" s="62">
        <v>450.0</v>
      </c>
      <c r="C375" s="17" t="s">
        <v>204</v>
      </c>
      <c r="D375" s="17" t="s">
        <v>109</v>
      </c>
      <c r="E375" s="17" t="s">
        <v>471</v>
      </c>
      <c r="F375" s="64" t="s">
        <v>149</v>
      </c>
      <c r="G375" s="17"/>
      <c r="H375" s="17"/>
      <c r="I375" s="17"/>
      <c r="J375" s="17"/>
      <c r="K375" s="64"/>
      <c r="L375" s="18"/>
      <c r="M375" s="65"/>
      <c r="N375" s="18"/>
      <c r="O375" s="65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>
      <c r="A376" s="63"/>
      <c r="B376" s="17">
        <v>450.0</v>
      </c>
      <c r="C376" s="17" t="s">
        <v>204</v>
      </c>
      <c r="D376" s="17" t="s">
        <v>110</v>
      </c>
      <c r="E376" s="17" t="s">
        <v>471</v>
      </c>
      <c r="F376" s="64" t="s">
        <v>149</v>
      </c>
      <c r="G376" s="17"/>
      <c r="H376" s="17"/>
      <c r="I376" s="17"/>
      <c r="J376" s="17"/>
      <c r="K376" s="64"/>
      <c r="L376" s="18"/>
      <c r="M376" s="65"/>
      <c r="N376" s="18"/>
      <c r="O376" s="65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>
      <c r="A377" s="63"/>
      <c r="B377" s="62">
        <v>450.0</v>
      </c>
      <c r="C377" s="17" t="s">
        <v>204</v>
      </c>
      <c r="D377" s="17" t="s">
        <v>113</v>
      </c>
      <c r="E377" s="17" t="s">
        <v>471</v>
      </c>
      <c r="F377" s="64" t="s">
        <v>149</v>
      </c>
      <c r="G377" s="17"/>
      <c r="H377" s="17"/>
      <c r="I377" s="17"/>
      <c r="J377" s="17"/>
      <c r="K377" s="64"/>
      <c r="L377" s="18"/>
      <c r="M377" s="65"/>
      <c r="N377" s="18"/>
      <c r="O377" s="65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>
      <c r="A378" s="63"/>
      <c r="B378" s="62">
        <v>450.0</v>
      </c>
      <c r="C378" s="17" t="s">
        <v>204</v>
      </c>
      <c r="D378" s="17" t="s">
        <v>112</v>
      </c>
      <c r="E378" s="17" t="s">
        <v>471</v>
      </c>
      <c r="F378" s="64" t="s">
        <v>149</v>
      </c>
      <c r="G378" s="17"/>
      <c r="H378" s="17"/>
      <c r="I378" s="17"/>
      <c r="J378" s="17"/>
      <c r="K378" s="64"/>
      <c r="L378" s="18"/>
      <c r="M378" s="65"/>
      <c r="N378" s="18"/>
      <c r="O378" s="65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>
      <c r="A379" s="63"/>
      <c r="B379" s="17">
        <v>600.0</v>
      </c>
      <c r="C379" s="17" t="s">
        <v>204</v>
      </c>
      <c r="D379" s="17" t="s">
        <v>111</v>
      </c>
      <c r="E379" s="17" t="s">
        <v>472</v>
      </c>
      <c r="F379" s="64" t="s">
        <v>149</v>
      </c>
      <c r="G379" s="17"/>
      <c r="H379" s="17"/>
      <c r="I379" s="17"/>
      <c r="J379" s="17"/>
      <c r="K379" s="64"/>
      <c r="L379" s="18"/>
      <c r="M379" s="65"/>
      <c r="N379" s="18"/>
      <c r="O379" s="65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>
      <c r="A380" s="63"/>
      <c r="B380" s="62">
        <v>600.0</v>
      </c>
      <c r="C380" s="17" t="s">
        <v>204</v>
      </c>
      <c r="D380" s="17" t="s">
        <v>109</v>
      </c>
      <c r="E380" s="17" t="s">
        <v>472</v>
      </c>
      <c r="F380" s="64" t="s">
        <v>149</v>
      </c>
      <c r="G380" s="17"/>
      <c r="H380" s="17"/>
      <c r="I380" s="17"/>
      <c r="J380" s="17"/>
      <c r="K380" s="64"/>
      <c r="L380" s="18"/>
      <c r="M380" s="65"/>
      <c r="N380" s="18"/>
      <c r="O380" s="65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>
      <c r="A381" s="63"/>
      <c r="B381" s="17">
        <v>600.0</v>
      </c>
      <c r="C381" s="17" t="s">
        <v>204</v>
      </c>
      <c r="D381" s="17" t="s">
        <v>110</v>
      </c>
      <c r="E381" s="17" t="s">
        <v>472</v>
      </c>
      <c r="F381" s="64" t="s">
        <v>149</v>
      </c>
      <c r="G381" s="17"/>
      <c r="H381" s="17"/>
      <c r="I381" s="17"/>
      <c r="J381" s="17"/>
      <c r="K381" s="64"/>
      <c r="L381" s="18"/>
      <c r="M381" s="65"/>
      <c r="N381" s="18"/>
      <c r="O381" s="65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>
      <c r="A382" s="63"/>
      <c r="B382" s="62">
        <v>600.0</v>
      </c>
      <c r="C382" s="17" t="s">
        <v>204</v>
      </c>
      <c r="D382" s="17" t="s">
        <v>113</v>
      </c>
      <c r="E382" s="17" t="s">
        <v>472</v>
      </c>
      <c r="F382" s="64" t="s">
        <v>149</v>
      </c>
      <c r="G382" s="17"/>
      <c r="H382" s="17"/>
      <c r="I382" s="17"/>
      <c r="J382" s="17"/>
      <c r="K382" s="64"/>
      <c r="L382" s="18"/>
      <c r="M382" s="65"/>
      <c r="N382" s="18"/>
      <c r="O382" s="65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>
      <c r="A383" s="63"/>
      <c r="B383" s="62">
        <v>600.0</v>
      </c>
      <c r="C383" s="17" t="s">
        <v>204</v>
      </c>
      <c r="D383" s="17" t="s">
        <v>112</v>
      </c>
      <c r="E383" s="17" t="s">
        <v>472</v>
      </c>
      <c r="F383" s="64" t="s">
        <v>149</v>
      </c>
      <c r="G383" s="17"/>
      <c r="H383" s="17"/>
      <c r="I383" s="17"/>
      <c r="J383" s="17"/>
      <c r="K383" s="64"/>
      <c r="L383" s="18"/>
      <c r="M383" s="65"/>
      <c r="N383" s="18"/>
      <c r="O383" s="65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>
      <c r="A384" s="63"/>
      <c r="B384" s="17">
        <v>400.0</v>
      </c>
      <c r="C384" s="17" t="s">
        <v>204</v>
      </c>
      <c r="D384" s="17" t="s">
        <v>22</v>
      </c>
      <c r="E384" s="17" t="s">
        <v>472</v>
      </c>
      <c r="F384" s="64" t="s">
        <v>149</v>
      </c>
      <c r="G384" s="17"/>
      <c r="H384" s="17"/>
      <c r="I384" s="17"/>
      <c r="J384" s="17"/>
      <c r="K384" s="64"/>
      <c r="L384" s="18"/>
      <c r="M384" s="65"/>
      <c r="N384" s="18"/>
      <c r="O384" s="65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>
      <c r="A385" s="63"/>
      <c r="B385" s="17">
        <v>690.0</v>
      </c>
      <c r="C385" s="17" t="s">
        <v>204</v>
      </c>
      <c r="D385" s="17" t="s">
        <v>25</v>
      </c>
      <c r="E385" s="17" t="s">
        <v>472</v>
      </c>
      <c r="F385" s="64" t="s">
        <v>149</v>
      </c>
      <c r="G385" s="17"/>
      <c r="H385" s="17"/>
      <c r="I385" s="17"/>
      <c r="J385" s="17"/>
      <c r="K385" s="64"/>
      <c r="L385" s="18"/>
      <c r="M385" s="65"/>
      <c r="N385" s="18"/>
      <c r="O385" s="65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>
      <c r="A386" s="63"/>
      <c r="B386" s="17">
        <v>500.0</v>
      </c>
      <c r="C386" s="17" t="s">
        <v>204</v>
      </c>
      <c r="D386" s="17" t="s">
        <v>27</v>
      </c>
      <c r="E386" s="17" t="s">
        <v>472</v>
      </c>
      <c r="F386" s="64" t="s">
        <v>149</v>
      </c>
      <c r="G386" s="17"/>
      <c r="H386" s="17"/>
      <c r="I386" s="17"/>
      <c r="J386" s="17"/>
      <c r="K386" s="64"/>
      <c r="L386" s="18"/>
      <c r="M386" s="65"/>
      <c r="N386" s="18"/>
      <c r="O386" s="65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>
      <c r="A387" s="63"/>
      <c r="B387" s="17">
        <v>200.0</v>
      </c>
      <c r="C387" s="17" t="s">
        <v>204</v>
      </c>
      <c r="D387" s="17" t="s">
        <v>24</v>
      </c>
      <c r="E387" s="17" t="s">
        <v>471</v>
      </c>
      <c r="F387" s="64" t="s">
        <v>149</v>
      </c>
      <c r="G387" s="17"/>
      <c r="H387" s="17"/>
      <c r="I387" s="17"/>
      <c r="J387" s="17"/>
      <c r="K387" s="64"/>
      <c r="L387" s="18"/>
      <c r="M387" s="65"/>
      <c r="N387" s="18"/>
      <c r="O387" s="65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>
      <c r="A388" s="63"/>
      <c r="B388" s="17">
        <v>100.0</v>
      </c>
      <c r="C388" s="17" t="s">
        <v>204</v>
      </c>
      <c r="D388" s="17" t="s">
        <v>25</v>
      </c>
      <c r="E388" s="17" t="s">
        <v>473</v>
      </c>
      <c r="F388" s="64" t="s">
        <v>149</v>
      </c>
      <c r="G388" s="17"/>
      <c r="H388" s="17"/>
      <c r="I388" s="17"/>
      <c r="J388" s="17"/>
      <c r="K388" s="64"/>
      <c r="L388" s="18"/>
      <c r="M388" s="65"/>
      <c r="N388" s="18"/>
      <c r="O388" s="65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>
      <c r="A389" s="63"/>
      <c r="B389" s="17">
        <v>600.0</v>
      </c>
      <c r="C389" s="17" t="s">
        <v>204</v>
      </c>
      <c r="D389" s="17" t="s">
        <v>26</v>
      </c>
      <c r="E389" s="17" t="s">
        <v>472</v>
      </c>
      <c r="F389" s="64" t="s">
        <v>149</v>
      </c>
      <c r="G389" s="17"/>
      <c r="H389" s="17"/>
      <c r="I389" s="17"/>
      <c r="J389" s="17"/>
      <c r="K389" s="64"/>
      <c r="L389" s="18"/>
      <c r="M389" s="65"/>
      <c r="N389" s="18"/>
      <c r="O389" s="65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>
      <c r="A390" s="63"/>
      <c r="B390" s="17">
        <v>400.0</v>
      </c>
      <c r="C390" s="17" t="s">
        <v>204</v>
      </c>
      <c r="D390" s="17" t="s">
        <v>24</v>
      </c>
      <c r="E390" s="17" t="s">
        <v>472</v>
      </c>
      <c r="F390" s="64" t="s">
        <v>149</v>
      </c>
      <c r="G390" s="17"/>
      <c r="H390" s="17"/>
      <c r="I390" s="17"/>
      <c r="J390" s="17"/>
      <c r="K390" s="64"/>
      <c r="L390" s="18"/>
      <c r="M390" s="65"/>
      <c r="N390" s="18"/>
      <c r="O390" s="65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>
      <c r="A391" s="63"/>
      <c r="B391" s="17">
        <v>200.0</v>
      </c>
      <c r="C391" s="17" t="s">
        <v>204</v>
      </c>
      <c r="D391" s="17" t="s">
        <v>22</v>
      </c>
      <c r="E391" s="17" t="s">
        <v>471</v>
      </c>
      <c r="F391" s="64" t="s">
        <v>149</v>
      </c>
      <c r="G391" s="17"/>
      <c r="H391" s="17"/>
      <c r="I391" s="17"/>
      <c r="J391" s="17"/>
      <c r="K391" s="64"/>
      <c r="L391" s="18"/>
      <c r="M391" s="65"/>
      <c r="N391" s="18"/>
      <c r="O391" s="65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>
      <c r="A392" s="92"/>
      <c r="B392" s="93"/>
      <c r="C392" s="93"/>
      <c r="D392" s="93"/>
      <c r="E392" s="93"/>
      <c r="F392" s="94"/>
      <c r="G392" s="93"/>
      <c r="H392" s="93"/>
      <c r="I392" s="93"/>
      <c r="J392" s="93"/>
      <c r="K392" s="94"/>
      <c r="L392" s="93"/>
      <c r="M392" s="94"/>
      <c r="N392" s="93"/>
      <c r="O392" s="94"/>
      <c r="P392" s="93"/>
      <c r="Q392" s="93"/>
      <c r="R392" s="93"/>
      <c r="S392" s="93"/>
      <c r="T392" s="93"/>
      <c r="U392" s="93"/>
      <c r="V392" s="93"/>
      <c r="W392" s="93"/>
      <c r="X392" s="93"/>
      <c r="Y392" s="93"/>
    </row>
    <row r="393">
      <c r="A393" s="92"/>
      <c r="B393" s="93"/>
      <c r="C393" s="93"/>
      <c r="D393" s="93"/>
      <c r="E393" s="93"/>
      <c r="F393" s="94"/>
      <c r="G393" s="93"/>
      <c r="H393" s="93"/>
      <c r="I393" s="93"/>
      <c r="J393" s="93"/>
      <c r="K393" s="94"/>
      <c r="L393" s="93"/>
      <c r="M393" s="94"/>
      <c r="N393" s="93"/>
      <c r="O393" s="94"/>
      <c r="P393" s="93"/>
      <c r="Q393" s="93"/>
      <c r="R393" s="93"/>
      <c r="S393" s="93"/>
      <c r="T393" s="93"/>
      <c r="U393" s="93"/>
      <c r="V393" s="93"/>
      <c r="W393" s="93"/>
      <c r="X393" s="93"/>
      <c r="Y393" s="93"/>
    </row>
    <row r="394">
      <c r="A394" s="63">
        <v>45568.0</v>
      </c>
      <c r="B394" s="17">
        <v>90.04</v>
      </c>
      <c r="C394" s="17" t="s">
        <v>154</v>
      </c>
      <c r="D394" s="17" t="s">
        <v>146</v>
      </c>
      <c r="E394" s="18"/>
      <c r="F394" s="64" t="s">
        <v>155</v>
      </c>
      <c r="G394" s="17"/>
      <c r="H394" s="17"/>
      <c r="I394" s="17"/>
      <c r="J394" s="17"/>
      <c r="K394" s="64"/>
      <c r="L394" s="18"/>
      <c r="M394" s="65"/>
      <c r="N394" s="18"/>
      <c r="O394" s="65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>
      <c r="A395" s="63">
        <v>45569.0</v>
      </c>
      <c r="B395" s="62">
        <v>8600.0</v>
      </c>
      <c r="C395" s="17" t="s">
        <v>154</v>
      </c>
      <c r="D395" s="17" t="s">
        <v>22</v>
      </c>
      <c r="E395" s="18"/>
      <c r="F395" s="64" t="s">
        <v>155</v>
      </c>
      <c r="G395" s="62">
        <v>2488.0</v>
      </c>
      <c r="H395" s="17" t="s">
        <v>154</v>
      </c>
      <c r="I395" s="17" t="s">
        <v>9</v>
      </c>
      <c r="J395" s="17" t="s">
        <v>474</v>
      </c>
      <c r="K395" s="64" t="s">
        <v>155</v>
      </c>
      <c r="L395" s="66"/>
      <c r="M395" s="65"/>
      <c r="N395" s="66"/>
      <c r="O395" s="65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>
      <c r="A396" s="67"/>
      <c r="B396" s="62">
        <v>0.45</v>
      </c>
      <c r="C396" s="17" t="s">
        <v>154</v>
      </c>
      <c r="D396" s="17" t="s">
        <v>139</v>
      </c>
      <c r="F396" s="64" t="s">
        <v>155</v>
      </c>
      <c r="G396" s="66"/>
      <c r="H396" s="18"/>
      <c r="I396" s="18"/>
      <c r="J396" s="18"/>
      <c r="K396" s="65"/>
      <c r="L396" s="66"/>
      <c r="M396" s="65"/>
      <c r="N396" s="66"/>
      <c r="O396" s="65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>
      <c r="A397" s="63">
        <v>45569.0</v>
      </c>
      <c r="B397" s="62">
        <v>500.0</v>
      </c>
      <c r="C397" s="17" t="s">
        <v>204</v>
      </c>
      <c r="D397" s="95" t="s">
        <v>112</v>
      </c>
      <c r="E397" s="17" t="s">
        <v>475</v>
      </c>
      <c r="F397" s="65"/>
      <c r="G397" s="62">
        <v>15750.0</v>
      </c>
      <c r="H397" s="17" t="s">
        <v>154</v>
      </c>
      <c r="I397" s="17" t="s">
        <v>9</v>
      </c>
      <c r="J397" s="17" t="s">
        <v>476</v>
      </c>
      <c r="K397" s="64" t="s">
        <v>149</v>
      </c>
      <c r="L397" s="66"/>
      <c r="M397" s="65"/>
      <c r="N397" s="66"/>
      <c r="O397" s="65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>
      <c r="A398" s="67"/>
      <c r="B398" s="62">
        <v>500.0</v>
      </c>
      <c r="C398" s="17" t="s">
        <v>204</v>
      </c>
      <c r="D398" s="95" t="s">
        <v>110</v>
      </c>
      <c r="E398" s="17" t="s">
        <v>475</v>
      </c>
      <c r="F398" s="65"/>
      <c r="G398" s="66"/>
      <c r="H398" s="18"/>
      <c r="I398" s="18"/>
      <c r="J398" s="18"/>
      <c r="K398" s="65"/>
      <c r="L398" s="66"/>
      <c r="M398" s="65"/>
      <c r="N398" s="66"/>
      <c r="O398" s="65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>
      <c r="A399" s="67"/>
      <c r="B399" s="62">
        <v>200.0</v>
      </c>
      <c r="C399" s="17" t="s">
        <v>204</v>
      </c>
      <c r="D399" s="17" t="s">
        <v>24</v>
      </c>
      <c r="E399" s="17" t="s">
        <v>475</v>
      </c>
      <c r="F399" s="65"/>
      <c r="G399" s="66"/>
      <c r="H399" s="18"/>
      <c r="I399" s="18"/>
      <c r="J399" s="18"/>
      <c r="K399" s="65"/>
      <c r="L399" s="66"/>
      <c r="M399" s="65"/>
      <c r="N399" s="66"/>
      <c r="O399" s="65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>
      <c r="A400" s="67"/>
      <c r="B400" s="62">
        <v>400.0</v>
      </c>
      <c r="C400" s="17" t="s">
        <v>154</v>
      </c>
      <c r="D400" s="17" t="s">
        <v>157</v>
      </c>
      <c r="E400" s="17" t="s">
        <v>477</v>
      </c>
      <c r="F400" s="64" t="s">
        <v>149</v>
      </c>
      <c r="G400" s="66"/>
      <c r="H400" s="18"/>
      <c r="I400" s="18"/>
      <c r="J400" s="18"/>
      <c r="K400" s="65"/>
      <c r="L400" s="66"/>
      <c r="M400" s="65"/>
      <c r="N400" s="66"/>
      <c r="O400" s="65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>
      <c r="A401" s="67"/>
      <c r="B401" s="62">
        <v>2500.0</v>
      </c>
      <c r="C401" s="17" t="s">
        <v>154</v>
      </c>
      <c r="D401" s="68" t="s">
        <v>109</v>
      </c>
      <c r="E401" s="17" t="s">
        <v>475</v>
      </c>
      <c r="F401" s="65"/>
      <c r="G401" s="66"/>
      <c r="H401" s="18"/>
      <c r="I401" s="18"/>
      <c r="J401" s="18"/>
      <c r="K401" s="65"/>
      <c r="L401" s="66"/>
      <c r="M401" s="65"/>
      <c r="N401" s="66"/>
      <c r="O401" s="65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>
      <c r="A402" s="67"/>
      <c r="B402" s="62">
        <v>2500.0</v>
      </c>
      <c r="C402" s="17" t="s">
        <v>154</v>
      </c>
      <c r="D402" s="68" t="s">
        <v>111</v>
      </c>
      <c r="E402" s="17" t="s">
        <v>475</v>
      </c>
      <c r="F402" s="65"/>
      <c r="G402" s="66"/>
      <c r="H402" s="18"/>
      <c r="I402" s="18"/>
      <c r="J402" s="18"/>
      <c r="K402" s="65"/>
      <c r="L402" s="66"/>
      <c r="M402" s="65"/>
      <c r="N402" s="66"/>
      <c r="O402" s="65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>
      <c r="A403" s="67"/>
      <c r="B403" s="62">
        <v>2500.0</v>
      </c>
      <c r="C403" s="17" t="s">
        <v>154</v>
      </c>
      <c r="D403" s="68" t="s">
        <v>113</v>
      </c>
      <c r="E403" s="17" t="s">
        <v>475</v>
      </c>
      <c r="F403" s="65"/>
      <c r="G403" s="66"/>
      <c r="H403" s="18"/>
      <c r="I403" s="18"/>
      <c r="J403" s="18"/>
      <c r="K403" s="65"/>
      <c r="L403" s="66"/>
      <c r="M403" s="65"/>
      <c r="N403" s="66"/>
      <c r="O403" s="65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>
      <c r="A404" s="67"/>
      <c r="B404" s="62">
        <v>1000.0</v>
      </c>
      <c r="C404" s="17" t="s">
        <v>154</v>
      </c>
      <c r="D404" s="68" t="s">
        <v>22</v>
      </c>
      <c r="E404" s="17" t="s">
        <v>475</v>
      </c>
      <c r="F404" s="65"/>
      <c r="G404" s="66"/>
      <c r="H404" s="18"/>
      <c r="I404" s="18"/>
      <c r="J404" s="18"/>
      <c r="K404" s="65"/>
      <c r="L404" s="66"/>
      <c r="M404" s="65"/>
      <c r="N404" s="66"/>
      <c r="O404" s="65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>
      <c r="A405" s="67"/>
      <c r="B405" s="62">
        <v>500.0</v>
      </c>
      <c r="C405" s="17" t="s">
        <v>154</v>
      </c>
      <c r="D405" s="17" t="s">
        <v>25</v>
      </c>
      <c r="E405" s="17" t="s">
        <v>478</v>
      </c>
      <c r="F405" s="64" t="s">
        <v>149</v>
      </c>
      <c r="G405" s="66"/>
      <c r="H405" s="18"/>
      <c r="I405" s="18"/>
      <c r="J405" s="18"/>
      <c r="K405" s="65"/>
      <c r="L405" s="66"/>
      <c r="M405" s="65"/>
      <c r="N405" s="66"/>
      <c r="O405" s="65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>
      <c r="A406" s="67"/>
      <c r="B406" s="62">
        <v>1000.0</v>
      </c>
      <c r="C406" s="17" t="s">
        <v>154</v>
      </c>
      <c r="D406" s="17" t="s">
        <v>157</v>
      </c>
      <c r="E406" s="17" t="s">
        <v>479</v>
      </c>
      <c r="F406" s="64" t="s">
        <v>149</v>
      </c>
      <c r="G406" s="66"/>
      <c r="H406" s="18"/>
      <c r="I406" s="18"/>
      <c r="J406" s="18"/>
      <c r="K406" s="65"/>
      <c r="L406" s="66"/>
      <c r="M406" s="65"/>
      <c r="N406" s="66"/>
      <c r="O406" s="65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>
      <c r="A407" s="67"/>
      <c r="B407" s="62">
        <v>500.0</v>
      </c>
      <c r="C407" s="17" t="s">
        <v>154</v>
      </c>
      <c r="D407" s="17" t="s">
        <v>157</v>
      </c>
      <c r="E407" s="17" t="s">
        <v>480</v>
      </c>
      <c r="F407" s="64" t="s">
        <v>149</v>
      </c>
      <c r="G407" s="66"/>
      <c r="H407" s="18"/>
      <c r="I407" s="18"/>
      <c r="J407" s="18"/>
      <c r="K407" s="65"/>
      <c r="L407" s="66"/>
      <c r="M407" s="65"/>
      <c r="N407" s="66"/>
      <c r="O407" s="65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>
      <c r="A408" s="67"/>
      <c r="B408" s="62">
        <v>500.0</v>
      </c>
      <c r="C408" s="17" t="s">
        <v>154</v>
      </c>
      <c r="D408" s="68" t="s">
        <v>109</v>
      </c>
      <c r="E408" s="17" t="s">
        <v>481</v>
      </c>
      <c r="F408" s="64" t="s">
        <v>149</v>
      </c>
      <c r="G408" s="66"/>
      <c r="H408" s="18"/>
      <c r="I408" s="18"/>
      <c r="J408" s="18"/>
      <c r="K408" s="65"/>
      <c r="L408" s="66"/>
      <c r="M408" s="65"/>
      <c r="N408" s="66"/>
      <c r="O408" s="65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>
      <c r="A409" s="63">
        <v>45575.0</v>
      </c>
      <c r="B409" s="62">
        <v>1051.0</v>
      </c>
      <c r="C409" s="17" t="s">
        <v>154</v>
      </c>
      <c r="D409" s="17" t="s">
        <v>112</v>
      </c>
      <c r="E409" s="17" t="s">
        <v>482</v>
      </c>
      <c r="F409" s="64" t="s">
        <v>149</v>
      </c>
      <c r="G409" s="66"/>
      <c r="H409" s="18"/>
      <c r="I409" s="18"/>
      <c r="J409" s="18"/>
      <c r="K409" s="65"/>
      <c r="L409" s="66"/>
      <c r="M409" s="65"/>
      <c r="N409" s="66"/>
      <c r="O409" s="65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>
      <c r="A410" s="63">
        <v>45578.0</v>
      </c>
      <c r="B410" s="62">
        <v>900.0</v>
      </c>
      <c r="C410" s="17" t="s">
        <v>154</v>
      </c>
      <c r="D410" s="17" t="s">
        <v>24</v>
      </c>
      <c r="E410" s="17" t="s">
        <v>483</v>
      </c>
      <c r="F410" s="64" t="s">
        <v>149</v>
      </c>
      <c r="G410" s="66"/>
      <c r="H410" s="18"/>
      <c r="I410" s="18"/>
      <c r="J410" s="18"/>
      <c r="K410" s="65"/>
      <c r="L410" s="66"/>
      <c r="M410" s="65"/>
      <c r="N410" s="66"/>
      <c r="O410" s="65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>
      <c r="A411" s="63">
        <v>45579.0</v>
      </c>
      <c r="B411" s="66"/>
      <c r="C411" s="18"/>
      <c r="D411" s="18"/>
      <c r="E411" s="18"/>
      <c r="F411" s="65"/>
      <c r="G411" s="62">
        <v>14674.0</v>
      </c>
      <c r="H411" s="17" t="s">
        <v>154</v>
      </c>
      <c r="I411" s="17" t="s">
        <v>160</v>
      </c>
      <c r="J411" s="17" t="s">
        <v>484</v>
      </c>
      <c r="K411" s="64" t="s">
        <v>155</v>
      </c>
      <c r="L411" s="66"/>
      <c r="M411" s="65"/>
      <c r="N411" s="66"/>
      <c r="O411" s="65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>
      <c r="A412" s="67"/>
      <c r="B412" s="66"/>
      <c r="C412" s="18"/>
      <c r="D412" s="18"/>
      <c r="E412" s="18"/>
      <c r="F412" s="65"/>
      <c r="G412" s="62">
        <v>2487.0</v>
      </c>
      <c r="H412" s="17" t="s">
        <v>154</v>
      </c>
      <c r="I412" s="17" t="s">
        <v>9</v>
      </c>
      <c r="J412" s="17" t="s">
        <v>485</v>
      </c>
      <c r="K412" s="64" t="s">
        <v>155</v>
      </c>
      <c r="L412" s="66"/>
      <c r="M412" s="65"/>
      <c r="N412" s="66"/>
      <c r="O412" s="65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>
      <c r="A413" s="67"/>
      <c r="B413" s="66"/>
      <c r="C413" s="18"/>
      <c r="D413" s="18"/>
      <c r="E413" s="18"/>
      <c r="F413" s="65"/>
      <c r="G413" s="62">
        <v>1999.0</v>
      </c>
      <c r="H413" s="17" t="s">
        <v>154</v>
      </c>
      <c r="I413" s="17" t="s">
        <v>9</v>
      </c>
      <c r="J413" s="17" t="s">
        <v>265</v>
      </c>
      <c r="K413" s="64" t="s">
        <v>155</v>
      </c>
      <c r="L413" s="66"/>
      <c r="M413" s="65"/>
      <c r="N413" s="66"/>
      <c r="O413" s="65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>
      <c r="A414" s="63">
        <v>45580.0</v>
      </c>
      <c r="B414" s="62">
        <v>2000.0</v>
      </c>
      <c r="C414" s="17" t="s">
        <v>154</v>
      </c>
      <c r="D414" s="68" t="s">
        <v>109</v>
      </c>
      <c r="E414" s="17" t="s">
        <v>484</v>
      </c>
      <c r="F414" s="64" t="s">
        <v>149</v>
      </c>
      <c r="G414" s="66"/>
      <c r="H414" s="18"/>
      <c r="I414" s="18"/>
      <c r="J414" s="18"/>
      <c r="K414" s="65"/>
      <c r="L414" s="66"/>
      <c r="M414" s="65"/>
      <c r="N414" s="66"/>
      <c r="O414" s="65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>
      <c r="A415" s="67"/>
      <c r="B415" s="62">
        <v>2000.0</v>
      </c>
      <c r="C415" s="17" t="s">
        <v>154</v>
      </c>
      <c r="D415" s="68" t="s">
        <v>111</v>
      </c>
      <c r="E415" s="17" t="s">
        <v>484</v>
      </c>
      <c r="F415" s="64" t="s">
        <v>149</v>
      </c>
      <c r="G415" s="66"/>
      <c r="H415" s="18"/>
      <c r="I415" s="18"/>
      <c r="J415" s="18"/>
      <c r="K415" s="65"/>
      <c r="L415" s="66"/>
      <c r="M415" s="65"/>
      <c r="N415" s="66"/>
      <c r="O415" s="65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>
      <c r="A416" s="67"/>
      <c r="B416" s="62">
        <v>2000.0</v>
      </c>
      <c r="C416" s="17" t="s">
        <v>154</v>
      </c>
      <c r="D416" s="68" t="s">
        <v>113</v>
      </c>
      <c r="E416" s="17" t="s">
        <v>484</v>
      </c>
      <c r="F416" s="64" t="s">
        <v>149</v>
      </c>
      <c r="G416" s="66"/>
      <c r="H416" s="18"/>
      <c r="I416" s="18"/>
      <c r="J416" s="18"/>
      <c r="K416" s="65"/>
      <c r="L416" s="66"/>
      <c r="M416" s="65"/>
      <c r="N416" s="66"/>
      <c r="O416" s="65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>
      <c r="A417" s="67"/>
      <c r="B417" s="62">
        <v>2000.0</v>
      </c>
      <c r="C417" s="17" t="s">
        <v>154</v>
      </c>
      <c r="D417" s="68" t="s">
        <v>112</v>
      </c>
      <c r="E417" s="17" t="s">
        <v>484</v>
      </c>
      <c r="F417" s="64" t="s">
        <v>149</v>
      </c>
      <c r="G417" s="66"/>
      <c r="H417" s="18"/>
      <c r="I417" s="18"/>
      <c r="J417" s="18"/>
      <c r="K417" s="65"/>
      <c r="L417" s="66"/>
      <c r="M417" s="65"/>
      <c r="N417" s="66"/>
      <c r="O417" s="65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>
      <c r="A418" s="67"/>
      <c r="B418" s="62">
        <v>2000.0</v>
      </c>
      <c r="C418" s="17" t="s">
        <v>154</v>
      </c>
      <c r="D418" s="68" t="s">
        <v>110</v>
      </c>
      <c r="E418" s="17" t="s">
        <v>484</v>
      </c>
      <c r="F418" s="64" t="s">
        <v>149</v>
      </c>
      <c r="G418" s="66"/>
      <c r="H418" s="18"/>
      <c r="I418" s="18"/>
      <c r="J418" s="18"/>
      <c r="K418" s="65"/>
      <c r="L418" s="66"/>
      <c r="M418" s="65"/>
      <c r="N418" s="66"/>
      <c r="O418" s="65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>
      <c r="A419" s="67"/>
      <c r="B419" s="62">
        <v>30.0</v>
      </c>
      <c r="C419" s="17" t="s">
        <v>154</v>
      </c>
      <c r="D419" s="68" t="s">
        <v>157</v>
      </c>
      <c r="E419" s="17" t="s">
        <v>486</v>
      </c>
      <c r="F419" s="64" t="s">
        <v>149</v>
      </c>
      <c r="G419" s="66"/>
      <c r="H419" s="18"/>
      <c r="I419" s="18"/>
      <c r="J419" s="18"/>
      <c r="K419" s="65"/>
      <c r="L419" s="66"/>
      <c r="M419" s="65"/>
      <c r="N419" s="66"/>
      <c r="O419" s="65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>
      <c r="A420" s="67"/>
      <c r="B420" s="62">
        <v>1200.0</v>
      </c>
      <c r="C420" s="17" t="s">
        <v>154</v>
      </c>
      <c r="D420" s="68" t="s">
        <v>24</v>
      </c>
      <c r="E420" s="17" t="s">
        <v>487</v>
      </c>
      <c r="F420" s="64" t="s">
        <v>149</v>
      </c>
      <c r="G420" s="66"/>
      <c r="H420" s="18"/>
      <c r="I420" s="18"/>
      <c r="J420" s="18"/>
      <c r="K420" s="65"/>
      <c r="L420" s="66"/>
      <c r="M420" s="65"/>
      <c r="N420" s="66"/>
      <c r="O420" s="65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>
      <c r="A421" s="63">
        <v>45583.0</v>
      </c>
      <c r="B421" s="66"/>
      <c r="C421" s="18"/>
      <c r="D421" s="18"/>
      <c r="E421" s="18"/>
      <c r="F421" s="65"/>
      <c r="G421" s="62">
        <v>1740.0</v>
      </c>
      <c r="H421" s="17" t="s">
        <v>154</v>
      </c>
      <c r="I421" s="17" t="s">
        <v>9</v>
      </c>
      <c r="J421" s="17" t="s">
        <v>488</v>
      </c>
      <c r="K421" s="64" t="s">
        <v>155</v>
      </c>
      <c r="L421" s="66"/>
      <c r="M421" s="65"/>
      <c r="N421" s="66"/>
      <c r="O421" s="65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>
      <c r="A422" s="63">
        <v>45585.0</v>
      </c>
      <c r="B422" s="62">
        <v>1464.0</v>
      </c>
      <c r="C422" s="17" t="s">
        <v>154</v>
      </c>
      <c r="D422" s="68" t="s">
        <v>157</v>
      </c>
      <c r="E422" s="17" t="s">
        <v>489</v>
      </c>
      <c r="F422" s="64" t="s">
        <v>155</v>
      </c>
      <c r="L422" s="66"/>
      <c r="M422" s="65"/>
      <c r="N422" s="66"/>
      <c r="O422" s="65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>
      <c r="A423" s="63">
        <v>45586.0</v>
      </c>
      <c r="B423" s="62">
        <v>3900.0</v>
      </c>
      <c r="C423" s="17" t="s">
        <v>154</v>
      </c>
      <c r="D423" s="68" t="s">
        <v>109</v>
      </c>
      <c r="E423" s="17" t="s">
        <v>490</v>
      </c>
      <c r="F423" s="64" t="s">
        <v>155</v>
      </c>
      <c r="G423" s="62">
        <v>1464.0</v>
      </c>
      <c r="H423" s="17" t="s">
        <v>154</v>
      </c>
      <c r="I423" s="17" t="s">
        <v>157</v>
      </c>
      <c r="J423" s="17" t="s">
        <v>489</v>
      </c>
      <c r="K423" s="64" t="s">
        <v>149</v>
      </c>
      <c r="L423" s="66"/>
      <c r="M423" s="65"/>
      <c r="N423" s="62">
        <v>1500.0</v>
      </c>
      <c r="O423" s="65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>
      <c r="A424" s="67"/>
      <c r="B424" s="62">
        <v>0.45</v>
      </c>
      <c r="C424" s="17" t="s">
        <v>154</v>
      </c>
      <c r="D424" s="17" t="s">
        <v>139</v>
      </c>
      <c r="F424" s="64" t="s">
        <v>155</v>
      </c>
      <c r="G424" s="66"/>
      <c r="H424" s="18"/>
      <c r="I424" s="18"/>
      <c r="J424" s="18"/>
      <c r="K424" s="65"/>
      <c r="L424" s="66"/>
      <c r="M424" s="65"/>
      <c r="N424" s="66"/>
      <c r="O424" s="65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>
      <c r="A425" s="63">
        <v>45587.0</v>
      </c>
      <c r="B425" s="62">
        <v>4011.0</v>
      </c>
      <c r="C425" s="17" t="s">
        <v>154</v>
      </c>
      <c r="D425" s="17" t="s">
        <v>141</v>
      </c>
      <c r="F425" s="64" t="s">
        <v>155</v>
      </c>
      <c r="G425" s="66"/>
      <c r="H425" s="18"/>
      <c r="I425" s="18"/>
      <c r="J425" s="18"/>
      <c r="K425" s="65"/>
      <c r="L425" s="62">
        <v>2500.0</v>
      </c>
      <c r="M425" s="65"/>
      <c r="N425" s="66"/>
      <c r="O425" s="65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>
      <c r="A426" s="67"/>
      <c r="B426" s="62">
        <v>0.51</v>
      </c>
      <c r="C426" s="17" t="s">
        <v>154</v>
      </c>
      <c r="D426" s="17" t="s">
        <v>139</v>
      </c>
      <c r="F426" s="64" t="s">
        <v>155</v>
      </c>
      <c r="G426" s="66"/>
      <c r="H426" s="18"/>
      <c r="I426" s="18"/>
      <c r="J426" s="18"/>
      <c r="K426" s="65"/>
      <c r="L426" s="66"/>
      <c r="M426" s="65"/>
      <c r="N426" s="66"/>
      <c r="O426" s="65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>
      <c r="A427" s="67"/>
      <c r="B427" s="50">
        <v>231.0</v>
      </c>
      <c r="C427" s="17" t="s">
        <v>154</v>
      </c>
      <c r="D427" s="17" t="s">
        <v>141</v>
      </c>
      <c r="F427" s="64" t="s">
        <v>155</v>
      </c>
      <c r="G427" s="66"/>
      <c r="H427" s="18"/>
      <c r="I427" s="18"/>
      <c r="J427" s="18"/>
      <c r="K427" s="65"/>
      <c r="L427" s="66"/>
      <c r="M427" s="65"/>
      <c r="N427" s="66"/>
      <c r="O427" s="65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>
      <c r="A428" s="67"/>
      <c r="B428" s="62">
        <v>0.51</v>
      </c>
      <c r="C428" s="17" t="s">
        <v>154</v>
      </c>
      <c r="D428" s="17" t="s">
        <v>139</v>
      </c>
      <c r="F428" s="64" t="s">
        <v>155</v>
      </c>
      <c r="G428" s="66"/>
      <c r="H428" s="18"/>
      <c r="I428" s="18"/>
      <c r="J428" s="18"/>
      <c r="K428" s="65"/>
      <c r="L428" s="66"/>
      <c r="M428" s="65"/>
      <c r="N428" s="66"/>
      <c r="O428" s="65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>
      <c r="A429" s="67"/>
      <c r="B429" s="50">
        <v>707.0</v>
      </c>
      <c r="C429" s="17" t="s">
        <v>154</v>
      </c>
      <c r="D429" s="17" t="s">
        <v>212</v>
      </c>
      <c r="F429" s="64" t="s">
        <v>155</v>
      </c>
      <c r="G429" s="66"/>
      <c r="H429" s="18"/>
      <c r="I429" s="18"/>
      <c r="J429" s="18"/>
      <c r="K429" s="65"/>
      <c r="L429" s="66"/>
      <c r="M429" s="65"/>
      <c r="N429" s="66"/>
      <c r="O429" s="65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>
      <c r="A430" s="67"/>
      <c r="B430" s="62">
        <v>0.51</v>
      </c>
      <c r="C430" s="17" t="s">
        <v>154</v>
      </c>
      <c r="D430" s="17" t="s">
        <v>139</v>
      </c>
      <c r="F430" s="64" t="s">
        <v>155</v>
      </c>
      <c r="G430" s="66"/>
      <c r="H430" s="18"/>
      <c r="I430" s="18"/>
      <c r="J430" s="18"/>
      <c r="K430" s="65"/>
      <c r="L430" s="66"/>
      <c r="M430" s="65"/>
      <c r="N430" s="66"/>
      <c r="O430" s="65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>
      <c r="A431" s="67"/>
      <c r="B431" s="62">
        <v>39.0</v>
      </c>
      <c r="C431" s="17" t="s">
        <v>154</v>
      </c>
      <c r="D431" s="17" t="s">
        <v>143</v>
      </c>
      <c r="F431" s="64" t="s">
        <v>155</v>
      </c>
      <c r="G431" s="66"/>
      <c r="H431" s="18"/>
      <c r="I431" s="18"/>
      <c r="J431" s="18"/>
      <c r="K431" s="65"/>
      <c r="L431" s="66"/>
      <c r="M431" s="65"/>
      <c r="N431" s="66"/>
      <c r="O431" s="65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>
      <c r="A432" s="67"/>
      <c r="B432" s="62">
        <v>0.51</v>
      </c>
      <c r="C432" s="17" t="s">
        <v>154</v>
      </c>
      <c r="D432" s="17" t="s">
        <v>139</v>
      </c>
      <c r="F432" s="64" t="s">
        <v>155</v>
      </c>
      <c r="G432" s="66"/>
      <c r="H432" s="18"/>
      <c r="I432" s="18"/>
      <c r="J432" s="18"/>
      <c r="K432" s="65"/>
      <c r="L432" s="66"/>
      <c r="M432" s="65"/>
      <c r="N432" s="66"/>
      <c r="O432" s="65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>
      <c r="A433" s="63">
        <v>45594.0</v>
      </c>
      <c r="B433" s="66"/>
      <c r="C433" s="18"/>
      <c r="D433" s="18"/>
      <c r="E433" s="18"/>
      <c r="F433" s="65"/>
      <c r="G433" s="62">
        <v>2238.0</v>
      </c>
      <c r="H433" s="17" t="s">
        <v>154</v>
      </c>
      <c r="I433" s="17" t="s">
        <v>9</v>
      </c>
      <c r="J433" s="17" t="s">
        <v>491</v>
      </c>
      <c r="K433" s="64" t="s">
        <v>155</v>
      </c>
      <c r="L433" s="66"/>
      <c r="M433" s="65"/>
      <c r="N433" s="66"/>
      <c r="O433" s="65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>
      <c r="A434" s="63">
        <v>45596.0</v>
      </c>
      <c r="B434" s="17">
        <v>40.0</v>
      </c>
      <c r="C434" s="17" t="s">
        <v>154</v>
      </c>
      <c r="D434" s="17" t="s">
        <v>145</v>
      </c>
      <c r="E434" s="17"/>
      <c r="F434" s="64" t="s">
        <v>155</v>
      </c>
      <c r="G434" s="66"/>
      <c r="H434" s="18"/>
      <c r="I434" s="18"/>
      <c r="J434" s="18"/>
      <c r="K434" s="65"/>
      <c r="L434" s="66"/>
      <c r="M434" s="65"/>
      <c r="N434" s="66"/>
      <c r="O434" s="65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>
      <c r="A435" s="92"/>
      <c r="B435" s="93"/>
      <c r="C435" s="93"/>
      <c r="D435" s="93"/>
      <c r="E435" s="93"/>
      <c r="F435" s="94"/>
      <c r="G435" s="93"/>
      <c r="H435" s="93"/>
      <c r="I435" s="93"/>
      <c r="J435" s="93"/>
      <c r="K435" s="94"/>
      <c r="L435" s="93"/>
      <c r="M435" s="94"/>
      <c r="N435" s="93"/>
      <c r="O435" s="94"/>
      <c r="P435" s="93"/>
      <c r="Q435" s="93"/>
      <c r="R435" s="93"/>
      <c r="S435" s="93"/>
      <c r="T435" s="93"/>
      <c r="U435" s="93"/>
      <c r="V435" s="93"/>
      <c r="W435" s="93"/>
      <c r="X435" s="93"/>
      <c r="Y435" s="93"/>
    </row>
    <row r="436">
      <c r="A436" s="92"/>
      <c r="B436" s="93"/>
      <c r="C436" s="93"/>
      <c r="D436" s="93"/>
      <c r="E436" s="93"/>
      <c r="F436" s="94"/>
      <c r="G436" s="93"/>
      <c r="H436" s="93"/>
      <c r="I436" s="93"/>
      <c r="J436" s="93"/>
      <c r="K436" s="94"/>
      <c r="L436" s="93"/>
      <c r="M436" s="94"/>
      <c r="N436" s="93"/>
      <c r="O436" s="94"/>
      <c r="P436" s="93"/>
      <c r="Q436" s="93"/>
      <c r="R436" s="93"/>
      <c r="S436" s="93"/>
      <c r="T436" s="93"/>
      <c r="U436" s="93"/>
      <c r="V436" s="93"/>
      <c r="W436" s="93"/>
      <c r="X436" s="93"/>
      <c r="Y436" s="93"/>
    </row>
    <row r="437">
      <c r="A437" s="63">
        <v>45598.0</v>
      </c>
      <c r="G437" s="66"/>
      <c r="H437" s="18"/>
      <c r="I437" s="18"/>
      <c r="J437" s="18"/>
      <c r="K437" s="65"/>
      <c r="L437" s="62">
        <v>2500.0</v>
      </c>
      <c r="M437" s="65"/>
      <c r="N437" s="66"/>
      <c r="O437" s="65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>
      <c r="A438" s="63">
        <v>45599.0</v>
      </c>
      <c r="B438" s="62">
        <v>71.03</v>
      </c>
      <c r="C438" s="17" t="s">
        <v>154</v>
      </c>
      <c r="D438" s="17" t="s">
        <v>146</v>
      </c>
      <c r="E438" s="18"/>
      <c r="F438" s="64" t="s">
        <v>155</v>
      </c>
      <c r="G438" s="66"/>
      <c r="H438" s="18"/>
      <c r="I438" s="18"/>
      <c r="J438" s="18"/>
      <c r="K438" s="65"/>
      <c r="L438" s="66"/>
      <c r="M438" s="65"/>
      <c r="N438" s="66"/>
      <c r="O438" s="65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>
      <c r="A439" s="63">
        <v>45606.0</v>
      </c>
      <c r="B439" s="17">
        <v>500.0</v>
      </c>
      <c r="C439" s="17" t="s">
        <v>154</v>
      </c>
      <c r="D439" s="17" t="s">
        <v>24</v>
      </c>
      <c r="E439" s="17" t="s">
        <v>492</v>
      </c>
      <c r="F439" s="64" t="s">
        <v>149</v>
      </c>
      <c r="G439" s="66"/>
      <c r="H439" s="18"/>
      <c r="I439" s="18"/>
      <c r="J439" s="18"/>
      <c r="K439" s="65"/>
      <c r="L439" s="66"/>
      <c r="M439" s="65"/>
      <c r="N439" s="66"/>
      <c r="O439" s="65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>
      <c r="A440" s="63">
        <v>45607.0</v>
      </c>
      <c r="B440" s="17">
        <v>20.0</v>
      </c>
      <c r="C440" s="17" t="s">
        <v>154</v>
      </c>
      <c r="D440" s="17" t="s">
        <v>138</v>
      </c>
      <c r="E440" s="17"/>
      <c r="F440" s="64" t="s">
        <v>155</v>
      </c>
      <c r="G440" s="62">
        <v>2950.0</v>
      </c>
      <c r="H440" s="17" t="s">
        <v>204</v>
      </c>
      <c r="I440" s="17" t="s">
        <v>160</v>
      </c>
      <c r="J440" s="17" t="s">
        <v>493</v>
      </c>
      <c r="K440" s="64" t="s">
        <v>149</v>
      </c>
      <c r="L440" s="62">
        <v>5000.0</v>
      </c>
      <c r="M440" s="65"/>
      <c r="N440" s="66"/>
      <c r="O440" s="65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>
      <c r="A441" s="67"/>
      <c r="B441" s="62">
        <v>200.0</v>
      </c>
      <c r="C441" s="17" t="s">
        <v>204</v>
      </c>
      <c r="D441" s="17" t="s">
        <v>24</v>
      </c>
      <c r="E441" s="17" t="s">
        <v>494</v>
      </c>
      <c r="F441" s="64" t="s">
        <v>149</v>
      </c>
      <c r="G441" s="66"/>
      <c r="H441" s="18"/>
      <c r="I441" s="18"/>
      <c r="J441" s="18"/>
      <c r="K441" s="65"/>
      <c r="L441" s="66"/>
      <c r="M441" s="65"/>
      <c r="N441" s="66"/>
      <c r="O441" s="65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>
      <c r="A442" s="67"/>
      <c r="B442" s="62">
        <v>3000.0</v>
      </c>
      <c r="C442" s="17" t="s">
        <v>154</v>
      </c>
      <c r="D442" s="68" t="s">
        <v>111</v>
      </c>
      <c r="E442" s="17" t="s">
        <v>495</v>
      </c>
      <c r="F442" s="64" t="s">
        <v>149</v>
      </c>
      <c r="G442" s="66"/>
      <c r="H442" s="18"/>
      <c r="I442" s="18"/>
      <c r="J442" s="18"/>
      <c r="K442" s="65"/>
      <c r="L442" s="66"/>
      <c r="M442" s="65"/>
      <c r="N442" s="66"/>
      <c r="O442" s="65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>
      <c r="A443" s="67"/>
      <c r="B443" s="62">
        <v>500.0</v>
      </c>
      <c r="C443" s="17" t="s">
        <v>204</v>
      </c>
      <c r="D443" s="68" t="s">
        <v>109</v>
      </c>
      <c r="E443" s="17" t="s">
        <v>494</v>
      </c>
      <c r="F443" s="64" t="s">
        <v>149</v>
      </c>
      <c r="G443" s="66"/>
      <c r="H443" s="18"/>
      <c r="I443" s="18"/>
      <c r="J443" s="18"/>
      <c r="K443" s="65"/>
      <c r="L443" s="66"/>
      <c r="M443" s="65"/>
      <c r="N443" s="66"/>
      <c r="O443" s="65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>
      <c r="A444" s="67"/>
      <c r="B444" s="62">
        <v>500.0</v>
      </c>
      <c r="C444" s="17" t="s">
        <v>204</v>
      </c>
      <c r="D444" s="68" t="s">
        <v>111</v>
      </c>
      <c r="E444" s="17" t="s">
        <v>494</v>
      </c>
      <c r="F444" s="64" t="s">
        <v>149</v>
      </c>
      <c r="G444" s="66"/>
      <c r="H444" s="18"/>
      <c r="I444" s="18"/>
      <c r="J444" s="18"/>
      <c r="K444" s="65"/>
      <c r="L444" s="66"/>
      <c r="M444" s="65"/>
      <c r="N444" s="66"/>
      <c r="O444" s="65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>
      <c r="A445" s="67"/>
      <c r="B445" s="62">
        <v>500.0</v>
      </c>
      <c r="C445" s="17" t="s">
        <v>204</v>
      </c>
      <c r="D445" s="68" t="s">
        <v>113</v>
      </c>
      <c r="E445" s="17" t="s">
        <v>494</v>
      </c>
      <c r="F445" s="64" t="s">
        <v>149</v>
      </c>
      <c r="G445" s="66"/>
      <c r="H445" s="18"/>
      <c r="I445" s="18"/>
      <c r="J445" s="18"/>
      <c r="K445" s="65"/>
      <c r="L445" s="66"/>
      <c r="M445" s="65"/>
      <c r="N445" s="66"/>
      <c r="O445" s="65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>
      <c r="A446" s="67"/>
      <c r="B446" s="62">
        <v>500.0</v>
      </c>
      <c r="C446" s="17" t="s">
        <v>204</v>
      </c>
      <c r="D446" s="68" t="s">
        <v>112</v>
      </c>
      <c r="E446" s="17" t="s">
        <v>494</v>
      </c>
      <c r="F446" s="64" t="s">
        <v>149</v>
      </c>
      <c r="G446" s="66"/>
      <c r="H446" s="18"/>
      <c r="I446" s="18"/>
      <c r="J446" s="18"/>
      <c r="K446" s="65"/>
      <c r="L446" s="66"/>
      <c r="M446" s="65"/>
      <c r="N446" s="66"/>
      <c r="O446" s="65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>
      <c r="A447" s="67"/>
      <c r="B447" s="62">
        <v>500.0</v>
      </c>
      <c r="C447" s="17" t="s">
        <v>204</v>
      </c>
      <c r="D447" s="68" t="s">
        <v>110</v>
      </c>
      <c r="E447" s="17" t="s">
        <v>494</v>
      </c>
      <c r="F447" s="64" t="s">
        <v>149</v>
      </c>
      <c r="G447" s="66"/>
      <c r="H447" s="18"/>
      <c r="I447" s="18"/>
      <c r="J447" s="18"/>
      <c r="K447" s="65"/>
      <c r="L447" s="66"/>
      <c r="M447" s="65"/>
      <c r="N447" s="66"/>
      <c r="O447" s="65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>
      <c r="A448" s="67"/>
      <c r="B448" s="62">
        <v>200.0</v>
      </c>
      <c r="C448" s="17" t="s">
        <v>204</v>
      </c>
      <c r="D448" s="68" t="s">
        <v>22</v>
      </c>
      <c r="E448" s="17" t="s">
        <v>494</v>
      </c>
      <c r="F448" s="64" t="s">
        <v>149</v>
      </c>
      <c r="G448" s="66"/>
      <c r="H448" s="18"/>
      <c r="I448" s="18"/>
      <c r="J448" s="18"/>
      <c r="K448" s="65"/>
      <c r="L448" s="66"/>
      <c r="M448" s="65"/>
      <c r="N448" s="66"/>
      <c r="O448" s="65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>
      <c r="A449" s="67"/>
      <c r="B449" s="62">
        <v>50.0</v>
      </c>
      <c r="C449" s="17" t="s">
        <v>204</v>
      </c>
      <c r="D449" s="68" t="s">
        <v>25</v>
      </c>
      <c r="E449" s="17" t="s">
        <v>496</v>
      </c>
      <c r="F449" s="64" t="s">
        <v>149</v>
      </c>
      <c r="G449" s="66"/>
      <c r="H449" s="18"/>
      <c r="I449" s="18"/>
      <c r="J449" s="18"/>
      <c r="K449" s="65"/>
      <c r="L449" s="66"/>
      <c r="M449" s="65"/>
      <c r="N449" s="66"/>
      <c r="O449" s="65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>
      <c r="A450" s="63">
        <v>45617.0</v>
      </c>
      <c r="B450" s="62">
        <v>400.0</v>
      </c>
      <c r="C450" s="17" t="s">
        <v>154</v>
      </c>
      <c r="D450" s="68" t="s">
        <v>110</v>
      </c>
      <c r="E450" s="17" t="s">
        <v>497</v>
      </c>
      <c r="F450" s="64" t="s">
        <v>149</v>
      </c>
      <c r="G450" s="66"/>
      <c r="H450" s="18"/>
      <c r="I450" s="18"/>
      <c r="J450" s="18"/>
      <c r="K450" s="65"/>
      <c r="L450" s="66"/>
      <c r="M450" s="65"/>
      <c r="N450" s="66"/>
      <c r="O450" s="65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>
      <c r="A451" s="63">
        <v>45618.0</v>
      </c>
      <c r="B451" s="62">
        <v>200.0</v>
      </c>
      <c r="C451" s="17" t="s">
        <v>154</v>
      </c>
      <c r="D451" s="17" t="s">
        <v>24</v>
      </c>
      <c r="E451" s="17" t="s">
        <v>498</v>
      </c>
      <c r="F451" s="64" t="s">
        <v>149</v>
      </c>
      <c r="G451" s="66"/>
      <c r="H451" s="18"/>
      <c r="I451" s="18"/>
      <c r="J451" s="18"/>
      <c r="K451" s="65"/>
      <c r="L451" s="66"/>
      <c r="M451" s="65"/>
      <c r="N451" s="66"/>
      <c r="O451" s="65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>
      <c r="A452" s="63"/>
      <c r="B452" s="62">
        <v>750.0</v>
      </c>
      <c r="C452" s="17" t="s">
        <v>154</v>
      </c>
      <c r="D452" s="17" t="s">
        <v>24</v>
      </c>
      <c r="E452" s="17" t="s">
        <v>499</v>
      </c>
      <c r="F452" s="64" t="s">
        <v>149</v>
      </c>
      <c r="G452" s="66"/>
      <c r="H452" s="18"/>
      <c r="I452" s="18"/>
      <c r="J452" s="18"/>
      <c r="K452" s="65"/>
      <c r="L452" s="66"/>
      <c r="M452" s="65"/>
      <c r="N452" s="66"/>
      <c r="O452" s="65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>
      <c r="A453" s="63"/>
      <c r="B453" s="62">
        <v>500.0</v>
      </c>
      <c r="C453" s="17" t="s">
        <v>154</v>
      </c>
      <c r="D453" s="17" t="s">
        <v>157</v>
      </c>
      <c r="E453" s="17" t="s">
        <v>500</v>
      </c>
      <c r="F453" s="64" t="s">
        <v>149</v>
      </c>
      <c r="G453" s="66"/>
      <c r="H453" s="18"/>
      <c r="I453" s="18"/>
      <c r="J453" s="18"/>
      <c r="K453" s="65"/>
      <c r="L453" s="66"/>
      <c r="M453" s="65"/>
      <c r="N453" s="66"/>
      <c r="O453" s="65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>
      <c r="A454" s="63">
        <v>45620.0</v>
      </c>
      <c r="B454" s="62">
        <v>20.0</v>
      </c>
      <c r="C454" s="17" t="s">
        <v>154</v>
      </c>
      <c r="D454" s="17" t="s">
        <v>138</v>
      </c>
      <c r="E454" s="17"/>
      <c r="F454" s="64" t="s">
        <v>155</v>
      </c>
      <c r="G454" s="66"/>
      <c r="H454" s="18"/>
      <c r="I454" s="18"/>
      <c r="J454" s="18"/>
      <c r="K454" s="65"/>
      <c r="L454" s="62">
        <v>5000.0</v>
      </c>
      <c r="M454" s="65"/>
      <c r="N454" s="66"/>
      <c r="O454" s="65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>
      <c r="A455" s="63"/>
      <c r="B455" s="62">
        <v>2000.0</v>
      </c>
      <c r="C455" s="17" t="s">
        <v>154</v>
      </c>
      <c r="D455" s="17" t="s">
        <v>110</v>
      </c>
      <c r="E455" s="17" t="s">
        <v>501</v>
      </c>
      <c r="F455" s="64" t="s">
        <v>149</v>
      </c>
      <c r="G455" s="66"/>
      <c r="H455" s="18"/>
      <c r="I455" s="18"/>
      <c r="J455" s="18"/>
      <c r="K455" s="65"/>
      <c r="L455" s="62"/>
      <c r="M455" s="65"/>
      <c r="N455" s="66"/>
      <c r="O455" s="65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>
      <c r="A456" s="63"/>
      <c r="B456" s="62">
        <v>500.0</v>
      </c>
      <c r="C456" s="17" t="s">
        <v>154</v>
      </c>
      <c r="D456" s="17" t="s">
        <v>110</v>
      </c>
      <c r="E456" s="17" t="s">
        <v>502</v>
      </c>
      <c r="F456" s="64" t="s">
        <v>149</v>
      </c>
      <c r="G456" s="66"/>
      <c r="H456" s="18"/>
      <c r="I456" s="18"/>
      <c r="J456" s="18"/>
      <c r="K456" s="65"/>
      <c r="L456" s="62"/>
      <c r="M456" s="65"/>
      <c r="N456" s="66"/>
      <c r="O456" s="65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>
      <c r="A457" s="63"/>
      <c r="B457" s="62">
        <v>1750.0</v>
      </c>
      <c r="C457" s="17" t="s">
        <v>154</v>
      </c>
      <c r="D457" s="17" t="s">
        <v>24</v>
      </c>
      <c r="E457" s="17" t="s">
        <v>503</v>
      </c>
      <c r="F457" s="64" t="s">
        <v>149</v>
      </c>
      <c r="G457" s="66"/>
      <c r="H457" s="18"/>
      <c r="I457" s="18"/>
      <c r="J457" s="18"/>
      <c r="K457" s="65"/>
      <c r="L457" s="62"/>
      <c r="M457" s="65"/>
      <c r="N457" s="66"/>
      <c r="O457" s="65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>
      <c r="A458" s="63">
        <v>45622.0</v>
      </c>
      <c r="B458" s="66"/>
      <c r="C458" s="18"/>
      <c r="D458" s="18"/>
      <c r="E458" s="18"/>
      <c r="F458" s="65"/>
      <c r="G458" s="62">
        <v>2239.0</v>
      </c>
      <c r="H458" s="17" t="s">
        <v>154</v>
      </c>
      <c r="I458" s="17" t="s">
        <v>9</v>
      </c>
      <c r="J458" s="17" t="s">
        <v>504</v>
      </c>
      <c r="K458" s="64" t="s">
        <v>155</v>
      </c>
      <c r="L458" s="66"/>
      <c r="M458" s="65"/>
      <c r="N458" s="66"/>
      <c r="O458" s="65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>
      <c r="A459" s="63">
        <v>45623.0</v>
      </c>
      <c r="B459" s="17">
        <v>1000.0</v>
      </c>
      <c r="C459" s="17" t="s">
        <v>154</v>
      </c>
      <c r="D459" s="68" t="s">
        <v>112</v>
      </c>
      <c r="E459" s="17" t="s">
        <v>505</v>
      </c>
      <c r="F459" s="64" t="s">
        <v>149</v>
      </c>
      <c r="G459" s="62"/>
      <c r="H459" s="17"/>
      <c r="I459" s="17"/>
      <c r="J459" s="17"/>
      <c r="K459" s="64"/>
      <c r="L459" s="66"/>
      <c r="M459" s="65"/>
      <c r="N459" s="66"/>
      <c r="O459" s="65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>
      <c r="A460" s="63">
        <v>45626.0</v>
      </c>
      <c r="B460" s="17">
        <v>40.0</v>
      </c>
      <c r="C460" s="17" t="s">
        <v>154</v>
      </c>
      <c r="D460" s="17" t="s">
        <v>145</v>
      </c>
      <c r="E460" s="17"/>
      <c r="F460" s="64" t="s">
        <v>155</v>
      </c>
      <c r="G460" s="66"/>
      <c r="H460" s="18"/>
      <c r="I460" s="18"/>
      <c r="J460" s="18"/>
      <c r="K460" s="65"/>
      <c r="L460" s="66"/>
      <c r="M460" s="65"/>
      <c r="N460" s="66"/>
      <c r="O460" s="65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>
      <c r="A461" s="63"/>
      <c r="B461" s="17">
        <v>500.0</v>
      </c>
      <c r="C461" s="17" t="s">
        <v>154</v>
      </c>
      <c r="D461" s="17" t="s">
        <v>157</v>
      </c>
      <c r="E461" s="17" t="s">
        <v>506</v>
      </c>
      <c r="F461" s="64" t="s">
        <v>149</v>
      </c>
      <c r="G461" s="18"/>
      <c r="H461" s="18"/>
      <c r="I461" s="18"/>
      <c r="J461" s="18"/>
      <c r="K461" s="65"/>
      <c r="L461" s="18"/>
      <c r="M461" s="65"/>
      <c r="N461" s="18"/>
      <c r="O461" s="65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>
      <c r="A462" s="92"/>
      <c r="B462" s="93"/>
      <c r="C462" s="93"/>
      <c r="D462" s="93"/>
      <c r="E462" s="93"/>
      <c r="F462" s="94"/>
      <c r="G462" s="93"/>
      <c r="H462" s="93"/>
      <c r="I462" s="93"/>
      <c r="J462" s="93"/>
      <c r="K462" s="94"/>
      <c r="L462" s="93"/>
      <c r="M462" s="94"/>
      <c r="N462" s="93"/>
      <c r="O462" s="94"/>
      <c r="P462" s="93"/>
      <c r="Q462" s="93"/>
      <c r="R462" s="93"/>
      <c r="S462" s="93"/>
      <c r="T462" s="93"/>
      <c r="U462" s="93"/>
      <c r="V462" s="93"/>
      <c r="W462" s="93"/>
      <c r="X462" s="93"/>
      <c r="Y462" s="93"/>
    </row>
    <row r="463">
      <c r="A463" s="92"/>
      <c r="B463" s="93"/>
      <c r="C463" s="93"/>
      <c r="D463" s="93"/>
      <c r="E463" s="93"/>
      <c r="F463" s="94"/>
      <c r="G463" s="93"/>
      <c r="H463" s="93"/>
      <c r="I463" s="93"/>
      <c r="J463" s="93"/>
      <c r="K463" s="94"/>
      <c r="L463" s="93"/>
      <c r="M463" s="94"/>
      <c r="N463" s="93"/>
      <c r="O463" s="94"/>
      <c r="P463" s="93"/>
      <c r="Q463" s="93"/>
      <c r="R463" s="93"/>
      <c r="S463" s="93"/>
      <c r="T463" s="93"/>
      <c r="U463" s="93"/>
      <c r="V463" s="93"/>
      <c r="W463" s="93"/>
      <c r="X463" s="93"/>
      <c r="Y463" s="93"/>
    </row>
    <row r="464">
      <c r="A464" s="63">
        <v>45627.0</v>
      </c>
      <c r="B464" s="62">
        <v>540.0</v>
      </c>
      <c r="C464" s="17" t="s">
        <v>154</v>
      </c>
      <c r="D464" s="17" t="s">
        <v>157</v>
      </c>
      <c r="E464" s="17" t="s">
        <v>507</v>
      </c>
      <c r="F464" s="65"/>
      <c r="G464" s="66"/>
      <c r="H464" s="18"/>
      <c r="I464" s="18"/>
      <c r="J464" s="18"/>
      <c r="K464" s="65"/>
      <c r="L464" s="66"/>
      <c r="M464" s="65"/>
      <c r="N464" s="66"/>
      <c r="O464" s="65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>
      <c r="A465" s="63"/>
      <c r="B465" s="62">
        <v>700.0</v>
      </c>
      <c r="C465" s="17" t="s">
        <v>154</v>
      </c>
      <c r="D465" s="17" t="s">
        <v>110</v>
      </c>
      <c r="E465" s="17" t="s">
        <v>508</v>
      </c>
      <c r="F465" s="64" t="s">
        <v>149</v>
      </c>
      <c r="G465" s="66"/>
      <c r="H465" s="18"/>
      <c r="I465" s="18"/>
      <c r="J465" s="18"/>
      <c r="K465" s="65"/>
      <c r="L465" s="66"/>
      <c r="M465" s="65"/>
      <c r="N465" s="66"/>
      <c r="O465" s="65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>
      <c r="A466" s="63">
        <v>45629.0</v>
      </c>
      <c r="B466" s="62">
        <v>71.09</v>
      </c>
      <c r="C466" s="17" t="s">
        <v>154</v>
      </c>
      <c r="D466" s="17" t="s">
        <v>146</v>
      </c>
      <c r="E466" s="18"/>
      <c r="F466" s="64" t="s">
        <v>155</v>
      </c>
      <c r="G466" s="66"/>
      <c r="H466" s="18"/>
      <c r="I466" s="18"/>
      <c r="J466" s="18"/>
      <c r="K466" s="65"/>
      <c r="L466" s="62">
        <v>4000.0</v>
      </c>
      <c r="M466" s="65"/>
      <c r="N466" s="66"/>
      <c r="O466" s="65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>
      <c r="A467" s="63">
        <v>45632.0</v>
      </c>
      <c r="B467" s="17">
        <v>6.0</v>
      </c>
      <c r="C467" s="17" t="s">
        <v>154</v>
      </c>
      <c r="D467" s="17" t="s">
        <v>138</v>
      </c>
      <c r="E467" s="17"/>
      <c r="F467" s="64" t="s">
        <v>155</v>
      </c>
      <c r="G467" s="66"/>
      <c r="H467" s="18"/>
      <c r="I467" s="18"/>
      <c r="J467" s="18"/>
      <c r="K467" s="65"/>
      <c r="L467" s="62">
        <v>1500.0</v>
      </c>
      <c r="M467" s="65"/>
      <c r="N467" s="66"/>
      <c r="O467" s="65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>
      <c r="A468" s="63">
        <v>45635.0</v>
      </c>
      <c r="B468" s="66"/>
      <c r="C468" s="18"/>
      <c r="D468" s="18"/>
      <c r="E468" s="18"/>
      <c r="F468" s="65"/>
      <c r="G468" s="62">
        <v>7000.0</v>
      </c>
      <c r="H468" s="17" t="s">
        <v>154</v>
      </c>
      <c r="I468" s="17" t="s">
        <v>160</v>
      </c>
      <c r="J468" s="17" t="s">
        <v>509</v>
      </c>
      <c r="K468" s="64" t="s">
        <v>155</v>
      </c>
      <c r="L468" s="66"/>
      <c r="M468" s="65"/>
      <c r="N468" s="66"/>
      <c r="O468" s="65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>
      <c r="A469" s="63">
        <v>45636.0</v>
      </c>
      <c r="B469" s="17">
        <v>20.0</v>
      </c>
      <c r="C469" s="17" t="s">
        <v>154</v>
      </c>
      <c r="D469" s="17" t="s">
        <v>138</v>
      </c>
      <c r="E469" s="17"/>
      <c r="F469" s="64" t="s">
        <v>155</v>
      </c>
      <c r="G469" s="66"/>
      <c r="H469" s="18"/>
      <c r="I469" s="18"/>
      <c r="J469" s="18"/>
      <c r="K469" s="65"/>
      <c r="L469" s="62">
        <v>5000.0</v>
      </c>
      <c r="M469" s="65"/>
      <c r="N469" s="66"/>
      <c r="O469" s="65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>
      <c r="A470" s="63">
        <v>45638.0</v>
      </c>
      <c r="B470" s="62">
        <v>450.0</v>
      </c>
      <c r="C470" s="17" t="s">
        <v>154</v>
      </c>
      <c r="D470" s="17" t="s">
        <v>157</v>
      </c>
      <c r="E470" s="17" t="s">
        <v>510</v>
      </c>
      <c r="F470" s="64" t="s">
        <v>149</v>
      </c>
      <c r="G470" s="66"/>
      <c r="H470" s="18"/>
      <c r="I470" s="18"/>
      <c r="J470" s="18"/>
      <c r="K470" s="65"/>
      <c r="L470" s="66"/>
      <c r="M470" s="65"/>
      <c r="N470" s="66"/>
      <c r="O470" s="65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>
      <c r="A471" s="63">
        <v>45640.0</v>
      </c>
      <c r="B471" s="17">
        <v>10.0</v>
      </c>
      <c r="C471" s="17" t="s">
        <v>154</v>
      </c>
      <c r="D471" s="17" t="s">
        <v>138</v>
      </c>
      <c r="E471" s="17"/>
      <c r="F471" s="64" t="s">
        <v>155</v>
      </c>
      <c r="G471" s="66"/>
      <c r="H471" s="18"/>
      <c r="I471" s="18"/>
      <c r="J471" s="18"/>
      <c r="K471" s="65"/>
      <c r="L471" s="62">
        <v>2500.0</v>
      </c>
      <c r="M471" s="65"/>
      <c r="N471" s="66"/>
      <c r="O471" s="65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>
      <c r="A472" s="63"/>
      <c r="B472" s="17">
        <v>100.0</v>
      </c>
      <c r="C472" s="17" t="s">
        <v>154</v>
      </c>
      <c r="D472" s="17" t="s">
        <v>157</v>
      </c>
      <c r="E472" s="17" t="s">
        <v>511</v>
      </c>
      <c r="F472" s="64" t="s">
        <v>149</v>
      </c>
      <c r="G472" s="66"/>
      <c r="H472" s="18"/>
      <c r="I472" s="18"/>
      <c r="J472" s="18"/>
      <c r="K472" s="65"/>
      <c r="L472" s="62"/>
      <c r="M472" s="65"/>
      <c r="N472" s="66"/>
      <c r="O472" s="65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>
      <c r="A473" s="63"/>
      <c r="B473" s="17">
        <v>2000.0</v>
      </c>
      <c r="C473" s="17" t="s">
        <v>154</v>
      </c>
      <c r="D473" s="17" t="s">
        <v>157</v>
      </c>
      <c r="E473" s="17" t="s">
        <v>512</v>
      </c>
      <c r="F473" s="64" t="s">
        <v>149</v>
      </c>
      <c r="G473" s="66"/>
      <c r="H473" s="18"/>
      <c r="I473" s="18"/>
      <c r="J473" s="18"/>
      <c r="K473" s="65"/>
      <c r="L473" s="62"/>
      <c r="M473" s="65"/>
      <c r="N473" s="66"/>
      <c r="O473" s="65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>
      <c r="A474" s="63">
        <v>45643.0</v>
      </c>
      <c r="B474" s="62">
        <v>70.0</v>
      </c>
      <c r="C474" s="17" t="s">
        <v>154</v>
      </c>
      <c r="D474" s="17" t="s">
        <v>157</v>
      </c>
      <c r="E474" s="17" t="s">
        <v>513</v>
      </c>
      <c r="F474" s="64" t="s">
        <v>149</v>
      </c>
      <c r="G474" s="66"/>
      <c r="H474" s="18"/>
      <c r="I474" s="18"/>
      <c r="J474" s="18"/>
      <c r="K474" s="65"/>
      <c r="L474" s="66"/>
      <c r="M474" s="65"/>
      <c r="N474" s="66"/>
      <c r="O474" s="65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>
      <c r="A475" s="63"/>
      <c r="B475" s="62">
        <v>2750.0</v>
      </c>
      <c r="C475" s="17" t="s">
        <v>154</v>
      </c>
      <c r="D475" s="17" t="s">
        <v>24</v>
      </c>
      <c r="E475" s="17" t="s">
        <v>503</v>
      </c>
      <c r="F475" s="64" t="s">
        <v>149</v>
      </c>
      <c r="G475" s="66"/>
      <c r="H475" s="18"/>
      <c r="I475" s="18"/>
      <c r="J475" s="18"/>
      <c r="K475" s="65"/>
      <c r="L475" s="66"/>
      <c r="M475" s="65"/>
      <c r="N475" s="66"/>
      <c r="O475" s="65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>
      <c r="A476" s="67"/>
      <c r="B476" s="62">
        <v>2500.0</v>
      </c>
      <c r="C476" s="17" t="s">
        <v>154</v>
      </c>
      <c r="D476" s="17" t="s">
        <v>111</v>
      </c>
      <c r="E476" s="17" t="s">
        <v>156</v>
      </c>
      <c r="F476" s="64" t="s">
        <v>149</v>
      </c>
      <c r="G476" s="66"/>
      <c r="H476" s="18"/>
      <c r="I476" s="18"/>
      <c r="J476" s="18"/>
      <c r="K476" s="65"/>
      <c r="L476" s="66"/>
      <c r="M476" s="65"/>
      <c r="N476" s="66"/>
      <c r="O476" s="65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>
      <c r="A477" s="67"/>
      <c r="B477" s="62">
        <v>2500.0</v>
      </c>
      <c r="C477" s="17" t="s">
        <v>154</v>
      </c>
      <c r="D477" s="17" t="s">
        <v>111</v>
      </c>
      <c r="E477" s="17" t="s">
        <v>172</v>
      </c>
      <c r="F477" s="64" t="s">
        <v>149</v>
      </c>
      <c r="G477" s="66"/>
      <c r="H477" s="18"/>
      <c r="I477" s="18"/>
      <c r="J477" s="18"/>
      <c r="K477" s="65"/>
      <c r="L477" s="66"/>
      <c r="M477" s="65"/>
      <c r="N477" s="66"/>
      <c r="O477" s="65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>
      <c r="A478" s="63">
        <v>45645.0</v>
      </c>
      <c r="B478" s="62">
        <v>700.0</v>
      </c>
      <c r="C478" s="17" t="s">
        <v>154</v>
      </c>
      <c r="D478" s="17" t="s">
        <v>110</v>
      </c>
      <c r="E478" s="17" t="s">
        <v>167</v>
      </c>
      <c r="F478" s="64" t="s">
        <v>149</v>
      </c>
      <c r="G478" s="66"/>
      <c r="H478" s="18"/>
      <c r="I478" s="18"/>
      <c r="J478" s="18"/>
      <c r="K478" s="65"/>
      <c r="L478" s="62">
        <v>5000.0</v>
      </c>
      <c r="M478" s="65"/>
      <c r="N478" s="66"/>
      <c r="O478" s="65"/>
      <c r="P478" s="18"/>
      <c r="Q478" s="18"/>
      <c r="R478" s="18"/>
      <c r="S478" s="18"/>
      <c r="T478" s="18"/>
      <c r="U478" s="18"/>
      <c r="V478" s="18"/>
      <c r="W478" s="18"/>
      <c r="X478" s="18"/>
      <c r="Y478" s="18"/>
    </row>
    <row r="479">
      <c r="A479" s="67"/>
      <c r="B479" s="62">
        <v>1250.0</v>
      </c>
      <c r="C479" s="17" t="s">
        <v>154</v>
      </c>
      <c r="D479" s="17" t="s">
        <v>110</v>
      </c>
      <c r="E479" s="17" t="s">
        <v>514</v>
      </c>
      <c r="F479" s="64" t="s">
        <v>149</v>
      </c>
      <c r="G479" s="62">
        <v>26370.0</v>
      </c>
      <c r="H479" s="17" t="s">
        <v>154</v>
      </c>
      <c r="I479" s="17" t="s">
        <v>160</v>
      </c>
      <c r="J479" s="17" t="s">
        <v>474</v>
      </c>
      <c r="K479" s="64" t="s">
        <v>155</v>
      </c>
      <c r="L479" s="62">
        <v>5000.0</v>
      </c>
      <c r="M479" s="65"/>
      <c r="N479" s="66"/>
      <c r="O479" s="65"/>
      <c r="P479" s="18"/>
      <c r="Q479" s="18"/>
      <c r="R479" s="18"/>
      <c r="S479" s="18"/>
      <c r="T479" s="18"/>
      <c r="U479" s="18"/>
      <c r="V479" s="18"/>
      <c r="W479" s="18"/>
      <c r="X479" s="18"/>
      <c r="Y479" s="18"/>
    </row>
    <row r="480">
      <c r="A480" s="67"/>
      <c r="B480" s="62">
        <v>3000.0</v>
      </c>
      <c r="C480" s="17" t="s">
        <v>154</v>
      </c>
      <c r="D480" s="17" t="s">
        <v>113</v>
      </c>
      <c r="E480" s="17" t="s">
        <v>515</v>
      </c>
      <c r="F480" s="64" t="s">
        <v>149</v>
      </c>
      <c r="G480" s="66"/>
      <c r="H480" s="18"/>
      <c r="I480" s="18"/>
      <c r="J480" s="18"/>
      <c r="K480" s="65"/>
      <c r="L480" s="66"/>
      <c r="M480" s="65"/>
      <c r="N480" s="66"/>
      <c r="O480" s="65"/>
      <c r="P480" s="18"/>
      <c r="Q480" s="18"/>
      <c r="R480" s="18"/>
      <c r="S480" s="18"/>
      <c r="T480" s="18"/>
      <c r="U480" s="18"/>
      <c r="V480" s="18"/>
      <c r="W480" s="18"/>
      <c r="X480" s="18"/>
      <c r="Y480" s="18"/>
    </row>
    <row r="481">
      <c r="A481" s="67"/>
      <c r="B481" s="62">
        <v>2000.0</v>
      </c>
      <c r="C481" s="17" t="s">
        <v>154</v>
      </c>
      <c r="D481" s="17" t="s">
        <v>113</v>
      </c>
      <c r="E481" s="17" t="s">
        <v>501</v>
      </c>
      <c r="F481" s="64" t="s">
        <v>149</v>
      </c>
      <c r="G481" s="66"/>
      <c r="H481" s="18"/>
      <c r="I481" s="18"/>
      <c r="J481" s="18"/>
      <c r="K481" s="65"/>
      <c r="L481" s="66"/>
      <c r="M481" s="65"/>
      <c r="N481" s="66"/>
      <c r="O481" s="65"/>
      <c r="P481" s="18"/>
      <c r="Q481" s="18"/>
      <c r="R481" s="18"/>
      <c r="S481" s="18"/>
      <c r="T481" s="18"/>
      <c r="U481" s="18"/>
      <c r="V481" s="18"/>
      <c r="W481" s="18"/>
      <c r="X481" s="18"/>
      <c r="Y481" s="18"/>
    </row>
    <row r="482">
      <c r="A482" s="67"/>
      <c r="B482" s="62">
        <v>2000.0</v>
      </c>
      <c r="C482" s="17" t="s">
        <v>154</v>
      </c>
      <c r="D482" s="17" t="s">
        <v>113</v>
      </c>
      <c r="E482" s="17" t="s">
        <v>516</v>
      </c>
      <c r="F482" s="64" t="s">
        <v>149</v>
      </c>
      <c r="G482" s="66"/>
      <c r="H482" s="18"/>
      <c r="I482" s="18"/>
      <c r="J482" s="18"/>
      <c r="K482" s="65"/>
      <c r="L482" s="66"/>
      <c r="M482" s="65"/>
      <c r="N482" s="66"/>
      <c r="O482" s="65"/>
      <c r="P482" s="18"/>
      <c r="Q482" s="18"/>
      <c r="R482" s="18"/>
      <c r="S482" s="18"/>
      <c r="T482" s="18"/>
      <c r="U482" s="18"/>
      <c r="V482" s="18"/>
      <c r="W482" s="18"/>
      <c r="X482" s="18"/>
      <c r="Y482" s="18"/>
    </row>
    <row r="483">
      <c r="A483" s="67"/>
      <c r="B483" s="62">
        <v>285.48</v>
      </c>
      <c r="C483" s="17" t="s">
        <v>154</v>
      </c>
      <c r="D483" s="17" t="s">
        <v>345</v>
      </c>
      <c r="E483" s="18"/>
      <c r="F483" s="64" t="s">
        <v>155</v>
      </c>
      <c r="G483" s="66"/>
      <c r="H483" s="18"/>
      <c r="I483" s="18"/>
      <c r="J483" s="18"/>
      <c r="K483" s="65"/>
      <c r="L483" s="66"/>
      <c r="M483" s="65"/>
      <c r="N483" s="66"/>
      <c r="O483" s="65"/>
      <c r="P483" s="18"/>
      <c r="Q483" s="18"/>
      <c r="R483" s="18"/>
      <c r="S483" s="18"/>
      <c r="T483" s="18"/>
      <c r="U483" s="18"/>
      <c r="V483" s="18"/>
      <c r="W483" s="18"/>
      <c r="X483" s="18"/>
      <c r="Y483" s="18"/>
    </row>
    <row r="484">
      <c r="A484" s="67"/>
      <c r="B484" s="62">
        <v>20.0</v>
      </c>
      <c r="C484" s="17" t="s">
        <v>154</v>
      </c>
      <c r="D484" s="17" t="s">
        <v>138</v>
      </c>
      <c r="E484" s="17"/>
      <c r="F484" s="64" t="s">
        <v>155</v>
      </c>
      <c r="G484" s="66"/>
      <c r="H484" s="18"/>
      <c r="I484" s="18"/>
      <c r="J484" s="18"/>
      <c r="K484" s="65"/>
      <c r="L484" s="66"/>
      <c r="M484" s="65"/>
      <c r="N484" s="66"/>
      <c r="O484" s="65"/>
      <c r="P484" s="18"/>
      <c r="Q484" s="18"/>
      <c r="R484" s="18"/>
      <c r="S484" s="18"/>
      <c r="T484" s="18"/>
      <c r="U484" s="18"/>
      <c r="V484" s="18"/>
      <c r="W484" s="18"/>
      <c r="X484" s="18"/>
      <c r="Y484" s="18"/>
    </row>
    <row r="485">
      <c r="A485" s="67"/>
      <c r="B485" s="62">
        <v>20.0</v>
      </c>
      <c r="C485" s="17" t="s">
        <v>154</v>
      </c>
      <c r="D485" s="17" t="s">
        <v>138</v>
      </c>
      <c r="E485" s="17"/>
      <c r="F485" s="64" t="s">
        <v>155</v>
      </c>
      <c r="G485" s="66"/>
      <c r="H485" s="18"/>
      <c r="I485" s="18"/>
      <c r="J485" s="18"/>
      <c r="K485" s="65"/>
      <c r="L485" s="66"/>
      <c r="M485" s="65"/>
      <c r="N485" s="66"/>
      <c r="O485" s="65"/>
      <c r="P485" s="18"/>
      <c r="Q485" s="18"/>
      <c r="R485" s="18"/>
      <c r="S485" s="18"/>
      <c r="T485" s="18"/>
      <c r="U485" s="18"/>
      <c r="V485" s="18"/>
      <c r="W485" s="18"/>
      <c r="X485" s="18"/>
      <c r="Y485" s="18"/>
    </row>
    <row r="486">
      <c r="A486" s="67"/>
      <c r="B486" s="62">
        <v>1050.0</v>
      </c>
      <c r="C486" s="17" t="s">
        <v>154</v>
      </c>
      <c r="D486" s="17" t="s">
        <v>111</v>
      </c>
      <c r="E486" s="17" t="s">
        <v>517</v>
      </c>
      <c r="F486" s="64" t="s">
        <v>149</v>
      </c>
      <c r="G486" s="66"/>
      <c r="H486" s="18"/>
      <c r="I486" s="18"/>
      <c r="J486" s="18"/>
      <c r="K486" s="65"/>
      <c r="L486" s="66"/>
      <c r="M486" s="65"/>
      <c r="N486" s="66"/>
      <c r="O486" s="65"/>
      <c r="P486" s="18"/>
      <c r="Q486" s="18"/>
      <c r="R486" s="18"/>
      <c r="S486" s="18"/>
      <c r="T486" s="18"/>
      <c r="U486" s="18"/>
      <c r="V486" s="18"/>
      <c r="W486" s="18"/>
      <c r="X486" s="18"/>
      <c r="Y486" s="18"/>
    </row>
    <row r="487">
      <c r="A487" s="67"/>
      <c r="B487" s="62">
        <v>1000.0</v>
      </c>
      <c r="C487" s="17" t="s">
        <v>154</v>
      </c>
      <c r="D487" s="17" t="s">
        <v>111</v>
      </c>
      <c r="E487" s="17" t="s">
        <v>156</v>
      </c>
      <c r="F487" s="64" t="s">
        <v>149</v>
      </c>
      <c r="G487" s="66"/>
      <c r="H487" s="18"/>
      <c r="I487" s="18"/>
      <c r="J487" s="18"/>
      <c r="K487" s="65"/>
      <c r="L487" s="66"/>
      <c r="M487" s="65"/>
      <c r="N487" s="66"/>
      <c r="O487" s="65"/>
      <c r="P487" s="18"/>
      <c r="Q487" s="18"/>
      <c r="R487" s="18"/>
      <c r="S487" s="18"/>
      <c r="T487" s="18"/>
      <c r="U487" s="18"/>
      <c r="V487" s="18"/>
      <c r="W487" s="18"/>
      <c r="X487" s="18"/>
      <c r="Y487" s="18"/>
    </row>
    <row r="488">
      <c r="A488" s="67"/>
      <c r="B488" s="62">
        <v>10225.0</v>
      </c>
      <c r="C488" s="17" t="s">
        <v>154</v>
      </c>
      <c r="D488" s="17" t="s">
        <v>22</v>
      </c>
      <c r="E488" s="17"/>
      <c r="F488" s="64" t="s">
        <v>155</v>
      </c>
      <c r="G488" s="66"/>
      <c r="H488" s="18"/>
      <c r="I488" s="18"/>
      <c r="J488" s="18"/>
      <c r="K488" s="65"/>
      <c r="L488" s="66"/>
      <c r="M488" s="65"/>
      <c r="N488" s="66"/>
      <c r="O488" s="65"/>
      <c r="P488" s="18"/>
      <c r="Q488" s="18"/>
      <c r="R488" s="18"/>
      <c r="S488" s="18"/>
      <c r="T488" s="18"/>
      <c r="U488" s="18"/>
      <c r="V488" s="18"/>
      <c r="W488" s="18"/>
      <c r="X488" s="18"/>
      <c r="Y488" s="18"/>
    </row>
    <row r="489">
      <c r="A489" s="67"/>
      <c r="B489" s="62">
        <v>1775.0</v>
      </c>
      <c r="C489" s="17" t="s">
        <v>154</v>
      </c>
      <c r="D489" s="17" t="s">
        <v>22</v>
      </c>
      <c r="E489" s="17"/>
      <c r="F489" s="64" t="s">
        <v>149</v>
      </c>
      <c r="G489" s="66"/>
      <c r="H489" s="18"/>
      <c r="I489" s="18"/>
      <c r="J489" s="18"/>
      <c r="K489" s="65"/>
      <c r="L489" s="66"/>
      <c r="M489" s="65"/>
      <c r="N489" s="66"/>
      <c r="O489" s="65"/>
      <c r="P489" s="18"/>
      <c r="Q489" s="18"/>
      <c r="R489" s="18"/>
      <c r="S489" s="18"/>
      <c r="T489" s="18"/>
      <c r="U489" s="18"/>
      <c r="V489" s="18"/>
      <c r="W489" s="18"/>
      <c r="X489" s="18"/>
      <c r="Y489" s="18"/>
    </row>
    <row r="490">
      <c r="A490" s="63">
        <v>45646.0</v>
      </c>
      <c r="B490" s="62">
        <v>9000.0</v>
      </c>
      <c r="C490" s="17" t="s">
        <v>154</v>
      </c>
      <c r="D490" s="17" t="s">
        <v>414</v>
      </c>
      <c r="E490" s="17"/>
      <c r="F490" s="64" t="s">
        <v>155</v>
      </c>
      <c r="G490" s="66"/>
      <c r="H490" s="18"/>
      <c r="I490" s="18"/>
      <c r="J490" s="18"/>
      <c r="K490" s="65"/>
      <c r="L490" s="66"/>
      <c r="M490" s="65"/>
      <c r="N490" s="66"/>
      <c r="O490" s="65"/>
      <c r="P490" s="18"/>
      <c r="Q490" s="18"/>
      <c r="R490" s="18"/>
      <c r="S490" s="18"/>
      <c r="T490" s="18"/>
      <c r="U490" s="18"/>
      <c r="V490" s="18"/>
      <c r="W490" s="18"/>
      <c r="X490" s="18"/>
      <c r="Y490" s="18"/>
    </row>
    <row r="491">
      <c r="A491" s="67"/>
      <c r="B491" s="62">
        <v>39.0</v>
      </c>
      <c r="C491" s="17" t="s">
        <v>154</v>
      </c>
      <c r="D491" s="17" t="s">
        <v>143</v>
      </c>
      <c r="F491" s="64" t="s">
        <v>155</v>
      </c>
      <c r="G491" s="66"/>
      <c r="H491" s="18"/>
      <c r="I491" s="18"/>
      <c r="J491" s="18"/>
      <c r="K491" s="65"/>
      <c r="L491" s="66"/>
      <c r="M491" s="65"/>
      <c r="N491" s="66"/>
      <c r="O491" s="65"/>
      <c r="P491" s="18"/>
      <c r="Q491" s="18"/>
      <c r="R491" s="18"/>
      <c r="S491" s="18"/>
      <c r="T491" s="18"/>
      <c r="U491" s="18"/>
      <c r="V491" s="18"/>
      <c r="W491" s="18"/>
      <c r="X491" s="18"/>
      <c r="Y491" s="18"/>
    </row>
    <row r="492">
      <c r="A492" s="67"/>
      <c r="B492" s="62">
        <v>0.51</v>
      </c>
      <c r="C492" s="17" t="s">
        <v>154</v>
      </c>
      <c r="D492" s="17" t="s">
        <v>139</v>
      </c>
      <c r="F492" s="64" t="s">
        <v>155</v>
      </c>
      <c r="G492" s="66"/>
      <c r="H492" s="18"/>
      <c r="I492" s="18"/>
      <c r="J492" s="18"/>
      <c r="K492" s="65"/>
      <c r="L492" s="66"/>
      <c r="M492" s="65"/>
      <c r="N492" s="66"/>
      <c r="O492" s="65"/>
      <c r="P492" s="18"/>
      <c r="Q492" s="18"/>
      <c r="R492" s="18"/>
      <c r="S492" s="18"/>
      <c r="T492" s="18"/>
      <c r="U492" s="18"/>
      <c r="V492" s="18"/>
      <c r="W492" s="18"/>
      <c r="X492" s="18"/>
      <c r="Y492" s="18"/>
    </row>
    <row r="493">
      <c r="A493" s="67"/>
      <c r="B493" s="62">
        <v>0.51</v>
      </c>
      <c r="C493" s="17" t="s">
        <v>154</v>
      </c>
      <c r="D493" s="17" t="s">
        <v>139</v>
      </c>
      <c r="F493" s="64" t="s">
        <v>155</v>
      </c>
      <c r="G493" s="66"/>
      <c r="H493" s="18"/>
      <c r="I493" s="18"/>
      <c r="J493" s="18"/>
      <c r="K493" s="65"/>
      <c r="L493" s="66"/>
      <c r="M493" s="65"/>
      <c r="N493" s="66"/>
      <c r="O493" s="65"/>
      <c r="P493" s="18"/>
      <c r="Q493" s="18"/>
      <c r="R493" s="18"/>
      <c r="S493" s="18"/>
      <c r="T493" s="18"/>
      <c r="U493" s="18"/>
      <c r="V493" s="18"/>
      <c r="W493" s="18"/>
      <c r="X493" s="18"/>
      <c r="Y493" s="18"/>
    </row>
    <row r="494">
      <c r="A494" s="63">
        <v>45647.0</v>
      </c>
      <c r="B494" s="62">
        <v>6.0</v>
      </c>
      <c r="C494" s="17" t="s">
        <v>154</v>
      </c>
      <c r="D494" s="17" t="s">
        <v>138</v>
      </c>
      <c r="E494" s="17"/>
      <c r="F494" s="64" t="s">
        <v>155</v>
      </c>
      <c r="G494" s="66"/>
      <c r="H494" s="18"/>
      <c r="I494" s="18"/>
      <c r="J494" s="18"/>
      <c r="K494" s="65"/>
      <c r="L494" s="62">
        <v>1500.0</v>
      </c>
      <c r="M494" s="65"/>
      <c r="N494" s="66"/>
      <c r="O494" s="65"/>
      <c r="P494" s="18"/>
      <c r="Q494" s="18"/>
      <c r="R494" s="18"/>
      <c r="S494" s="18"/>
      <c r="T494" s="18"/>
      <c r="U494" s="18"/>
      <c r="V494" s="18"/>
      <c r="W494" s="18"/>
      <c r="X494" s="18"/>
      <c r="Y494" s="18"/>
    </row>
    <row r="495">
      <c r="A495" s="67"/>
      <c r="B495" s="62">
        <v>1500.0</v>
      </c>
      <c r="C495" s="17" t="s">
        <v>154</v>
      </c>
      <c r="D495" s="17" t="s">
        <v>111</v>
      </c>
      <c r="E495" s="17" t="s">
        <v>518</v>
      </c>
      <c r="F495" s="64" t="s">
        <v>149</v>
      </c>
      <c r="G495" s="66"/>
      <c r="H495" s="18"/>
      <c r="I495" s="18"/>
      <c r="J495" s="18"/>
      <c r="K495" s="65"/>
      <c r="M495" s="65"/>
      <c r="N495" s="66"/>
      <c r="O495" s="65"/>
      <c r="P495" s="18"/>
      <c r="Q495" s="18"/>
      <c r="R495" s="18"/>
      <c r="S495" s="18"/>
      <c r="T495" s="18"/>
      <c r="U495" s="18"/>
      <c r="V495" s="18"/>
      <c r="W495" s="18"/>
      <c r="X495" s="18"/>
      <c r="Y495" s="18"/>
    </row>
    <row r="496">
      <c r="A496" s="67"/>
      <c r="B496" s="62">
        <v>200.0</v>
      </c>
      <c r="C496" s="17" t="s">
        <v>154</v>
      </c>
      <c r="D496" s="17" t="s">
        <v>111</v>
      </c>
      <c r="E496" s="17" t="s">
        <v>519</v>
      </c>
      <c r="F496" s="64" t="s">
        <v>149</v>
      </c>
      <c r="G496" s="66"/>
      <c r="H496" s="18"/>
      <c r="I496" s="18"/>
      <c r="J496" s="18"/>
      <c r="K496" s="65"/>
      <c r="L496" s="66"/>
      <c r="M496" s="65"/>
      <c r="N496" s="66"/>
      <c r="O496" s="65"/>
      <c r="P496" s="18"/>
      <c r="Q496" s="18"/>
      <c r="R496" s="18"/>
      <c r="S496" s="18"/>
      <c r="T496" s="18"/>
      <c r="U496" s="18"/>
      <c r="V496" s="18"/>
      <c r="W496" s="18"/>
      <c r="X496" s="18"/>
      <c r="Y496" s="18"/>
    </row>
    <row r="497">
      <c r="A497" s="67"/>
      <c r="B497" s="62">
        <v>50.0</v>
      </c>
      <c r="C497" s="17" t="s">
        <v>154</v>
      </c>
      <c r="D497" s="17" t="s">
        <v>157</v>
      </c>
      <c r="E497" s="17" t="s">
        <v>520</v>
      </c>
      <c r="F497" s="64" t="s">
        <v>149</v>
      </c>
      <c r="G497" s="66"/>
      <c r="H497" s="18"/>
      <c r="I497" s="18"/>
      <c r="J497" s="18"/>
      <c r="K497" s="65"/>
      <c r="L497" s="66"/>
      <c r="M497" s="65"/>
      <c r="N497" s="66"/>
      <c r="O497" s="65"/>
      <c r="P497" s="18"/>
      <c r="Q497" s="18"/>
      <c r="R497" s="18"/>
      <c r="S497" s="18"/>
      <c r="T497" s="18"/>
      <c r="U497" s="18"/>
      <c r="V497" s="18"/>
      <c r="W497" s="18"/>
      <c r="X497" s="18"/>
      <c r="Y497" s="18"/>
    </row>
    <row r="498">
      <c r="A498" s="67"/>
      <c r="B498" s="62">
        <v>250.0</v>
      </c>
      <c r="C498" s="17" t="s">
        <v>154</v>
      </c>
      <c r="D498" s="17" t="s">
        <v>110</v>
      </c>
      <c r="E498" s="17" t="s">
        <v>521</v>
      </c>
      <c r="F498" s="64" t="s">
        <v>149</v>
      </c>
      <c r="G498" s="66"/>
      <c r="H498" s="18"/>
      <c r="I498" s="18"/>
      <c r="J498" s="18"/>
      <c r="K498" s="65"/>
      <c r="L498" s="66"/>
      <c r="M498" s="65"/>
      <c r="N498" s="66"/>
      <c r="O498" s="65"/>
      <c r="P498" s="18"/>
      <c r="Q498" s="18"/>
      <c r="R498" s="18"/>
      <c r="S498" s="18"/>
      <c r="T498" s="18"/>
      <c r="U498" s="18"/>
      <c r="V498" s="18"/>
      <c r="W498" s="18"/>
      <c r="X498" s="18"/>
      <c r="Y498" s="18"/>
    </row>
    <row r="499">
      <c r="A499" s="67"/>
      <c r="B499" s="62">
        <v>3500.0</v>
      </c>
      <c r="C499" s="17" t="s">
        <v>154</v>
      </c>
      <c r="D499" s="17" t="s">
        <v>111</v>
      </c>
      <c r="E499" s="17" t="s">
        <v>518</v>
      </c>
      <c r="F499" s="64" t="s">
        <v>149</v>
      </c>
      <c r="G499" s="66"/>
      <c r="H499" s="18"/>
      <c r="I499" s="18"/>
      <c r="J499" s="18"/>
      <c r="K499" s="65"/>
      <c r="L499" s="66"/>
      <c r="M499" s="65"/>
      <c r="N499" s="66"/>
      <c r="O499" s="65"/>
      <c r="P499" s="18"/>
      <c r="Q499" s="18"/>
      <c r="R499" s="18"/>
      <c r="S499" s="18"/>
      <c r="T499" s="18"/>
      <c r="U499" s="18"/>
      <c r="V499" s="18"/>
      <c r="W499" s="18"/>
      <c r="X499" s="18"/>
      <c r="Y499" s="18"/>
    </row>
    <row r="500">
      <c r="A500" s="67"/>
      <c r="B500" s="62">
        <v>16.0</v>
      </c>
      <c r="C500" s="17" t="s">
        <v>154</v>
      </c>
      <c r="D500" s="17" t="s">
        <v>138</v>
      </c>
      <c r="E500" s="17"/>
      <c r="F500" s="64" t="s">
        <v>155</v>
      </c>
      <c r="G500" s="66"/>
      <c r="H500" s="18"/>
      <c r="I500" s="18"/>
      <c r="J500" s="18"/>
      <c r="K500" s="65"/>
      <c r="L500" s="62">
        <v>4000.0</v>
      </c>
      <c r="M500" s="65"/>
      <c r="N500" s="66"/>
      <c r="O500" s="65"/>
      <c r="P500" s="18"/>
      <c r="Q500" s="18"/>
      <c r="R500" s="18"/>
      <c r="S500" s="18"/>
      <c r="T500" s="18"/>
      <c r="U500" s="18"/>
      <c r="V500" s="18"/>
      <c r="W500" s="18"/>
      <c r="X500" s="18"/>
      <c r="Y500" s="18"/>
    </row>
    <row r="501">
      <c r="A501" s="63">
        <v>45649.0</v>
      </c>
      <c r="B501" s="62">
        <v>2000.0</v>
      </c>
      <c r="C501" s="17" t="s">
        <v>154</v>
      </c>
      <c r="D501" s="17" t="s">
        <v>110</v>
      </c>
      <c r="E501" s="17" t="s">
        <v>522</v>
      </c>
      <c r="F501" s="64" t="s">
        <v>149</v>
      </c>
      <c r="G501" s="66"/>
      <c r="H501" s="18"/>
      <c r="I501" s="18"/>
      <c r="J501" s="18"/>
      <c r="K501" s="65"/>
      <c r="L501" s="66"/>
      <c r="M501" s="65"/>
      <c r="N501" s="66"/>
      <c r="O501" s="65"/>
      <c r="P501" s="18"/>
      <c r="Q501" s="18"/>
      <c r="R501" s="18"/>
      <c r="S501" s="18"/>
      <c r="T501" s="18"/>
      <c r="U501" s="18"/>
      <c r="V501" s="18"/>
      <c r="W501" s="18"/>
      <c r="X501" s="18"/>
      <c r="Y501" s="18"/>
    </row>
    <row r="502">
      <c r="A502" s="63">
        <v>46015.0</v>
      </c>
      <c r="B502" s="66"/>
      <c r="C502" s="18"/>
      <c r="D502" s="18"/>
      <c r="E502" s="18"/>
      <c r="F502" s="65"/>
      <c r="G502" s="62">
        <v>22141.0</v>
      </c>
      <c r="H502" s="17" t="s">
        <v>154</v>
      </c>
      <c r="I502" s="17" t="s">
        <v>160</v>
      </c>
      <c r="J502" s="17" t="s">
        <v>523</v>
      </c>
      <c r="K502" s="64" t="s">
        <v>155</v>
      </c>
      <c r="L502" s="66"/>
      <c r="M502" s="65"/>
      <c r="N502" s="66"/>
      <c r="O502" s="65"/>
      <c r="P502" s="18"/>
      <c r="Q502" s="18"/>
      <c r="R502" s="18"/>
      <c r="S502" s="18"/>
      <c r="T502" s="18"/>
      <c r="U502" s="18"/>
      <c r="V502" s="18"/>
      <c r="W502" s="18"/>
      <c r="X502" s="18"/>
      <c r="Y502" s="18"/>
    </row>
    <row r="503">
      <c r="A503" s="63">
        <v>46022.0</v>
      </c>
      <c r="B503" s="17">
        <v>40.0</v>
      </c>
      <c r="C503" s="17" t="s">
        <v>154</v>
      </c>
      <c r="D503" s="17" t="s">
        <v>145</v>
      </c>
      <c r="E503" s="17"/>
      <c r="F503" s="64" t="s">
        <v>155</v>
      </c>
      <c r="G503" s="66"/>
      <c r="H503" s="18"/>
      <c r="I503" s="18"/>
      <c r="J503" s="18"/>
      <c r="K503" s="65"/>
      <c r="L503" s="66"/>
      <c r="M503" s="65"/>
      <c r="N503" s="66"/>
      <c r="O503" s="65"/>
      <c r="P503" s="18"/>
      <c r="Q503" s="18"/>
      <c r="R503" s="18"/>
      <c r="S503" s="18"/>
      <c r="T503" s="18"/>
      <c r="U503" s="18"/>
      <c r="V503" s="18"/>
      <c r="W503" s="18"/>
      <c r="X503" s="18"/>
      <c r="Y503" s="18"/>
    </row>
    <row r="504">
      <c r="A504" s="67"/>
      <c r="B504" s="62">
        <v>500.0</v>
      </c>
      <c r="C504" s="17" t="s">
        <v>154</v>
      </c>
      <c r="D504" s="17" t="s">
        <v>157</v>
      </c>
      <c r="E504" s="17" t="s">
        <v>524</v>
      </c>
      <c r="F504" s="64" t="s">
        <v>149</v>
      </c>
      <c r="G504" s="66"/>
      <c r="H504" s="18"/>
      <c r="I504" s="18"/>
      <c r="J504" s="18"/>
      <c r="K504" s="65"/>
      <c r="L504" s="66"/>
      <c r="M504" s="65"/>
      <c r="N504" s="66"/>
      <c r="O504" s="65"/>
      <c r="P504" s="18"/>
      <c r="Q504" s="18"/>
      <c r="R504" s="18"/>
      <c r="S504" s="18"/>
      <c r="T504" s="18"/>
      <c r="U504" s="18"/>
      <c r="V504" s="18"/>
      <c r="W504" s="18"/>
      <c r="X504" s="18"/>
      <c r="Y504" s="18"/>
    </row>
    <row r="505">
      <c r="A505" s="67"/>
      <c r="B505" s="66"/>
      <c r="C505" s="18"/>
      <c r="D505" s="18"/>
      <c r="E505" s="18"/>
      <c r="F505" s="65"/>
      <c r="G505" s="66"/>
      <c r="H505" s="18"/>
      <c r="I505" s="18"/>
      <c r="J505" s="18"/>
      <c r="K505" s="65"/>
      <c r="L505" s="66"/>
      <c r="M505" s="65"/>
      <c r="N505" s="66"/>
      <c r="O505" s="65"/>
      <c r="P505" s="18"/>
      <c r="Q505" s="18"/>
      <c r="R505" s="18"/>
      <c r="S505" s="18"/>
      <c r="T505" s="18"/>
      <c r="U505" s="18"/>
      <c r="V505" s="18"/>
      <c r="W505" s="18"/>
      <c r="X505" s="18"/>
      <c r="Y505" s="18"/>
    </row>
    <row r="506">
      <c r="A506" s="67"/>
      <c r="B506" s="66"/>
      <c r="C506" s="18"/>
      <c r="D506" s="18"/>
      <c r="E506" s="18"/>
      <c r="F506" s="65"/>
      <c r="G506" s="66"/>
      <c r="H506" s="18"/>
      <c r="I506" s="18"/>
      <c r="J506" s="18"/>
      <c r="K506" s="65"/>
      <c r="L506" s="66"/>
      <c r="M506" s="65"/>
      <c r="N506" s="66"/>
      <c r="O506" s="65"/>
      <c r="P506" s="18"/>
      <c r="Q506" s="18"/>
      <c r="R506" s="18"/>
      <c r="S506" s="18"/>
      <c r="T506" s="18"/>
      <c r="U506" s="18"/>
      <c r="V506" s="18"/>
      <c r="W506" s="18"/>
      <c r="X506" s="18"/>
      <c r="Y506" s="18"/>
    </row>
    <row r="507">
      <c r="A507" s="67"/>
      <c r="B507" s="66"/>
      <c r="C507" s="18"/>
      <c r="D507" s="18"/>
      <c r="E507" s="18"/>
      <c r="F507" s="65"/>
      <c r="G507" s="66"/>
      <c r="H507" s="18"/>
      <c r="I507" s="18"/>
      <c r="J507" s="18"/>
      <c r="K507" s="65"/>
      <c r="L507" s="66"/>
      <c r="M507" s="65"/>
      <c r="N507" s="66"/>
      <c r="O507" s="65"/>
      <c r="P507" s="18"/>
      <c r="Q507" s="18"/>
      <c r="R507" s="18"/>
      <c r="S507" s="18"/>
      <c r="T507" s="18"/>
      <c r="U507" s="18"/>
      <c r="V507" s="18"/>
      <c r="W507" s="18"/>
      <c r="X507" s="18"/>
      <c r="Y507" s="18"/>
    </row>
    <row r="508">
      <c r="A508" s="67"/>
      <c r="B508" s="66"/>
      <c r="C508" s="18"/>
      <c r="D508" s="18"/>
      <c r="E508" s="18"/>
      <c r="F508" s="65"/>
      <c r="G508" s="66"/>
      <c r="H508" s="18"/>
      <c r="I508" s="18"/>
      <c r="J508" s="18"/>
      <c r="K508" s="65"/>
      <c r="L508" s="66"/>
      <c r="M508" s="65"/>
      <c r="N508" s="66"/>
      <c r="O508" s="65"/>
      <c r="P508" s="18"/>
      <c r="Q508" s="18"/>
      <c r="R508" s="18"/>
      <c r="S508" s="18"/>
      <c r="T508" s="18"/>
      <c r="U508" s="18"/>
      <c r="V508" s="18"/>
      <c r="W508" s="18"/>
      <c r="X508" s="18"/>
      <c r="Y508" s="18"/>
    </row>
    <row r="509">
      <c r="A509" s="67"/>
      <c r="B509" s="66"/>
      <c r="C509" s="18"/>
      <c r="D509" s="18"/>
      <c r="E509" s="18"/>
      <c r="F509" s="65"/>
      <c r="G509" s="66"/>
      <c r="H509" s="18"/>
      <c r="I509" s="18"/>
      <c r="J509" s="18"/>
      <c r="K509" s="65"/>
      <c r="L509" s="66"/>
      <c r="M509" s="65"/>
      <c r="N509" s="66"/>
      <c r="O509" s="65"/>
      <c r="P509" s="18"/>
      <c r="Q509" s="18"/>
      <c r="R509" s="18"/>
      <c r="S509" s="18"/>
      <c r="T509" s="18"/>
      <c r="U509" s="18"/>
      <c r="V509" s="18"/>
      <c r="W509" s="18"/>
      <c r="X509" s="18"/>
      <c r="Y509" s="18"/>
    </row>
    <row r="510">
      <c r="A510" s="67"/>
      <c r="B510" s="66"/>
      <c r="C510" s="18"/>
      <c r="D510" s="18"/>
      <c r="E510" s="18"/>
      <c r="F510" s="65"/>
      <c r="G510" s="66"/>
      <c r="H510" s="18"/>
      <c r="I510" s="18"/>
      <c r="J510" s="18"/>
      <c r="K510" s="65"/>
      <c r="L510" s="66"/>
      <c r="M510" s="65"/>
      <c r="N510" s="66"/>
      <c r="O510" s="65"/>
      <c r="P510" s="18"/>
      <c r="Q510" s="18"/>
      <c r="R510" s="18"/>
      <c r="S510" s="18"/>
      <c r="T510" s="18"/>
      <c r="U510" s="18"/>
      <c r="V510" s="18"/>
      <c r="W510" s="18"/>
      <c r="X510" s="18"/>
      <c r="Y510" s="18"/>
    </row>
    <row r="511">
      <c r="A511" s="63"/>
      <c r="B511" s="62"/>
      <c r="C511" s="17"/>
      <c r="D511" s="17"/>
      <c r="E511" s="17"/>
      <c r="F511" s="64"/>
      <c r="G511" s="66"/>
      <c r="H511" s="18"/>
      <c r="I511" s="18"/>
      <c r="J511" s="18"/>
      <c r="K511" s="65"/>
      <c r="L511" s="66"/>
      <c r="M511" s="65"/>
      <c r="N511" s="66"/>
      <c r="O511" s="65"/>
      <c r="P511" s="18"/>
      <c r="Q511" s="18"/>
      <c r="R511" s="18"/>
      <c r="S511" s="18"/>
      <c r="T511" s="18"/>
      <c r="U511" s="18"/>
      <c r="V511" s="18"/>
      <c r="W511" s="18"/>
      <c r="X511" s="18"/>
      <c r="Y511" s="18"/>
    </row>
    <row r="512">
      <c r="A512" s="67"/>
      <c r="B512" s="62"/>
      <c r="C512" s="17"/>
      <c r="D512" s="68"/>
      <c r="E512" s="17"/>
      <c r="F512" s="64"/>
      <c r="G512" s="66"/>
      <c r="H512" s="18"/>
      <c r="I512" s="18"/>
      <c r="J512" s="18"/>
      <c r="K512" s="65"/>
      <c r="L512" s="66"/>
      <c r="M512" s="65"/>
      <c r="N512" s="66"/>
      <c r="O512" s="65"/>
      <c r="P512" s="18"/>
      <c r="Q512" s="18"/>
      <c r="R512" s="18"/>
      <c r="S512" s="18"/>
      <c r="T512" s="18"/>
      <c r="U512" s="18"/>
      <c r="V512" s="18"/>
      <c r="W512" s="18"/>
      <c r="X512" s="18"/>
      <c r="Y512" s="18"/>
    </row>
    <row r="513">
      <c r="A513" s="67"/>
      <c r="B513" s="66"/>
      <c r="C513" s="18"/>
      <c r="D513" s="18"/>
      <c r="E513" s="18"/>
      <c r="F513" s="65"/>
      <c r="G513" s="66"/>
      <c r="H513" s="18"/>
      <c r="I513" s="18"/>
      <c r="J513" s="18"/>
      <c r="K513" s="65"/>
      <c r="L513" s="66"/>
      <c r="M513" s="65"/>
      <c r="N513" s="66"/>
      <c r="O513" s="65"/>
      <c r="P513" s="18"/>
      <c r="Q513" s="18"/>
      <c r="R513" s="18"/>
      <c r="S513" s="18"/>
      <c r="T513" s="18"/>
      <c r="U513" s="18"/>
      <c r="V513" s="18"/>
      <c r="W513" s="18"/>
      <c r="X513" s="18"/>
      <c r="Y513" s="18"/>
    </row>
    <row r="514">
      <c r="A514" s="67"/>
      <c r="B514" s="66"/>
      <c r="C514" s="18"/>
      <c r="D514" s="18"/>
      <c r="E514" s="18"/>
      <c r="F514" s="65"/>
      <c r="G514" s="66"/>
      <c r="H514" s="18"/>
      <c r="I514" s="18"/>
      <c r="J514" s="18"/>
      <c r="K514" s="65"/>
      <c r="L514" s="66"/>
      <c r="M514" s="65"/>
      <c r="N514" s="66"/>
      <c r="O514" s="65"/>
      <c r="P514" s="18"/>
      <c r="Q514" s="18"/>
      <c r="R514" s="18"/>
      <c r="S514" s="18"/>
      <c r="T514" s="18"/>
      <c r="U514" s="18"/>
      <c r="V514" s="18"/>
      <c r="W514" s="18"/>
      <c r="X514" s="18"/>
      <c r="Y514" s="18"/>
    </row>
    <row r="515">
      <c r="A515" s="67"/>
      <c r="B515" s="66"/>
      <c r="C515" s="18"/>
      <c r="D515" s="18"/>
      <c r="E515" s="18"/>
      <c r="F515" s="65"/>
      <c r="G515" s="66"/>
      <c r="H515" s="18"/>
      <c r="I515" s="18"/>
      <c r="J515" s="18"/>
      <c r="K515" s="65"/>
      <c r="L515" s="66"/>
      <c r="M515" s="65"/>
      <c r="N515" s="66"/>
      <c r="O515" s="65"/>
      <c r="P515" s="18"/>
      <c r="Q515" s="18"/>
      <c r="R515" s="18"/>
      <c r="S515" s="18"/>
      <c r="T515" s="18"/>
      <c r="U515" s="18"/>
      <c r="V515" s="18"/>
      <c r="W515" s="18"/>
      <c r="X515" s="18"/>
      <c r="Y515" s="18"/>
    </row>
    <row r="516">
      <c r="A516" s="67"/>
      <c r="B516" s="66"/>
      <c r="C516" s="18"/>
      <c r="D516" s="18"/>
      <c r="E516" s="18"/>
      <c r="F516" s="65"/>
      <c r="G516" s="66"/>
      <c r="H516" s="18"/>
      <c r="I516" s="18"/>
      <c r="J516" s="18"/>
      <c r="K516" s="65"/>
      <c r="L516" s="66"/>
      <c r="M516" s="65"/>
      <c r="N516" s="66"/>
      <c r="O516" s="65"/>
      <c r="P516" s="18"/>
      <c r="Q516" s="18"/>
      <c r="R516" s="18"/>
      <c r="S516" s="18"/>
      <c r="T516" s="18"/>
      <c r="U516" s="18"/>
      <c r="V516" s="18"/>
      <c r="W516" s="18"/>
      <c r="X516" s="18"/>
      <c r="Y516" s="18"/>
    </row>
    <row r="517">
      <c r="A517" s="67"/>
      <c r="B517" s="66"/>
      <c r="C517" s="18"/>
      <c r="D517" s="18"/>
      <c r="E517" s="18"/>
      <c r="F517" s="65"/>
      <c r="G517" s="66"/>
      <c r="H517" s="18"/>
      <c r="I517" s="18"/>
      <c r="J517" s="18"/>
      <c r="K517" s="65"/>
      <c r="L517" s="66"/>
      <c r="M517" s="65"/>
      <c r="N517" s="66"/>
      <c r="O517" s="65"/>
      <c r="P517" s="18"/>
      <c r="Q517" s="18"/>
      <c r="R517" s="18"/>
      <c r="S517" s="18"/>
      <c r="T517" s="18"/>
      <c r="U517" s="18"/>
      <c r="V517" s="18"/>
      <c r="W517" s="18"/>
      <c r="X517" s="18"/>
      <c r="Y517" s="18"/>
    </row>
    <row r="518">
      <c r="A518" s="67"/>
      <c r="B518" s="66"/>
      <c r="C518" s="18"/>
      <c r="D518" s="18"/>
      <c r="E518" s="18"/>
      <c r="F518" s="65"/>
      <c r="G518" s="66"/>
      <c r="H518" s="18"/>
      <c r="I518" s="18"/>
      <c r="J518" s="18"/>
      <c r="K518" s="65"/>
      <c r="L518" s="66"/>
      <c r="M518" s="65"/>
      <c r="N518" s="66"/>
      <c r="O518" s="65"/>
      <c r="P518" s="18"/>
      <c r="Q518" s="18"/>
      <c r="R518" s="18"/>
      <c r="S518" s="18"/>
      <c r="T518" s="18"/>
      <c r="U518" s="18"/>
      <c r="V518" s="18"/>
      <c r="W518" s="18"/>
      <c r="X518" s="18"/>
      <c r="Y518" s="18"/>
    </row>
    <row r="519">
      <c r="A519" s="67"/>
      <c r="B519" s="66"/>
      <c r="C519" s="18"/>
      <c r="D519" s="18"/>
      <c r="E519" s="18"/>
      <c r="F519" s="65"/>
      <c r="G519" s="66"/>
      <c r="H519" s="18"/>
      <c r="I519" s="18"/>
      <c r="J519" s="18"/>
      <c r="K519" s="65"/>
      <c r="L519" s="66"/>
      <c r="M519" s="65"/>
      <c r="N519" s="66"/>
      <c r="O519" s="65"/>
      <c r="P519" s="18"/>
      <c r="Q519" s="18"/>
      <c r="R519" s="18"/>
      <c r="S519" s="18"/>
      <c r="T519" s="18"/>
      <c r="U519" s="18"/>
      <c r="V519" s="18"/>
      <c r="W519" s="18"/>
      <c r="X519" s="18"/>
      <c r="Y519" s="18"/>
    </row>
    <row r="520">
      <c r="A520" s="67"/>
      <c r="B520" s="66"/>
      <c r="C520" s="18"/>
      <c r="D520" s="18"/>
      <c r="E520" s="18"/>
      <c r="F520" s="65"/>
      <c r="G520" s="66"/>
      <c r="H520" s="18"/>
      <c r="I520" s="18"/>
      <c r="J520" s="18"/>
      <c r="K520" s="65"/>
      <c r="L520" s="66"/>
      <c r="M520" s="65"/>
      <c r="N520" s="66"/>
      <c r="O520" s="65"/>
      <c r="P520" s="18"/>
      <c r="Q520" s="18"/>
      <c r="R520" s="18"/>
      <c r="S520" s="18"/>
      <c r="T520" s="18"/>
      <c r="U520" s="18"/>
      <c r="V520" s="18"/>
      <c r="W520" s="18"/>
      <c r="X520" s="18"/>
      <c r="Y520" s="18"/>
    </row>
    <row r="521">
      <c r="A521" s="67"/>
      <c r="B521" s="66"/>
      <c r="C521" s="18"/>
      <c r="D521" s="18"/>
      <c r="E521" s="18"/>
      <c r="F521" s="65"/>
      <c r="G521" s="66"/>
      <c r="H521" s="18"/>
      <c r="I521" s="18"/>
      <c r="J521" s="18"/>
      <c r="K521" s="65"/>
      <c r="L521" s="66"/>
      <c r="M521" s="65"/>
      <c r="N521" s="66"/>
      <c r="O521" s="65"/>
      <c r="P521" s="18"/>
      <c r="Q521" s="18"/>
      <c r="R521" s="18"/>
      <c r="S521" s="18"/>
      <c r="T521" s="18"/>
      <c r="U521" s="18"/>
      <c r="V521" s="18"/>
      <c r="W521" s="18"/>
      <c r="X521" s="18"/>
      <c r="Y521" s="18"/>
    </row>
    <row r="522">
      <c r="A522" s="67"/>
      <c r="B522" s="66"/>
      <c r="C522" s="18"/>
      <c r="D522" s="18"/>
      <c r="E522" s="18"/>
      <c r="F522" s="65"/>
      <c r="G522" s="66"/>
      <c r="H522" s="18"/>
      <c r="I522" s="18"/>
      <c r="J522" s="18"/>
      <c r="K522" s="65"/>
      <c r="L522" s="66"/>
      <c r="M522" s="65"/>
      <c r="N522" s="66"/>
      <c r="O522" s="65"/>
      <c r="P522" s="18"/>
      <c r="Q522" s="18"/>
      <c r="R522" s="18"/>
      <c r="S522" s="18"/>
      <c r="T522" s="18"/>
      <c r="U522" s="18"/>
      <c r="V522" s="18"/>
      <c r="W522" s="18"/>
      <c r="X522" s="18"/>
      <c r="Y522" s="18"/>
    </row>
    <row r="523">
      <c r="A523" s="67"/>
      <c r="B523" s="66"/>
      <c r="C523" s="18"/>
      <c r="D523" s="18"/>
      <c r="E523" s="18"/>
      <c r="F523" s="65"/>
      <c r="G523" s="66"/>
      <c r="H523" s="18"/>
      <c r="I523" s="18"/>
      <c r="J523" s="18"/>
      <c r="K523" s="65"/>
      <c r="L523" s="66"/>
      <c r="M523" s="65"/>
      <c r="N523" s="66"/>
      <c r="O523" s="65"/>
      <c r="P523" s="18"/>
      <c r="Q523" s="18"/>
      <c r="R523" s="18"/>
      <c r="S523" s="18"/>
      <c r="T523" s="18"/>
      <c r="U523" s="18"/>
      <c r="V523" s="18"/>
      <c r="W523" s="18"/>
      <c r="X523" s="18"/>
      <c r="Y523" s="18"/>
    </row>
    <row r="524">
      <c r="A524" s="67"/>
      <c r="B524" s="66"/>
      <c r="C524" s="18"/>
      <c r="D524" s="18"/>
      <c r="E524" s="18"/>
      <c r="F524" s="65"/>
      <c r="G524" s="66"/>
      <c r="H524" s="18"/>
      <c r="I524" s="18"/>
      <c r="J524" s="18"/>
      <c r="K524" s="65"/>
      <c r="L524" s="66"/>
      <c r="M524" s="65"/>
      <c r="N524" s="66"/>
      <c r="O524" s="65"/>
      <c r="P524" s="18"/>
      <c r="Q524" s="18"/>
      <c r="R524" s="18"/>
      <c r="S524" s="18"/>
      <c r="T524" s="18"/>
      <c r="U524" s="18"/>
      <c r="V524" s="18"/>
      <c r="W524" s="18"/>
      <c r="X524" s="18"/>
      <c r="Y524" s="18"/>
    </row>
    <row r="525">
      <c r="A525" s="67"/>
      <c r="B525" s="66"/>
      <c r="C525" s="18"/>
      <c r="D525" s="18"/>
      <c r="E525" s="18"/>
      <c r="F525" s="65"/>
      <c r="G525" s="66"/>
      <c r="H525" s="18"/>
      <c r="I525" s="18"/>
      <c r="J525" s="18"/>
      <c r="K525" s="65"/>
      <c r="L525" s="66"/>
      <c r="M525" s="65"/>
      <c r="N525" s="66"/>
      <c r="O525" s="65"/>
      <c r="P525" s="18"/>
      <c r="Q525" s="18"/>
      <c r="R525" s="18"/>
      <c r="S525" s="18"/>
      <c r="T525" s="18"/>
      <c r="U525" s="18"/>
      <c r="V525" s="18"/>
      <c r="W525" s="18"/>
      <c r="X525" s="18"/>
      <c r="Y525" s="18"/>
    </row>
    <row r="526">
      <c r="A526" s="67"/>
      <c r="B526" s="66"/>
      <c r="C526" s="18"/>
      <c r="D526" s="18"/>
      <c r="E526" s="18"/>
      <c r="F526" s="65"/>
      <c r="G526" s="66"/>
      <c r="H526" s="18"/>
      <c r="I526" s="18"/>
      <c r="J526" s="18"/>
      <c r="K526" s="65"/>
      <c r="L526" s="66"/>
      <c r="M526" s="65"/>
      <c r="N526" s="66"/>
      <c r="O526" s="65"/>
      <c r="P526" s="18"/>
      <c r="Q526" s="18"/>
      <c r="R526" s="18"/>
      <c r="S526" s="18"/>
      <c r="T526" s="18"/>
      <c r="U526" s="18"/>
      <c r="V526" s="18"/>
      <c r="W526" s="18"/>
      <c r="X526" s="18"/>
      <c r="Y526" s="18"/>
    </row>
    <row r="527">
      <c r="A527" s="67"/>
      <c r="B527" s="66"/>
      <c r="C527" s="18"/>
      <c r="D527" s="18"/>
      <c r="E527" s="18"/>
      <c r="F527" s="65"/>
      <c r="G527" s="66"/>
      <c r="H527" s="18"/>
      <c r="I527" s="18"/>
      <c r="J527" s="18"/>
      <c r="K527" s="65"/>
      <c r="L527" s="66"/>
      <c r="M527" s="65"/>
      <c r="N527" s="66"/>
      <c r="O527" s="65"/>
      <c r="P527" s="18"/>
      <c r="Q527" s="18"/>
      <c r="R527" s="18"/>
      <c r="S527" s="18"/>
      <c r="T527" s="18"/>
      <c r="U527" s="18"/>
      <c r="V527" s="18"/>
      <c r="W527" s="18"/>
      <c r="X527" s="18"/>
      <c r="Y527" s="18"/>
    </row>
    <row r="528">
      <c r="A528" s="67"/>
      <c r="B528" s="66"/>
      <c r="C528" s="18"/>
      <c r="D528" s="18"/>
      <c r="E528" s="18"/>
      <c r="F528" s="65"/>
      <c r="G528" s="66"/>
      <c r="H528" s="18"/>
      <c r="I528" s="18"/>
      <c r="J528" s="18"/>
      <c r="K528" s="65"/>
      <c r="L528" s="66"/>
      <c r="M528" s="65"/>
      <c r="N528" s="66"/>
      <c r="O528" s="65"/>
      <c r="P528" s="18"/>
      <c r="Q528" s="18"/>
      <c r="R528" s="18"/>
      <c r="S528" s="18"/>
      <c r="T528" s="18"/>
      <c r="U528" s="18"/>
      <c r="V528" s="18"/>
      <c r="W528" s="18"/>
      <c r="X528" s="18"/>
      <c r="Y528" s="18"/>
    </row>
    <row r="529">
      <c r="A529" s="67"/>
      <c r="B529" s="66"/>
      <c r="C529" s="18"/>
      <c r="D529" s="18"/>
      <c r="E529" s="18"/>
      <c r="F529" s="65"/>
      <c r="G529" s="66"/>
      <c r="H529" s="18"/>
      <c r="I529" s="18"/>
      <c r="J529" s="18"/>
      <c r="K529" s="65"/>
      <c r="L529" s="66"/>
      <c r="M529" s="65"/>
      <c r="N529" s="66"/>
      <c r="O529" s="65"/>
      <c r="P529" s="18"/>
      <c r="Q529" s="18"/>
      <c r="R529" s="18"/>
      <c r="S529" s="18"/>
      <c r="T529" s="18"/>
      <c r="U529" s="18"/>
      <c r="V529" s="18"/>
      <c r="W529" s="18"/>
      <c r="X529" s="18"/>
      <c r="Y529" s="18"/>
    </row>
    <row r="530">
      <c r="A530" s="67"/>
      <c r="B530" s="66"/>
      <c r="C530" s="18"/>
      <c r="D530" s="18"/>
      <c r="E530" s="18"/>
      <c r="F530" s="65"/>
      <c r="G530" s="66"/>
      <c r="H530" s="18"/>
      <c r="I530" s="18"/>
      <c r="J530" s="18"/>
      <c r="K530" s="65"/>
      <c r="L530" s="66"/>
      <c r="M530" s="65"/>
      <c r="N530" s="66"/>
      <c r="O530" s="65"/>
      <c r="P530" s="18"/>
      <c r="Q530" s="18"/>
      <c r="R530" s="18"/>
      <c r="S530" s="18"/>
      <c r="T530" s="18"/>
      <c r="U530" s="18"/>
      <c r="V530" s="18"/>
      <c r="W530" s="18"/>
      <c r="X530" s="18"/>
      <c r="Y530" s="18"/>
    </row>
    <row r="531">
      <c r="A531" s="67"/>
      <c r="B531" s="66"/>
      <c r="C531" s="18"/>
      <c r="D531" s="18"/>
      <c r="E531" s="18"/>
      <c r="F531" s="65"/>
      <c r="G531" s="66"/>
      <c r="H531" s="18"/>
      <c r="I531" s="18"/>
      <c r="J531" s="18"/>
      <c r="K531" s="65"/>
      <c r="L531" s="66"/>
      <c r="M531" s="65"/>
      <c r="N531" s="66"/>
      <c r="O531" s="65"/>
      <c r="P531" s="18"/>
      <c r="Q531" s="18"/>
      <c r="R531" s="18"/>
      <c r="S531" s="18"/>
      <c r="T531" s="18"/>
      <c r="U531" s="18"/>
      <c r="V531" s="18"/>
      <c r="W531" s="18"/>
      <c r="X531" s="18"/>
      <c r="Y531" s="18"/>
    </row>
    <row r="532">
      <c r="A532" s="67"/>
      <c r="B532" s="66"/>
      <c r="C532" s="18"/>
      <c r="D532" s="18"/>
      <c r="E532" s="18"/>
      <c r="F532" s="65"/>
      <c r="G532" s="66"/>
      <c r="H532" s="18"/>
      <c r="I532" s="18"/>
      <c r="J532" s="18"/>
      <c r="K532" s="65"/>
      <c r="L532" s="66"/>
      <c r="M532" s="65"/>
      <c r="N532" s="66"/>
      <c r="O532" s="65"/>
      <c r="P532" s="18"/>
      <c r="Q532" s="18"/>
      <c r="R532" s="18"/>
      <c r="S532" s="18"/>
      <c r="T532" s="18"/>
      <c r="U532" s="18"/>
      <c r="V532" s="18"/>
      <c r="W532" s="18"/>
      <c r="X532" s="18"/>
      <c r="Y532" s="18"/>
    </row>
    <row r="533">
      <c r="A533" s="67"/>
      <c r="B533" s="66"/>
      <c r="C533" s="18"/>
      <c r="D533" s="18"/>
      <c r="E533" s="18"/>
      <c r="F533" s="65"/>
      <c r="G533" s="66"/>
      <c r="H533" s="18"/>
      <c r="I533" s="18"/>
      <c r="J533" s="18"/>
      <c r="K533" s="65"/>
      <c r="L533" s="66"/>
      <c r="M533" s="65"/>
      <c r="N533" s="66"/>
      <c r="O533" s="65"/>
      <c r="P533" s="18"/>
      <c r="Q533" s="18"/>
      <c r="R533" s="18"/>
      <c r="S533" s="18"/>
      <c r="T533" s="18"/>
      <c r="U533" s="18"/>
      <c r="V533" s="18"/>
      <c r="W533" s="18"/>
      <c r="X533" s="18"/>
      <c r="Y533" s="18"/>
    </row>
    <row r="534">
      <c r="A534" s="67"/>
      <c r="B534" s="66"/>
      <c r="C534" s="18"/>
      <c r="D534" s="18"/>
      <c r="E534" s="18"/>
      <c r="F534" s="65"/>
      <c r="G534" s="66"/>
      <c r="H534" s="18"/>
      <c r="I534" s="18"/>
      <c r="J534" s="18"/>
      <c r="K534" s="65"/>
      <c r="L534" s="66"/>
      <c r="M534" s="65"/>
      <c r="N534" s="66"/>
      <c r="O534" s="65"/>
      <c r="P534" s="18"/>
      <c r="Q534" s="18"/>
      <c r="R534" s="18"/>
      <c r="S534" s="18"/>
      <c r="T534" s="18"/>
      <c r="U534" s="18"/>
      <c r="V534" s="18"/>
      <c r="W534" s="18"/>
      <c r="X534" s="18"/>
      <c r="Y534" s="18"/>
    </row>
    <row r="535">
      <c r="A535" s="67"/>
      <c r="B535" s="66"/>
      <c r="C535" s="18"/>
      <c r="D535" s="18"/>
      <c r="E535" s="18"/>
      <c r="F535" s="65"/>
      <c r="G535" s="66"/>
      <c r="H535" s="18"/>
      <c r="I535" s="18"/>
      <c r="J535" s="18"/>
      <c r="K535" s="65"/>
      <c r="L535" s="66"/>
      <c r="M535" s="65"/>
      <c r="N535" s="66"/>
      <c r="O535" s="65"/>
      <c r="P535" s="18"/>
      <c r="Q535" s="18"/>
      <c r="R535" s="18"/>
      <c r="S535" s="18"/>
      <c r="T535" s="18"/>
      <c r="U535" s="18"/>
      <c r="V535" s="18"/>
      <c r="W535" s="18"/>
      <c r="X535" s="18"/>
      <c r="Y535" s="18"/>
    </row>
    <row r="536">
      <c r="A536" s="67"/>
      <c r="B536" s="66"/>
      <c r="C536" s="18"/>
      <c r="D536" s="18"/>
      <c r="E536" s="18"/>
      <c r="F536" s="65"/>
      <c r="G536" s="66"/>
      <c r="H536" s="18"/>
      <c r="I536" s="18"/>
      <c r="J536" s="18"/>
      <c r="K536" s="65"/>
      <c r="L536" s="66"/>
      <c r="M536" s="65"/>
      <c r="N536" s="66"/>
      <c r="O536" s="65"/>
      <c r="P536" s="18"/>
      <c r="Q536" s="18"/>
      <c r="R536" s="18"/>
      <c r="S536" s="18"/>
      <c r="T536" s="18"/>
      <c r="U536" s="18"/>
      <c r="V536" s="18"/>
      <c r="W536" s="18"/>
      <c r="X536" s="18"/>
      <c r="Y536" s="18"/>
    </row>
    <row r="537">
      <c r="A537" s="67"/>
      <c r="B537" s="66"/>
      <c r="C537" s="18"/>
      <c r="D537" s="18"/>
      <c r="E537" s="18"/>
      <c r="F537" s="65"/>
      <c r="G537" s="66"/>
      <c r="H537" s="18"/>
      <c r="I537" s="18"/>
      <c r="J537" s="18"/>
      <c r="K537" s="65"/>
      <c r="L537" s="66"/>
      <c r="M537" s="65"/>
      <c r="N537" s="66"/>
      <c r="O537" s="65"/>
      <c r="P537" s="18"/>
      <c r="Q537" s="18"/>
      <c r="R537" s="18"/>
      <c r="S537" s="18"/>
      <c r="T537" s="18"/>
      <c r="U537" s="18"/>
      <c r="V537" s="18"/>
      <c r="W537" s="18"/>
      <c r="X537" s="18"/>
      <c r="Y537" s="18"/>
    </row>
    <row r="538">
      <c r="A538" s="67"/>
      <c r="B538" s="66"/>
      <c r="C538" s="18"/>
      <c r="D538" s="18"/>
      <c r="E538" s="18"/>
      <c r="F538" s="65"/>
      <c r="G538" s="66"/>
      <c r="H538" s="18"/>
      <c r="I538" s="18"/>
      <c r="J538" s="18"/>
      <c r="K538" s="65"/>
      <c r="L538" s="66"/>
      <c r="M538" s="65"/>
      <c r="N538" s="66"/>
      <c r="O538" s="65"/>
      <c r="P538" s="18"/>
      <c r="Q538" s="18"/>
      <c r="R538" s="18"/>
      <c r="S538" s="18"/>
      <c r="T538" s="18"/>
      <c r="U538" s="18"/>
      <c r="V538" s="18"/>
      <c r="W538" s="18"/>
      <c r="X538" s="18"/>
      <c r="Y538" s="18"/>
    </row>
    <row r="539">
      <c r="A539" s="67"/>
      <c r="B539" s="66"/>
      <c r="C539" s="18"/>
      <c r="D539" s="18"/>
      <c r="E539" s="18"/>
      <c r="F539" s="65"/>
      <c r="G539" s="66"/>
      <c r="H539" s="18"/>
      <c r="I539" s="18"/>
      <c r="J539" s="18"/>
      <c r="K539" s="65"/>
      <c r="L539" s="66"/>
      <c r="M539" s="65"/>
      <c r="N539" s="66"/>
      <c r="O539" s="65"/>
      <c r="P539" s="18"/>
      <c r="Q539" s="18"/>
      <c r="R539" s="18"/>
      <c r="S539" s="18"/>
      <c r="T539" s="18"/>
      <c r="U539" s="18"/>
      <c r="V539" s="18"/>
      <c r="W539" s="18"/>
      <c r="X539" s="18"/>
      <c r="Y539" s="18"/>
    </row>
    <row r="540">
      <c r="A540" s="67"/>
      <c r="B540" s="66"/>
      <c r="C540" s="18"/>
      <c r="D540" s="18"/>
      <c r="E540" s="18"/>
      <c r="F540" s="65"/>
      <c r="G540" s="66"/>
      <c r="H540" s="18"/>
      <c r="I540" s="18"/>
      <c r="J540" s="18"/>
      <c r="K540" s="65"/>
      <c r="L540" s="66"/>
      <c r="M540" s="65"/>
      <c r="N540" s="66"/>
      <c r="O540" s="65"/>
      <c r="P540" s="18"/>
      <c r="Q540" s="18"/>
      <c r="R540" s="18"/>
      <c r="S540" s="18"/>
      <c r="T540" s="18"/>
      <c r="U540" s="18"/>
      <c r="V540" s="18"/>
      <c r="W540" s="18"/>
      <c r="X540" s="18"/>
      <c r="Y540" s="18"/>
    </row>
    <row r="541">
      <c r="A541" s="67"/>
      <c r="B541" s="66"/>
      <c r="C541" s="18"/>
      <c r="D541" s="18"/>
      <c r="E541" s="18"/>
      <c r="F541" s="65"/>
      <c r="G541" s="66"/>
      <c r="H541" s="18"/>
      <c r="I541" s="18"/>
      <c r="J541" s="18"/>
      <c r="K541" s="65"/>
      <c r="L541" s="66"/>
      <c r="M541" s="65"/>
      <c r="N541" s="66"/>
      <c r="O541" s="65"/>
      <c r="P541" s="18"/>
      <c r="Q541" s="18"/>
      <c r="R541" s="18"/>
      <c r="S541" s="18"/>
      <c r="T541" s="18"/>
      <c r="U541" s="18"/>
      <c r="V541" s="18"/>
      <c r="W541" s="18"/>
      <c r="X541" s="18"/>
      <c r="Y541" s="18"/>
    </row>
    <row r="542">
      <c r="A542" s="67"/>
      <c r="B542" s="66"/>
      <c r="C542" s="18"/>
      <c r="D542" s="18"/>
      <c r="E542" s="18"/>
      <c r="F542" s="65"/>
      <c r="G542" s="66"/>
      <c r="H542" s="18"/>
      <c r="I542" s="18"/>
      <c r="J542" s="18"/>
      <c r="K542" s="65"/>
      <c r="L542" s="66"/>
      <c r="M542" s="65"/>
      <c r="N542" s="66"/>
      <c r="O542" s="65"/>
      <c r="P542" s="18"/>
      <c r="Q542" s="18"/>
      <c r="R542" s="18"/>
      <c r="S542" s="18"/>
      <c r="T542" s="18"/>
      <c r="U542" s="18"/>
      <c r="V542" s="18"/>
      <c r="W542" s="18"/>
      <c r="X542" s="18"/>
      <c r="Y542" s="18"/>
    </row>
    <row r="543">
      <c r="A543" s="67"/>
      <c r="B543" s="66"/>
      <c r="C543" s="18"/>
      <c r="D543" s="18"/>
      <c r="E543" s="18"/>
      <c r="F543" s="65"/>
      <c r="G543" s="66"/>
      <c r="H543" s="18"/>
      <c r="I543" s="18"/>
      <c r="J543" s="18"/>
      <c r="K543" s="65"/>
      <c r="L543" s="66"/>
      <c r="M543" s="65"/>
      <c r="N543" s="66"/>
      <c r="O543" s="65"/>
      <c r="P543" s="18"/>
      <c r="Q543" s="18"/>
      <c r="R543" s="18"/>
      <c r="S543" s="18"/>
      <c r="T543" s="18"/>
      <c r="U543" s="18"/>
      <c r="V543" s="18"/>
      <c r="W543" s="18"/>
      <c r="X543" s="18"/>
      <c r="Y543" s="18"/>
    </row>
    <row r="544">
      <c r="A544" s="67"/>
      <c r="B544" s="66"/>
      <c r="C544" s="18"/>
      <c r="D544" s="18"/>
      <c r="E544" s="18"/>
      <c r="F544" s="65"/>
      <c r="G544" s="66"/>
      <c r="H544" s="18"/>
      <c r="I544" s="18"/>
      <c r="J544" s="18"/>
      <c r="K544" s="65"/>
      <c r="L544" s="66"/>
      <c r="M544" s="65"/>
      <c r="N544" s="66"/>
      <c r="O544" s="65"/>
      <c r="P544" s="18"/>
      <c r="Q544" s="18"/>
      <c r="R544" s="18"/>
      <c r="S544" s="18"/>
      <c r="T544" s="18"/>
      <c r="U544" s="18"/>
      <c r="V544" s="18"/>
      <c r="W544" s="18"/>
      <c r="X544" s="18"/>
      <c r="Y544" s="18"/>
    </row>
    <row r="545">
      <c r="A545" s="67"/>
      <c r="B545" s="66"/>
      <c r="C545" s="18"/>
      <c r="D545" s="18"/>
      <c r="E545" s="18"/>
      <c r="F545" s="65"/>
      <c r="G545" s="66"/>
      <c r="H545" s="18"/>
      <c r="I545" s="18"/>
      <c r="J545" s="18"/>
      <c r="K545" s="65"/>
      <c r="L545" s="66"/>
      <c r="M545" s="65"/>
      <c r="N545" s="66"/>
      <c r="O545" s="65"/>
      <c r="P545" s="18"/>
      <c r="Q545" s="18"/>
      <c r="R545" s="18"/>
      <c r="S545" s="18"/>
      <c r="T545" s="18"/>
      <c r="U545" s="18"/>
      <c r="V545" s="18"/>
      <c r="W545" s="18"/>
      <c r="X545" s="18"/>
      <c r="Y545" s="18"/>
    </row>
    <row r="546">
      <c r="A546" s="67"/>
      <c r="B546" s="66"/>
      <c r="C546" s="18"/>
      <c r="D546" s="18"/>
      <c r="E546" s="18"/>
      <c r="F546" s="65"/>
      <c r="G546" s="66"/>
      <c r="H546" s="18"/>
      <c r="I546" s="18"/>
      <c r="J546" s="18"/>
      <c r="K546" s="65"/>
      <c r="L546" s="66"/>
      <c r="M546" s="65"/>
      <c r="N546" s="66"/>
      <c r="O546" s="65"/>
      <c r="P546" s="18"/>
      <c r="Q546" s="18"/>
      <c r="R546" s="18"/>
      <c r="S546" s="18"/>
      <c r="T546" s="18"/>
      <c r="U546" s="18"/>
      <c r="V546" s="18"/>
      <c r="W546" s="18"/>
      <c r="X546" s="18"/>
      <c r="Y546" s="18"/>
    </row>
    <row r="547">
      <c r="A547" s="67"/>
      <c r="B547" s="66"/>
      <c r="C547" s="18"/>
      <c r="D547" s="18"/>
      <c r="E547" s="18"/>
      <c r="F547" s="65"/>
      <c r="G547" s="66"/>
      <c r="H547" s="18"/>
      <c r="I547" s="18"/>
      <c r="J547" s="18"/>
      <c r="K547" s="65"/>
      <c r="L547" s="66"/>
      <c r="M547" s="65"/>
      <c r="N547" s="66"/>
      <c r="O547" s="65"/>
      <c r="P547" s="18"/>
      <c r="Q547" s="18"/>
      <c r="R547" s="18"/>
      <c r="S547" s="18"/>
      <c r="T547" s="18"/>
      <c r="U547" s="18"/>
      <c r="V547" s="18"/>
      <c r="W547" s="18"/>
      <c r="X547" s="18"/>
      <c r="Y547" s="18"/>
    </row>
    <row r="548">
      <c r="A548" s="67"/>
      <c r="B548" s="66"/>
      <c r="C548" s="18"/>
      <c r="D548" s="18"/>
      <c r="E548" s="18"/>
      <c r="F548" s="65"/>
      <c r="G548" s="66"/>
      <c r="H548" s="18"/>
      <c r="I548" s="18"/>
      <c r="J548" s="18"/>
      <c r="K548" s="65"/>
      <c r="L548" s="66"/>
      <c r="M548" s="65"/>
      <c r="N548" s="66"/>
      <c r="O548" s="65"/>
      <c r="P548" s="18"/>
      <c r="Q548" s="18"/>
      <c r="R548" s="18"/>
      <c r="S548" s="18"/>
      <c r="T548" s="18"/>
      <c r="U548" s="18"/>
      <c r="V548" s="18"/>
      <c r="W548" s="18"/>
      <c r="X548" s="18"/>
      <c r="Y548" s="18"/>
    </row>
    <row r="549">
      <c r="A549" s="67"/>
      <c r="B549" s="66"/>
      <c r="C549" s="18"/>
      <c r="D549" s="18"/>
      <c r="E549" s="18"/>
      <c r="F549" s="65"/>
      <c r="G549" s="66"/>
      <c r="H549" s="18"/>
      <c r="I549" s="18"/>
      <c r="J549" s="18"/>
      <c r="K549" s="65"/>
      <c r="L549" s="66"/>
      <c r="M549" s="65"/>
      <c r="N549" s="66"/>
      <c r="O549" s="65"/>
      <c r="P549" s="18"/>
      <c r="Q549" s="18"/>
      <c r="R549" s="18"/>
      <c r="S549" s="18"/>
      <c r="T549" s="18"/>
      <c r="U549" s="18"/>
      <c r="V549" s="18"/>
      <c r="W549" s="18"/>
      <c r="X549" s="18"/>
      <c r="Y549" s="18"/>
    </row>
    <row r="550">
      <c r="A550" s="67"/>
      <c r="B550" s="66"/>
      <c r="C550" s="18"/>
      <c r="D550" s="18"/>
      <c r="E550" s="18"/>
      <c r="F550" s="65"/>
      <c r="G550" s="66"/>
      <c r="H550" s="18"/>
      <c r="I550" s="18"/>
      <c r="J550" s="18"/>
      <c r="K550" s="65"/>
      <c r="L550" s="66"/>
      <c r="M550" s="65"/>
      <c r="N550" s="66"/>
      <c r="O550" s="65"/>
      <c r="P550" s="18"/>
      <c r="Q550" s="18"/>
      <c r="R550" s="18"/>
      <c r="S550" s="18"/>
      <c r="T550" s="18"/>
      <c r="U550" s="18"/>
      <c r="V550" s="18"/>
      <c r="W550" s="18"/>
      <c r="X550" s="18"/>
      <c r="Y550" s="18"/>
    </row>
    <row r="551">
      <c r="A551" s="67"/>
      <c r="B551" s="66"/>
      <c r="C551" s="18"/>
      <c r="D551" s="18"/>
      <c r="E551" s="18"/>
      <c r="F551" s="65"/>
      <c r="G551" s="66"/>
      <c r="H551" s="18"/>
      <c r="I551" s="18"/>
      <c r="J551" s="18"/>
      <c r="K551" s="65"/>
      <c r="L551" s="66"/>
      <c r="M551" s="65"/>
      <c r="N551" s="66"/>
      <c r="O551" s="65"/>
      <c r="P551" s="18"/>
      <c r="Q551" s="18"/>
      <c r="R551" s="18"/>
      <c r="S551" s="18"/>
      <c r="T551" s="18"/>
      <c r="U551" s="18"/>
      <c r="V551" s="18"/>
      <c r="W551" s="18"/>
      <c r="X551" s="18"/>
      <c r="Y551" s="18"/>
    </row>
    <row r="552">
      <c r="A552" s="67"/>
      <c r="B552" s="66"/>
      <c r="C552" s="18"/>
      <c r="D552" s="18"/>
      <c r="E552" s="18"/>
      <c r="F552" s="65"/>
      <c r="G552" s="66"/>
      <c r="H552" s="18"/>
      <c r="I552" s="18"/>
      <c r="J552" s="18"/>
      <c r="K552" s="65"/>
      <c r="L552" s="66"/>
      <c r="M552" s="65"/>
      <c r="N552" s="66"/>
      <c r="O552" s="65"/>
      <c r="P552" s="18"/>
      <c r="Q552" s="18"/>
      <c r="R552" s="18"/>
      <c r="S552" s="18"/>
      <c r="T552" s="18"/>
      <c r="U552" s="18"/>
      <c r="V552" s="18"/>
      <c r="W552" s="18"/>
      <c r="X552" s="18"/>
      <c r="Y552" s="18"/>
    </row>
    <row r="553">
      <c r="A553" s="67"/>
      <c r="B553" s="66"/>
      <c r="C553" s="18"/>
      <c r="D553" s="18"/>
      <c r="E553" s="18"/>
      <c r="F553" s="65"/>
      <c r="G553" s="66"/>
      <c r="H553" s="18"/>
      <c r="I553" s="18"/>
      <c r="J553" s="18"/>
      <c r="K553" s="65"/>
      <c r="L553" s="66"/>
      <c r="M553" s="65"/>
      <c r="N553" s="66"/>
      <c r="O553" s="65"/>
      <c r="P553" s="18"/>
      <c r="Q553" s="18"/>
      <c r="R553" s="18"/>
      <c r="S553" s="18"/>
      <c r="T553" s="18"/>
      <c r="U553" s="18"/>
      <c r="V553" s="18"/>
      <c r="W553" s="18"/>
      <c r="X553" s="18"/>
      <c r="Y553" s="18"/>
    </row>
    <row r="554">
      <c r="A554" s="67"/>
      <c r="B554" s="66"/>
      <c r="C554" s="18"/>
      <c r="D554" s="18"/>
      <c r="E554" s="18"/>
      <c r="F554" s="65"/>
      <c r="G554" s="66"/>
      <c r="H554" s="18"/>
      <c r="I554" s="18"/>
      <c r="J554" s="18"/>
      <c r="K554" s="65"/>
      <c r="L554" s="66"/>
      <c r="M554" s="65"/>
      <c r="N554" s="66"/>
      <c r="O554" s="65"/>
      <c r="P554" s="18"/>
      <c r="Q554" s="18"/>
      <c r="R554" s="18"/>
      <c r="S554" s="18"/>
      <c r="T554" s="18"/>
      <c r="U554" s="18"/>
      <c r="V554" s="18"/>
      <c r="W554" s="18"/>
      <c r="X554" s="18"/>
      <c r="Y554" s="18"/>
    </row>
    <row r="555">
      <c r="A555" s="67"/>
      <c r="B555" s="66"/>
      <c r="C555" s="18"/>
      <c r="D555" s="18"/>
      <c r="E555" s="18"/>
      <c r="F555" s="65"/>
      <c r="G555" s="66"/>
      <c r="H555" s="18"/>
      <c r="I555" s="18"/>
      <c r="J555" s="18"/>
      <c r="K555" s="65"/>
      <c r="L555" s="66"/>
      <c r="M555" s="65"/>
      <c r="N555" s="66"/>
      <c r="O555" s="65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>
      <c r="A556" s="67"/>
      <c r="B556" s="66"/>
      <c r="C556" s="18"/>
      <c r="D556" s="18"/>
      <c r="E556" s="18"/>
      <c r="F556" s="65"/>
      <c r="G556" s="66"/>
      <c r="H556" s="18"/>
      <c r="I556" s="18"/>
      <c r="J556" s="18"/>
      <c r="K556" s="65"/>
      <c r="L556" s="66"/>
      <c r="M556" s="65"/>
      <c r="N556" s="66"/>
      <c r="O556" s="65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>
      <c r="A557" s="67"/>
      <c r="B557" s="66"/>
      <c r="C557" s="18"/>
      <c r="D557" s="18"/>
      <c r="E557" s="18"/>
      <c r="F557" s="65"/>
      <c r="G557" s="66"/>
      <c r="H557" s="18"/>
      <c r="I557" s="18"/>
      <c r="J557" s="18"/>
      <c r="K557" s="65"/>
      <c r="L557" s="66"/>
      <c r="M557" s="65"/>
      <c r="N557" s="66"/>
      <c r="O557" s="65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>
      <c r="A558" s="67"/>
      <c r="B558" s="66"/>
      <c r="C558" s="18"/>
      <c r="D558" s="18"/>
      <c r="E558" s="18"/>
      <c r="F558" s="65"/>
      <c r="G558" s="66"/>
      <c r="H558" s="18"/>
      <c r="I558" s="18"/>
      <c r="J558" s="18"/>
      <c r="K558" s="65"/>
      <c r="L558" s="66"/>
      <c r="M558" s="65"/>
      <c r="N558" s="66"/>
      <c r="O558" s="65"/>
      <c r="P558" s="18"/>
      <c r="Q558" s="18"/>
      <c r="R558" s="18"/>
      <c r="S558" s="18"/>
      <c r="T558" s="18"/>
      <c r="U558" s="18"/>
      <c r="V558" s="18"/>
      <c r="W558" s="18"/>
      <c r="X558" s="18"/>
      <c r="Y558" s="18"/>
    </row>
    <row r="559">
      <c r="A559" s="67"/>
      <c r="B559" s="66"/>
      <c r="C559" s="18"/>
      <c r="D559" s="18"/>
      <c r="E559" s="18"/>
      <c r="F559" s="65"/>
      <c r="G559" s="66"/>
      <c r="H559" s="18"/>
      <c r="I559" s="18"/>
      <c r="J559" s="18"/>
      <c r="K559" s="65"/>
      <c r="L559" s="66"/>
      <c r="M559" s="65"/>
      <c r="N559" s="66"/>
      <c r="O559" s="65"/>
      <c r="P559" s="18"/>
      <c r="Q559" s="18"/>
      <c r="R559" s="18"/>
      <c r="S559" s="18"/>
      <c r="T559" s="18"/>
      <c r="U559" s="18"/>
      <c r="V559" s="18"/>
      <c r="W559" s="18"/>
      <c r="X559" s="18"/>
      <c r="Y559" s="18"/>
    </row>
    <row r="560">
      <c r="A560" s="67"/>
      <c r="B560" s="66"/>
      <c r="C560" s="18"/>
      <c r="D560" s="18"/>
      <c r="E560" s="18"/>
      <c r="F560" s="65"/>
      <c r="G560" s="66"/>
      <c r="H560" s="18"/>
      <c r="I560" s="18"/>
      <c r="J560" s="18"/>
      <c r="K560" s="65"/>
      <c r="L560" s="66"/>
      <c r="M560" s="65"/>
      <c r="N560" s="66"/>
      <c r="O560" s="65"/>
      <c r="P560" s="18"/>
      <c r="Q560" s="18"/>
      <c r="R560" s="18"/>
      <c r="S560" s="18"/>
      <c r="T560" s="18"/>
      <c r="U560" s="18"/>
      <c r="V560" s="18"/>
      <c r="W560" s="18"/>
      <c r="X560" s="18"/>
      <c r="Y560" s="18"/>
    </row>
    <row r="561">
      <c r="A561" s="67"/>
      <c r="B561" s="66"/>
      <c r="C561" s="18"/>
      <c r="D561" s="18"/>
      <c r="E561" s="18"/>
      <c r="F561" s="65"/>
      <c r="G561" s="66"/>
      <c r="H561" s="18"/>
      <c r="I561" s="18"/>
      <c r="J561" s="18"/>
      <c r="K561" s="65"/>
      <c r="L561" s="66"/>
      <c r="M561" s="65"/>
      <c r="N561" s="66"/>
      <c r="O561" s="65"/>
      <c r="P561" s="18"/>
      <c r="Q561" s="18"/>
      <c r="R561" s="18"/>
      <c r="S561" s="18"/>
      <c r="T561" s="18"/>
      <c r="U561" s="18"/>
      <c r="V561" s="18"/>
      <c r="W561" s="18"/>
      <c r="X561" s="18"/>
      <c r="Y561" s="18"/>
    </row>
    <row r="562">
      <c r="A562" s="67"/>
      <c r="B562" s="66"/>
      <c r="C562" s="18"/>
      <c r="D562" s="18"/>
      <c r="E562" s="18"/>
      <c r="F562" s="65"/>
      <c r="G562" s="66"/>
      <c r="H562" s="18"/>
      <c r="I562" s="18"/>
      <c r="J562" s="18"/>
      <c r="K562" s="65"/>
      <c r="L562" s="66"/>
      <c r="M562" s="65"/>
      <c r="N562" s="66"/>
      <c r="O562" s="65"/>
      <c r="P562" s="18"/>
      <c r="Q562" s="18"/>
      <c r="R562" s="18"/>
      <c r="S562" s="18"/>
      <c r="T562" s="18"/>
      <c r="U562" s="18"/>
      <c r="V562" s="18"/>
      <c r="W562" s="18"/>
      <c r="X562" s="18"/>
      <c r="Y562" s="18"/>
    </row>
    <row r="563">
      <c r="A563" s="67"/>
      <c r="B563" s="66"/>
      <c r="C563" s="18"/>
      <c r="D563" s="18"/>
      <c r="E563" s="18"/>
      <c r="F563" s="65"/>
      <c r="G563" s="66"/>
      <c r="H563" s="18"/>
      <c r="I563" s="18"/>
      <c r="J563" s="18"/>
      <c r="K563" s="65"/>
      <c r="L563" s="66"/>
      <c r="M563" s="65"/>
      <c r="N563" s="66"/>
      <c r="O563" s="65"/>
      <c r="P563" s="18"/>
      <c r="Q563" s="18"/>
      <c r="R563" s="18"/>
      <c r="S563" s="18"/>
      <c r="T563" s="18"/>
      <c r="U563" s="18"/>
      <c r="V563" s="18"/>
      <c r="W563" s="18"/>
      <c r="X563" s="18"/>
      <c r="Y563" s="18"/>
    </row>
    <row r="564">
      <c r="A564" s="67"/>
      <c r="B564" s="66"/>
      <c r="C564" s="18"/>
      <c r="D564" s="18"/>
      <c r="E564" s="18"/>
      <c r="F564" s="65"/>
      <c r="G564" s="66"/>
      <c r="H564" s="18"/>
      <c r="I564" s="18"/>
      <c r="J564" s="18"/>
      <c r="K564" s="65"/>
      <c r="L564" s="66"/>
      <c r="M564" s="65"/>
      <c r="N564" s="66"/>
      <c r="O564" s="65"/>
      <c r="P564" s="18"/>
      <c r="Q564" s="18"/>
      <c r="R564" s="18"/>
      <c r="S564" s="18"/>
      <c r="T564" s="18"/>
      <c r="U564" s="18"/>
      <c r="V564" s="18"/>
      <c r="W564" s="18"/>
      <c r="X564" s="18"/>
      <c r="Y564" s="18"/>
    </row>
    <row r="565">
      <c r="A565" s="67"/>
      <c r="B565" s="66"/>
      <c r="C565" s="18"/>
      <c r="D565" s="18"/>
      <c r="E565" s="18"/>
      <c r="F565" s="65"/>
      <c r="G565" s="66"/>
      <c r="H565" s="18"/>
      <c r="I565" s="18"/>
      <c r="J565" s="18"/>
      <c r="K565" s="65"/>
      <c r="L565" s="66"/>
      <c r="M565" s="65"/>
      <c r="N565" s="66"/>
      <c r="O565" s="65"/>
      <c r="P565" s="18"/>
      <c r="Q565" s="18"/>
      <c r="R565" s="18"/>
      <c r="S565" s="18"/>
      <c r="T565" s="18"/>
      <c r="U565" s="18"/>
      <c r="V565" s="18"/>
      <c r="W565" s="18"/>
      <c r="X565" s="18"/>
      <c r="Y565" s="18"/>
    </row>
    <row r="566">
      <c r="A566" s="67"/>
      <c r="B566" s="66"/>
      <c r="C566" s="18"/>
      <c r="D566" s="18"/>
      <c r="E566" s="18"/>
      <c r="F566" s="65"/>
      <c r="G566" s="66"/>
      <c r="H566" s="18"/>
      <c r="I566" s="18"/>
      <c r="J566" s="18"/>
      <c r="K566" s="65"/>
      <c r="L566" s="66"/>
      <c r="M566" s="65"/>
      <c r="N566" s="66"/>
      <c r="O566" s="65"/>
      <c r="P566" s="18"/>
      <c r="Q566" s="18"/>
      <c r="R566" s="18"/>
      <c r="S566" s="18"/>
      <c r="T566" s="18"/>
      <c r="U566" s="18"/>
      <c r="V566" s="18"/>
      <c r="W566" s="18"/>
      <c r="X566" s="18"/>
      <c r="Y566" s="18"/>
    </row>
    <row r="567">
      <c r="A567" s="67"/>
      <c r="B567" s="66"/>
      <c r="C567" s="18"/>
      <c r="D567" s="18"/>
      <c r="E567" s="18"/>
      <c r="F567" s="65"/>
      <c r="G567" s="66"/>
      <c r="H567" s="18"/>
      <c r="I567" s="18"/>
      <c r="J567" s="18"/>
      <c r="K567" s="65"/>
      <c r="L567" s="66"/>
      <c r="M567" s="65"/>
      <c r="N567" s="66"/>
      <c r="O567" s="65"/>
      <c r="P567" s="18"/>
      <c r="Q567" s="18"/>
      <c r="R567" s="18"/>
      <c r="S567" s="18"/>
      <c r="T567" s="18"/>
      <c r="U567" s="18"/>
      <c r="V567" s="18"/>
      <c r="W567" s="18"/>
      <c r="X567" s="18"/>
      <c r="Y567" s="18"/>
    </row>
    <row r="568">
      <c r="A568" s="67"/>
      <c r="B568" s="66"/>
      <c r="C568" s="18"/>
      <c r="D568" s="18"/>
      <c r="E568" s="18"/>
      <c r="F568" s="65"/>
      <c r="G568" s="66"/>
      <c r="H568" s="18"/>
      <c r="I568" s="18"/>
      <c r="J568" s="18"/>
      <c r="K568" s="65"/>
      <c r="L568" s="66"/>
      <c r="M568" s="65"/>
      <c r="N568" s="66"/>
      <c r="O568" s="65"/>
      <c r="P568" s="18"/>
      <c r="Q568" s="18"/>
      <c r="R568" s="18"/>
      <c r="S568" s="18"/>
      <c r="T568" s="18"/>
      <c r="U568" s="18"/>
      <c r="V568" s="18"/>
      <c r="W568" s="18"/>
      <c r="X568" s="18"/>
      <c r="Y568" s="18"/>
    </row>
    <row r="569">
      <c r="A569" s="67"/>
      <c r="B569" s="66"/>
      <c r="C569" s="18"/>
      <c r="D569" s="18"/>
      <c r="E569" s="18"/>
      <c r="F569" s="65"/>
      <c r="G569" s="66"/>
      <c r="H569" s="18"/>
      <c r="I569" s="18"/>
      <c r="J569" s="18"/>
      <c r="K569" s="65"/>
      <c r="L569" s="66"/>
      <c r="M569" s="65"/>
      <c r="N569" s="66"/>
      <c r="O569" s="65"/>
      <c r="P569" s="18"/>
      <c r="Q569" s="18"/>
      <c r="R569" s="18"/>
      <c r="S569" s="18"/>
      <c r="T569" s="18"/>
      <c r="U569" s="18"/>
      <c r="V569" s="18"/>
      <c r="W569" s="18"/>
      <c r="X569" s="18"/>
      <c r="Y569" s="18"/>
    </row>
    <row r="570">
      <c r="A570" s="67"/>
      <c r="B570" s="66"/>
      <c r="C570" s="18"/>
      <c r="D570" s="18"/>
      <c r="E570" s="18"/>
      <c r="F570" s="65"/>
      <c r="G570" s="66"/>
      <c r="H570" s="18"/>
      <c r="I570" s="18"/>
      <c r="J570" s="18"/>
      <c r="K570" s="65"/>
      <c r="L570" s="66"/>
      <c r="M570" s="65"/>
      <c r="N570" s="66"/>
      <c r="O570" s="65"/>
      <c r="P570" s="18"/>
      <c r="Q570" s="18"/>
      <c r="R570" s="18"/>
      <c r="S570" s="18"/>
      <c r="T570" s="18"/>
      <c r="U570" s="18"/>
      <c r="V570" s="18"/>
      <c r="W570" s="18"/>
      <c r="X570" s="18"/>
      <c r="Y570" s="18"/>
    </row>
    <row r="571">
      <c r="A571" s="67"/>
      <c r="B571" s="66"/>
      <c r="C571" s="18"/>
      <c r="D571" s="18"/>
      <c r="E571" s="18"/>
      <c r="F571" s="65"/>
      <c r="G571" s="66"/>
      <c r="H571" s="18"/>
      <c r="I571" s="18"/>
      <c r="J571" s="18"/>
      <c r="K571" s="65"/>
      <c r="L571" s="66"/>
      <c r="M571" s="65"/>
      <c r="N571" s="66"/>
      <c r="O571" s="65"/>
      <c r="P571" s="18"/>
      <c r="Q571" s="18"/>
      <c r="R571" s="18"/>
      <c r="S571" s="18"/>
      <c r="T571" s="18"/>
      <c r="U571" s="18"/>
      <c r="V571" s="18"/>
      <c r="W571" s="18"/>
      <c r="X571" s="18"/>
      <c r="Y571" s="18"/>
    </row>
    <row r="572">
      <c r="A572" s="67"/>
      <c r="B572" s="66"/>
      <c r="C572" s="18"/>
      <c r="D572" s="18"/>
      <c r="E572" s="18"/>
      <c r="F572" s="65"/>
      <c r="G572" s="66"/>
      <c r="H572" s="18"/>
      <c r="I572" s="18"/>
      <c r="J572" s="18"/>
      <c r="K572" s="65"/>
      <c r="L572" s="66"/>
      <c r="M572" s="65"/>
      <c r="N572" s="66"/>
      <c r="O572" s="65"/>
      <c r="P572" s="18"/>
      <c r="Q572" s="18"/>
      <c r="R572" s="18"/>
      <c r="S572" s="18"/>
      <c r="T572" s="18"/>
      <c r="U572" s="18"/>
      <c r="V572" s="18"/>
      <c r="W572" s="18"/>
      <c r="X572" s="18"/>
      <c r="Y572" s="18"/>
    </row>
    <row r="573">
      <c r="A573" s="67"/>
      <c r="B573" s="66"/>
      <c r="C573" s="18"/>
      <c r="D573" s="18"/>
      <c r="E573" s="18"/>
      <c r="F573" s="65"/>
      <c r="G573" s="66"/>
      <c r="H573" s="18"/>
      <c r="I573" s="18"/>
      <c r="J573" s="18"/>
      <c r="K573" s="65"/>
      <c r="L573" s="66"/>
      <c r="M573" s="65"/>
      <c r="N573" s="66"/>
      <c r="O573" s="65"/>
      <c r="P573" s="18"/>
      <c r="Q573" s="18"/>
      <c r="R573" s="18"/>
      <c r="S573" s="18"/>
      <c r="T573" s="18"/>
      <c r="U573" s="18"/>
      <c r="V573" s="18"/>
      <c r="W573" s="18"/>
      <c r="X573" s="18"/>
      <c r="Y573" s="18"/>
    </row>
    <row r="574">
      <c r="A574" s="67"/>
      <c r="B574" s="66"/>
      <c r="C574" s="18"/>
      <c r="D574" s="18"/>
      <c r="E574" s="18"/>
      <c r="F574" s="65"/>
      <c r="G574" s="66"/>
      <c r="H574" s="18"/>
      <c r="I574" s="18"/>
      <c r="J574" s="18"/>
      <c r="K574" s="65"/>
      <c r="L574" s="66"/>
      <c r="M574" s="65"/>
      <c r="N574" s="66"/>
      <c r="O574" s="65"/>
      <c r="P574" s="18"/>
      <c r="Q574" s="18"/>
      <c r="R574" s="18"/>
      <c r="S574" s="18"/>
      <c r="T574" s="18"/>
      <c r="U574" s="18"/>
      <c r="V574" s="18"/>
      <c r="W574" s="18"/>
      <c r="X574" s="18"/>
      <c r="Y574" s="18"/>
    </row>
    <row r="575">
      <c r="A575" s="67"/>
      <c r="B575" s="66"/>
      <c r="C575" s="18"/>
      <c r="D575" s="18"/>
      <c r="E575" s="18"/>
      <c r="F575" s="65"/>
      <c r="G575" s="66"/>
      <c r="H575" s="18"/>
      <c r="I575" s="18"/>
      <c r="J575" s="18"/>
      <c r="K575" s="65"/>
      <c r="L575" s="66"/>
      <c r="M575" s="65"/>
      <c r="N575" s="66"/>
      <c r="O575" s="65"/>
      <c r="P575" s="18"/>
      <c r="Q575" s="18"/>
      <c r="R575" s="18"/>
      <c r="S575" s="18"/>
      <c r="T575" s="18"/>
      <c r="U575" s="18"/>
      <c r="V575" s="18"/>
      <c r="W575" s="18"/>
      <c r="X575" s="18"/>
      <c r="Y575" s="18"/>
    </row>
    <row r="576">
      <c r="A576" s="67"/>
      <c r="B576" s="66"/>
      <c r="C576" s="18"/>
      <c r="D576" s="18"/>
      <c r="E576" s="18"/>
      <c r="F576" s="65"/>
      <c r="G576" s="66"/>
      <c r="H576" s="18"/>
      <c r="I576" s="18"/>
      <c r="J576" s="18"/>
      <c r="K576" s="65"/>
      <c r="L576" s="66"/>
      <c r="M576" s="65"/>
      <c r="N576" s="66"/>
      <c r="O576" s="65"/>
      <c r="P576" s="18"/>
      <c r="Q576" s="18"/>
      <c r="R576" s="18"/>
      <c r="S576" s="18"/>
      <c r="T576" s="18"/>
      <c r="U576" s="18"/>
      <c r="V576" s="18"/>
      <c r="W576" s="18"/>
      <c r="X576" s="18"/>
      <c r="Y576" s="18"/>
    </row>
    <row r="577">
      <c r="A577" s="67"/>
      <c r="B577" s="66"/>
      <c r="C577" s="18"/>
      <c r="D577" s="18"/>
      <c r="E577" s="18"/>
      <c r="F577" s="65"/>
      <c r="G577" s="66"/>
      <c r="H577" s="18"/>
      <c r="I577" s="18"/>
      <c r="J577" s="18"/>
      <c r="K577" s="65"/>
      <c r="L577" s="66"/>
      <c r="M577" s="65"/>
      <c r="N577" s="66"/>
      <c r="O577" s="65"/>
      <c r="P577" s="18"/>
      <c r="Q577" s="18"/>
      <c r="R577" s="18"/>
      <c r="S577" s="18"/>
      <c r="T577" s="18"/>
      <c r="U577" s="18"/>
      <c r="V577" s="18"/>
      <c r="W577" s="18"/>
      <c r="X577" s="18"/>
      <c r="Y577" s="18"/>
    </row>
    <row r="578">
      <c r="A578" s="67"/>
      <c r="B578" s="66"/>
      <c r="C578" s="18"/>
      <c r="D578" s="18"/>
      <c r="E578" s="18"/>
      <c r="F578" s="65"/>
      <c r="G578" s="66"/>
      <c r="H578" s="18"/>
      <c r="I578" s="18"/>
      <c r="J578" s="18"/>
      <c r="K578" s="65"/>
      <c r="L578" s="66"/>
      <c r="M578" s="65"/>
      <c r="N578" s="66"/>
      <c r="O578" s="65"/>
      <c r="P578" s="18"/>
      <c r="Q578" s="18"/>
      <c r="R578" s="18"/>
      <c r="S578" s="18"/>
      <c r="T578" s="18"/>
      <c r="U578" s="18"/>
      <c r="V578" s="18"/>
      <c r="W578" s="18"/>
      <c r="X578" s="18"/>
      <c r="Y578" s="18"/>
    </row>
    <row r="579">
      <c r="A579" s="67"/>
      <c r="B579" s="66"/>
      <c r="C579" s="18"/>
      <c r="D579" s="18"/>
      <c r="E579" s="18"/>
      <c r="F579" s="65"/>
      <c r="G579" s="66"/>
      <c r="H579" s="18"/>
      <c r="I579" s="18"/>
      <c r="J579" s="18"/>
      <c r="K579" s="65"/>
      <c r="L579" s="66"/>
      <c r="M579" s="65"/>
      <c r="N579" s="66"/>
      <c r="O579" s="65"/>
      <c r="P579" s="18"/>
      <c r="Q579" s="18"/>
      <c r="R579" s="18"/>
      <c r="S579" s="18"/>
      <c r="T579" s="18"/>
      <c r="U579" s="18"/>
      <c r="V579" s="18"/>
      <c r="W579" s="18"/>
      <c r="X579" s="18"/>
      <c r="Y579" s="18"/>
    </row>
    <row r="580">
      <c r="A580" s="67"/>
      <c r="B580" s="66"/>
      <c r="C580" s="18"/>
      <c r="D580" s="18"/>
      <c r="E580" s="18"/>
      <c r="F580" s="65"/>
      <c r="G580" s="66"/>
      <c r="H580" s="18"/>
      <c r="I580" s="18"/>
      <c r="J580" s="18"/>
      <c r="K580" s="65"/>
      <c r="L580" s="66"/>
      <c r="M580" s="65"/>
      <c r="N580" s="66"/>
      <c r="O580" s="65"/>
      <c r="P580" s="18"/>
      <c r="Q580" s="18"/>
      <c r="R580" s="18"/>
      <c r="S580" s="18"/>
      <c r="T580" s="18"/>
      <c r="U580" s="18"/>
      <c r="V580" s="18"/>
      <c r="W580" s="18"/>
      <c r="X580" s="18"/>
      <c r="Y580" s="18"/>
    </row>
    <row r="581">
      <c r="A581" s="67"/>
      <c r="B581" s="66"/>
      <c r="C581" s="18"/>
      <c r="D581" s="18"/>
      <c r="E581" s="18"/>
      <c r="F581" s="65"/>
      <c r="G581" s="66"/>
      <c r="H581" s="18"/>
      <c r="I581" s="18"/>
      <c r="J581" s="18"/>
      <c r="K581" s="65"/>
      <c r="L581" s="66"/>
      <c r="M581" s="65"/>
      <c r="N581" s="66"/>
      <c r="O581" s="65"/>
      <c r="P581" s="18"/>
      <c r="Q581" s="18"/>
      <c r="R581" s="18"/>
      <c r="S581" s="18"/>
      <c r="T581" s="18"/>
      <c r="U581" s="18"/>
      <c r="V581" s="18"/>
      <c r="W581" s="18"/>
      <c r="X581" s="18"/>
      <c r="Y581" s="18"/>
    </row>
    <row r="582">
      <c r="A582" s="67"/>
      <c r="B582" s="66"/>
      <c r="C582" s="18"/>
      <c r="D582" s="18"/>
      <c r="E582" s="18"/>
      <c r="F582" s="65"/>
      <c r="G582" s="66"/>
      <c r="H582" s="18"/>
      <c r="I582" s="18"/>
      <c r="J582" s="18"/>
      <c r="K582" s="65"/>
      <c r="L582" s="66"/>
      <c r="M582" s="65"/>
      <c r="N582" s="66"/>
      <c r="O582" s="65"/>
      <c r="P582" s="18"/>
      <c r="Q582" s="18"/>
      <c r="R582" s="18"/>
      <c r="S582" s="18"/>
      <c r="T582" s="18"/>
      <c r="U582" s="18"/>
      <c r="V582" s="18"/>
      <c r="W582" s="18"/>
      <c r="X582" s="18"/>
      <c r="Y582" s="18"/>
    </row>
    <row r="583">
      <c r="A583" s="67"/>
      <c r="B583" s="66"/>
      <c r="C583" s="18"/>
      <c r="D583" s="18"/>
      <c r="E583" s="18"/>
      <c r="F583" s="65"/>
      <c r="G583" s="66"/>
      <c r="H583" s="18"/>
      <c r="I583" s="18"/>
      <c r="J583" s="18"/>
      <c r="K583" s="65"/>
      <c r="L583" s="66"/>
      <c r="M583" s="65"/>
      <c r="N583" s="66"/>
      <c r="O583" s="65"/>
      <c r="P583" s="18"/>
      <c r="Q583" s="18"/>
      <c r="R583" s="18"/>
      <c r="S583" s="18"/>
      <c r="T583" s="18"/>
      <c r="U583" s="18"/>
      <c r="V583" s="18"/>
      <c r="W583" s="18"/>
      <c r="X583" s="18"/>
      <c r="Y583" s="18"/>
    </row>
    <row r="584">
      <c r="A584" s="67"/>
      <c r="B584" s="66"/>
      <c r="C584" s="18"/>
      <c r="D584" s="18"/>
      <c r="E584" s="18"/>
      <c r="F584" s="65"/>
      <c r="G584" s="66"/>
      <c r="H584" s="18"/>
      <c r="I584" s="18"/>
      <c r="J584" s="18"/>
      <c r="K584" s="65"/>
      <c r="L584" s="66"/>
      <c r="M584" s="65"/>
      <c r="N584" s="66"/>
      <c r="O584" s="65"/>
      <c r="P584" s="18"/>
      <c r="Q584" s="18"/>
      <c r="R584" s="18"/>
      <c r="S584" s="18"/>
      <c r="T584" s="18"/>
      <c r="U584" s="18"/>
      <c r="V584" s="18"/>
      <c r="W584" s="18"/>
      <c r="X584" s="18"/>
      <c r="Y584" s="18"/>
    </row>
    <row r="585">
      <c r="A585" s="67"/>
      <c r="B585" s="66"/>
      <c r="C585" s="18"/>
      <c r="D585" s="18"/>
      <c r="E585" s="18"/>
      <c r="F585" s="65"/>
      <c r="G585" s="66"/>
      <c r="H585" s="18"/>
      <c r="I585" s="18"/>
      <c r="J585" s="18"/>
      <c r="K585" s="65"/>
      <c r="L585" s="66"/>
      <c r="M585" s="65"/>
      <c r="N585" s="66"/>
      <c r="O585" s="65"/>
      <c r="P585" s="18"/>
      <c r="Q585" s="18"/>
      <c r="R585" s="18"/>
      <c r="S585" s="18"/>
      <c r="T585" s="18"/>
      <c r="U585" s="18"/>
      <c r="V585" s="18"/>
      <c r="W585" s="18"/>
      <c r="X585" s="18"/>
      <c r="Y585" s="18"/>
    </row>
    <row r="586">
      <c r="A586" s="67"/>
      <c r="B586" s="66"/>
      <c r="C586" s="18"/>
      <c r="D586" s="18"/>
      <c r="E586" s="18"/>
      <c r="F586" s="65"/>
      <c r="G586" s="66"/>
      <c r="H586" s="18"/>
      <c r="I586" s="18"/>
      <c r="J586" s="18"/>
      <c r="K586" s="65"/>
      <c r="L586" s="66"/>
      <c r="M586" s="65"/>
      <c r="N586" s="66"/>
      <c r="O586" s="65"/>
      <c r="P586" s="18"/>
      <c r="Q586" s="18"/>
      <c r="R586" s="18"/>
      <c r="S586" s="18"/>
      <c r="T586" s="18"/>
      <c r="U586" s="18"/>
      <c r="V586" s="18"/>
      <c r="W586" s="18"/>
      <c r="X586" s="18"/>
      <c r="Y586" s="18"/>
    </row>
    <row r="587">
      <c r="A587" s="67"/>
      <c r="B587" s="66"/>
      <c r="C587" s="18"/>
      <c r="D587" s="18"/>
      <c r="E587" s="18"/>
      <c r="F587" s="65"/>
      <c r="G587" s="66"/>
      <c r="H587" s="18"/>
      <c r="I587" s="18"/>
      <c r="J587" s="18"/>
      <c r="K587" s="65"/>
      <c r="L587" s="66"/>
      <c r="M587" s="65"/>
      <c r="N587" s="66"/>
      <c r="O587" s="65"/>
      <c r="P587" s="18"/>
      <c r="Q587" s="18"/>
      <c r="R587" s="18"/>
      <c r="S587" s="18"/>
      <c r="T587" s="18"/>
      <c r="U587" s="18"/>
      <c r="V587" s="18"/>
      <c r="W587" s="18"/>
      <c r="X587" s="18"/>
      <c r="Y587" s="18"/>
    </row>
    <row r="588">
      <c r="A588" s="67"/>
      <c r="B588" s="66"/>
      <c r="C588" s="18"/>
      <c r="D588" s="18"/>
      <c r="E588" s="18"/>
      <c r="F588" s="65"/>
      <c r="G588" s="66"/>
      <c r="H588" s="18"/>
      <c r="I588" s="18"/>
      <c r="J588" s="18"/>
      <c r="K588" s="65"/>
      <c r="L588" s="66"/>
      <c r="M588" s="65"/>
      <c r="N588" s="66"/>
      <c r="O588" s="65"/>
      <c r="P588" s="18"/>
      <c r="Q588" s="18"/>
      <c r="R588" s="18"/>
      <c r="S588" s="18"/>
      <c r="T588" s="18"/>
      <c r="U588" s="18"/>
      <c r="V588" s="18"/>
      <c r="W588" s="18"/>
      <c r="X588" s="18"/>
      <c r="Y588" s="18"/>
    </row>
    <row r="589">
      <c r="A589" s="67"/>
      <c r="B589" s="66"/>
      <c r="C589" s="18"/>
      <c r="D589" s="18"/>
      <c r="E589" s="18"/>
      <c r="F589" s="65"/>
      <c r="G589" s="66"/>
      <c r="H589" s="18"/>
      <c r="I589" s="18"/>
      <c r="J589" s="18"/>
      <c r="K589" s="65"/>
      <c r="L589" s="66"/>
      <c r="M589" s="65"/>
      <c r="N589" s="66"/>
      <c r="O589" s="65"/>
      <c r="P589" s="18"/>
      <c r="Q589" s="18"/>
      <c r="R589" s="18"/>
      <c r="S589" s="18"/>
      <c r="T589" s="18"/>
      <c r="U589" s="18"/>
      <c r="V589" s="18"/>
      <c r="W589" s="18"/>
      <c r="X589" s="18"/>
      <c r="Y589" s="18"/>
    </row>
    <row r="590">
      <c r="A590" s="67"/>
      <c r="B590" s="66"/>
      <c r="C590" s="18"/>
      <c r="D590" s="18"/>
      <c r="E590" s="18"/>
      <c r="F590" s="65"/>
      <c r="G590" s="66"/>
      <c r="H590" s="18"/>
      <c r="I590" s="18"/>
      <c r="J590" s="18"/>
      <c r="K590" s="65"/>
      <c r="L590" s="66"/>
      <c r="M590" s="65"/>
      <c r="N590" s="66"/>
      <c r="O590" s="65"/>
      <c r="P590" s="18"/>
      <c r="Q590" s="18"/>
      <c r="R590" s="18"/>
      <c r="S590" s="18"/>
      <c r="T590" s="18"/>
      <c r="U590" s="18"/>
      <c r="V590" s="18"/>
      <c r="W590" s="18"/>
      <c r="X590" s="18"/>
      <c r="Y590" s="18"/>
    </row>
    <row r="591">
      <c r="A591" s="67"/>
      <c r="B591" s="66"/>
      <c r="C591" s="18"/>
      <c r="D591" s="18"/>
      <c r="E591" s="18"/>
      <c r="F591" s="65"/>
      <c r="G591" s="66"/>
      <c r="H591" s="18"/>
      <c r="I591" s="18"/>
      <c r="J591" s="18"/>
      <c r="K591" s="65"/>
      <c r="L591" s="66"/>
      <c r="M591" s="65"/>
      <c r="N591" s="66"/>
      <c r="O591" s="65"/>
      <c r="P591" s="18"/>
      <c r="Q591" s="18"/>
      <c r="R591" s="18"/>
      <c r="S591" s="18"/>
      <c r="T591" s="18"/>
      <c r="U591" s="18"/>
      <c r="V591" s="18"/>
      <c r="W591" s="18"/>
      <c r="X591" s="18"/>
      <c r="Y591" s="18"/>
    </row>
    <row r="592">
      <c r="A592" s="67"/>
      <c r="B592" s="66"/>
      <c r="C592" s="18"/>
      <c r="D592" s="18"/>
      <c r="E592" s="18"/>
      <c r="F592" s="65"/>
      <c r="G592" s="66"/>
      <c r="H592" s="18"/>
      <c r="I592" s="18"/>
      <c r="J592" s="18"/>
      <c r="K592" s="65"/>
      <c r="L592" s="66"/>
      <c r="M592" s="65"/>
      <c r="N592" s="66"/>
      <c r="O592" s="65"/>
      <c r="P592" s="18"/>
      <c r="Q592" s="18"/>
      <c r="R592" s="18"/>
      <c r="S592" s="18"/>
      <c r="T592" s="18"/>
      <c r="U592" s="18"/>
      <c r="V592" s="18"/>
      <c r="W592" s="18"/>
      <c r="X592" s="18"/>
      <c r="Y592" s="18"/>
    </row>
    <row r="593">
      <c r="A593" s="67"/>
      <c r="B593" s="66"/>
      <c r="C593" s="18"/>
      <c r="D593" s="18"/>
      <c r="E593" s="18"/>
      <c r="F593" s="65"/>
      <c r="G593" s="66"/>
      <c r="H593" s="18"/>
      <c r="I593" s="18"/>
      <c r="J593" s="18"/>
      <c r="K593" s="65"/>
      <c r="L593" s="66"/>
      <c r="M593" s="65"/>
      <c r="N593" s="66"/>
      <c r="O593" s="65"/>
      <c r="P593" s="18"/>
      <c r="Q593" s="18"/>
      <c r="R593" s="18"/>
      <c r="S593" s="18"/>
      <c r="T593" s="18"/>
      <c r="U593" s="18"/>
      <c r="V593" s="18"/>
      <c r="W593" s="18"/>
      <c r="X593" s="18"/>
      <c r="Y593" s="18"/>
    </row>
    <row r="594">
      <c r="A594" s="67"/>
      <c r="B594" s="66"/>
      <c r="C594" s="18"/>
      <c r="D594" s="18"/>
      <c r="E594" s="18"/>
      <c r="F594" s="65"/>
      <c r="G594" s="66"/>
      <c r="H594" s="18"/>
      <c r="I594" s="18"/>
      <c r="J594" s="18"/>
      <c r="K594" s="65"/>
      <c r="L594" s="66"/>
      <c r="M594" s="65"/>
      <c r="N594" s="66"/>
      <c r="O594" s="65"/>
      <c r="P594" s="18"/>
      <c r="Q594" s="18"/>
      <c r="R594" s="18"/>
      <c r="S594" s="18"/>
      <c r="T594" s="18"/>
      <c r="U594" s="18"/>
      <c r="V594" s="18"/>
      <c r="W594" s="18"/>
      <c r="X594" s="18"/>
      <c r="Y594" s="18"/>
    </row>
    <row r="595">
      <c r="A595" s="67"/>
      <c r="B595" s="66"/>
      <c r="C595" s="18"/>
      <c r="D595" s="18"/>
      <c r="E595" s="18"/>
      <c r="F595" s="65"/>
      <c r="G595" s="66"/>
      <c r="H595" s="18"/>
      <c r="I595" s="18"/>
      <c r="J595" s="18"/>
      <c r="K595" s="65"/>
      <c r="L595" s="66"/>
      <c r="M595" s="65"/>
      <c r="N595" s="66"/>
      <c r="O595" s="65"/>
      <c r="P595" s="18"/>
      <c r="Q595" s="18"/>
      <c r="R595" s="18"/>
      <c r="S595" s="18"/>
      <c r="T595" s="18"/>
      <c r="U595" s="18"/>
      <c r="V595" s="18"/>
      <c r="W595" s="18"/>
      <c r="X595" s="18"/>
      <c r="Y595" s="18"/>
    </row>
    <row r="596">
      <c r="A596" s="67"/>
      <c r="B596" s="66"/>
      <c r="C596" s="18"/>
      <c r="D596" s="18"/>
      <c r="E596" s="18"/>
      <c r="F596" s="65"/>
      <c r="G596" s="66"/>
      <c r="H596" s="18"/>
      <c r="I596" s="18"/>
      <c r="J596" s="18"/>
      <c r="K596" s="65"/>
      <c r="L596" s="66"/>
      <c r="M596" s="65"/>
      <c r="N596" s="66"/>
      <c r="O596" s="65"/>
      <c r="P596" s="18"/>
      <c r="Q596" s="18"/>
      <c r="R596" s="18"/>
      <c r="S596" s="18"/>
      <c r="T596" s="18"/>
      <c r="U596" s="18"/>
      <c r="V596" s="18"/>
      <c r="W596" s="18"/>
      <c r="X596" s="18"/>
      <c r="Y596" s="18"/>
    </row>
    <row r="597">
      <c r="A597" s="67"/>
      <c r="B597" s="66"/>
      <c r="C597" s="18"/>
      <c r="D597" s="18"/>
      <c r="E597" s="18"/>
      <c r="F597" s="65"/>
      <c r="G597" s="66"/>
      <c r="H597" s="18"/>
      <c r="I597" s="18"/>
      <c r="J597" s="18"/>
      <c r="K597" s="65"/>
      <c r="L597" s="66"/>
      <c r="M597" s="65"/>
      <c r="N597" s="66"/>
      <c r="O597" s="65"/>
      <c r="P597" s="18"/>
      <c r="Q597" s="18"/>
      <c r="R597" s="18"/>
      <c r="S597" s="18"/>
      <c r="T597" s="18"/>
      <c r="U597" s="18"/>
      <c r="V597" s="18"/>
      <c r="W597" s="18"/>
      <c r="X597" s="18"/>
      <c r="Y597" s="18"/>
    </row>
    <row r="598">
      <c r="A598" s="67"/>
      <c r="B598" s="66"/>
      <c r="C598" s="18"/>
      <c r="D598" s="18"/>
      <c r="E598" s="18"/>
      <c r="F598" s="65"/>
      <c r="G598" s="66"/>
      <c r="H598" s="18"/>
      <c r="I598" s="18"/>
      <c r="J598" s="18"/>
      <c r="K598" s="65"/>
      <c r="L598" s="66"/>
      <c r="M598" s="65"/>
      <c r="N598" s="66"/>
      <c r="O598" s="65"/>
      <c r="P598" s="18"/>
      <c r="Q598" s="18"/>
      <c r="R598" s="18"/>
      <c r="S598" s="18"/>
      <c r="T598" s="18"/>
      <c r="U598" s="18"/>
      <c r="V598" s="18"/>
      <c r="W598" s="18"/>
      <c r="X598" s="18"/>
      <c r="Y598" s="18"/>
    </row>
    <row r="599">
      <c r="A599" s="67"/>
      <c r="B599" s="66"/>
      <c r="C599" s="18"/>
      <c r="D599" s="18"/>
      <c r="E599" s="18"/>
      <c r="F599" s="65"/>
      <c r="G599" s="66"/>
      <c r="H599" s="18"/>
      <c r="I599" s="18"/>
      <c r="J599" s="18"/>
      <c r="K599" s="65"/>
      <c r="L599" s="66"/>
      <c r="M599" s="65"/>
      <c r="N599" s="66"/>
      <c r="O599" s="65"/>
      <c r="P599" s="18"/>
      <c r="Q599" s="18"/>
      <c r="R599" s="18"/>
      <c r="S599" s="18"/>
      <c r="T599" s="18"/>
      <c r="U599" s="18"/>
      <c r="V599" s="18"/>
      <c r="W599" s="18"/>
      <c r="X599" s="18"/>
      <c r="Y599" s="18"/>
    </row>
    <row r="600">
      <c r="A600" s="67"/>
      <c r="B600" s="66"/>
      <c r="C600" s="18"/>
      <c r="D600" s="18"/>
      <c r="E600" s="18"/>
      <c r="F600" s="65"/>
      <c r="G600" s="66"/>
      <c r="H600" s="18"/>
      <c r="I600" s="18"/>
      <c r="J600" s="18"/>
      <c r="K600" s="65"/>
      <c r="L600" s="66"/>
      <c r="M600" s="65"/>
      <c r="N600" s="66"/>
      <c r="O600" s="65"/>
      <c r="P600" s="18"/>
      <c r="Q600" s="18"/>
      <c r="R600" s="18"/>
      <c r="S600" s="18"/>
      <c r="T600" s="18"/>
      <c r="U600" s="18"/>
      <c r="V600" s="18"/>
      <c r="W600" s="18"/>
      <c r="X600" s="18"/>
      <c r="Y600" s="18"/>
    </row>
    <row r="601">
      <c r="A601" s="67"/>
      <c r="B601" s="66"/>
      <c r="C601" s="18"/>
      <c r="D601" s="18"/>
      <c r="E601" s="18"/>
      <c r="F601" s="65"/>
      <c r="G601" s="66"/>
      <c r="H601" s="18"/>
      <c r="I601" s="18"/>
      <c r="J601" s="18"/>
      <c r="K601" s="65"/>
      <c r="L601" s="66"/>
      <c r="M601" s="65"/>
      <c r="N601" s="66"/>
      <c r="O601" s="65"/>
      <c r="P601" s="18"/>
      <c r="Q601" s="18"/>
      <c r="R601" s="18"/>
      <c r="S601" s="18"/>
      <c r="T601" s="18"/>
      <c r="U601" s="18"/>
      <c r="V601" s="18"/>
      <c r="W601" s="18"/>
      <c r="X601" s="18"/>
      <c r="Y601" s="18"/>
    </row>
    <row r="602">
      <c r="A602" s="67"/>
      <c r="B602" s="66"/>
      <c r="C602" s="18"/>
      <c r="D602" s="18"/>
      <c r="E602" s="18"/>
      <c r="F602" s="65"/>
      <c r="G602" s="66"/>
      <c r="H602" s="18"/>
      <c r="I602" s="18"/>
      <c r="J602" s="18"/>
      <c r="K602" s="65"/>
      <c r="L602" s="66"/>
      <c r="M602" s="65"/>
      <c r="N602" s="66"/>
      <c r="O602" s="65"/>
      <c r="P602" s="18"/>
      <c r="Q602" s="18"/>
      <c r="R602" s="18"/>
      <c r="S602" s="18"/>
      <c r="T602" s="18"/>
      <c r="U602" s="18"/>
      <c r="V602" s="18"/>
      <c r="W602" s="18"/>
      <c r="X602" s="18"/>
      <c r="Y602" s="18"/>
    </row>
    <row r="603">
      <c r="A603" s="67"/>
      <c r="B603" s="66"/>
      <c r="C603" s="18"/>
      <c r="D603" s="18"/>
      <c r="E603" s="18"/>
      <c r="F603" s="65"/>
      <c r="G603" s="66"/>
      <c r="H603" s="18"/>
      <c r="I603" s="18"/>
      <c r="J603" s="18"/>
      <c r="K603" s="65"/>
      <c r="L603" s="66"/>
      <c r="M603" s="65"/>
      <c r="N603" s="66"/>
      <c r="O603" s="65"/>
      <c r="P603" s="18"/>
      <c r="Q603" s="18"/>
      <c r="R603" s="18"/>
      <c r="S603" s="18"/>
      <c r="T603" s="18"/>
      <c r="U603" s="18"/>
      <c r="V603" s="18"/>
      <c r="W603" s="18"/>
      <c r="X603" s="18"/>
      <c r="Y603" s="18"/>
    </row>
    <row r="604">
      <c r="A604" s="67"/>
      <c r="B604" s="66"/>
      <c r="C604" s="18"/>
      <c r="D604" s="18"/>
      <c r="E604" s="18"/>
      <c r="F604" s="65"/>
      <c r="G604" s="66"/>
      <c r="H604" s="18"/>
      <c r="I604" s="18"/>
      <c r="J604" s="18"/>
      <c r="K604" s="65"/>
      <c r="L604" s="66"/>
      <c r="M604" s="65"/>
      <c r="N604" s="66"/>
      <c r="O604" s="65"/>
      <c r="P604" s="18"/>
      <c r="Q604" s="18"/>
      <c r="R604" s="18"/>
      <c r="S604" s="18"/>
      <c r="T604" s="18"/>
      <c r="U604" s="18"/>
      <c r="V604" s="18"/>
      <c r="W604" s="18"/>
      <c r="X604" s="18"/>
      <c r="Y604" s="18"/>
    </row>
    <row r="605">
      <c r="A605" s="67"/>
      <c r="B605" s="66"/>
      <c r="C605" s="18"/>
      <c r="D605" s="18"/>
      <c r="E605" s="18"/>
      <c r="F605" s="65"/>
      <c r="G605" s="66"/>
      <c r="H605" s="18"/>
      <c r="I605" s="18"/>
      <c r="J605" s="18"/>
      <c r="K605" s="65"/>
      <c r="L605" s="66"/>
      <c r="M605" s="65"/>
      <c r="N605" s="66"/>
      <c r="O605" s="65"/>
      <c r="P605" s="18"/>
      <c r="Q605" s="18"/>
      <c r="R605" s="18"/>
      <c r="S605" s="18"/>
      <c r="T605" s="18"/>
      <c r="U605" s="18"/>
      <c r="V605" s="18"/>
      <c r="W605" s="18"/>
      <c r="X605" s="18"/>
      <c r="Y605" s="18"/>
    </row>
    <row r="606">
      <c r="A606" s="67"/>
      <c r="B606" s="66"/>
      <c r="C606" s="18"/>
      <c r="D606" s="18"/>
      <c r="E606" s="18"/>
      <c r="F606" s="65"/>
      <c r="G606" s="66"/>
      <c r="H606" s="18"/>
      <c r="I606" s="18"/>
      <c r="J606" s="18"/>
      <c r="K606" s="65"/>
      <c r="L606" s="66"/>
      <c r="M606" s="65"/>
      <c r="N606" s="66"/>
      <c r="O606" s="65"/>
      <c r="P606" s="18"/>
      <c r="Q606" s="18"/>
      <c r="R606" s="18"/>
      <c r="S606" s="18"/>
      <c r="T606" s="18"/>
      <c r="U606" s="18"/>
      <c r="V606" s="18"/>
      <c r="W606" s="18"/>
      <c r="X606" s="18"/>
      <c r="Y606" s="18"/>
    </row>
    <row r="607">
      <c r="A607" s="67"/>
      <c r="B607" s="66"/>
      <c r="C607" s="18"/>
      <c r="D607" s="18"/>
      <c r="E607" s="18"/>
      <c r="F607" s="65"/>
      <c r="G607" s="66"/>
      <c r="H607" s="18"/>
      <c r="I607" s="18"/>
      <c r="J607" s="18"/>
      <c r="K607" s="65"/>
      <c r="L607" s="66"/>
      <c r="M607" s="65"/>
      <c r="N607" s="66"/>
      <c r="O607" s="65"/>
      <c r="P607" s="18"/>
      <c r="Q607" s="18"/>
      <c r="R607" s="18"/>
      <c r="S607" s="18"/>
      <c r="T607" s="18"/>
      <c r="U607" s="18"/>
      <c r="V607" s="18"/>
      <c r="W607" s="18"/>
      <c r="X607" s="18"/>
      <c r="Y607" s="18"/>
    </row>
    <row r="608">
      <c r="A608" s="67"/>
      <c r="B608" s="66"/>
      <c r="C608" s="18"/>
      <c r="D608" s="18"/>
      <c r="E608" s="18"/>
      <c r="F608" s="65"/>
      <c r="G608" s="66"/>
      <c r="H608" s="18"/>
      <c r="I608" s="18"/>
      <c r="J608" s="18"/>
      <c r="K608" s="65"/>
      <c r="L608" s="66"/>
      <c r="M608" s="65"/>
      <c r="N608" s="66"/>
      <c r="O608" s="65"/>
      <c r="P608" s="18"/>
      <c r="Q608" s="18"/>
      <c r="R608" s="18"/>
      <c r="S608" s="18"/>
      <c r="T608" s="18"/>
      <c r="U608" s="18"/>
      <c r="V608" s="18"/>
      <c r="W608" s="18"/>
      <c r="X608" s="18"/>
      <c r="Y608" s="18"/>
    </row>
    <row r="609">
      <c r="A609" s="67"/>
      <c r="B609" s="66"/>
      <c r="C609" s="18"/>
      <c r="D609" s="18"/>
      <c r="E609" s="18"/>
      <c r="F609" s="65"/>
      <c r="G609" s="66"/>
      <c r="H609" s="18"/>
      <c r="I609" s="18"/>
      <c r="J609" s="18"/>
      <c r="K609" s="65"/>
      <c r="L609" s="66"/>
      <c r="M609" s="65"/>
      <c r="N609" s="66"/>
      <c r="O609" s="65"/>
      <c r="P609" s="18"/>
      <c r="Q609" s="18"/>
      <c r="R609" s="18"/>
      <c r="S609" s="18"/>
      <c r="T609" s="18"/>
      <c r="U609" s="18"/>
      <c r="V609" s="18"/>
      <c r="W609" s="18"/>
      <c r="X609" s="18"/>
      <c r="Y609" s="18"/>
    </row>
    <row r="610">
      <c r="A610" s="67"/>
      <c r="B610" s="66"/>
      <c r="C610" s="18"/>
      <c r="D610" s="18"/>
      <c r="E610" s="18"/>
      <c r="F610" s="65"/>
      <c r="G610" s="66"/>
      <c r="H610" s="18"/>
      <c r="I610" s="18"/>
      <c r="J610" s="18"/>
      <c r="K610" s="65"/>
      <c r="L610" s="66"/>
      <c r="M610" s="65"/>
      <c r="N610" s="66"/>
      <c r="O610" s="65"/>
      <c r="P610" s="18"/>
      <c r="Q610" s="18"/>
      <c r="R610" s="18"/>
      <c r="S610" s="18"/>
      <c r="T610" s="18"/>
      <c r="U610" s="18"/>
      <c r="V610" s="18"/>
      <c r="W610" s="18"/>
      <c r="X610" s="18"/>
      <c r="Y610" s="18"/>
    </row>
    <row r="611">
      <c r="A611" s="67"/>
      <c r="B611" s="66"/>
      <c r="C611" s="18"/>
      <c r="D611" s="18"/>
      <c r="E611" s="18"/>
      <c r="F611" s="65"/>
      <c r="G611" s="66"/>
      <c r="H611" s="18"/>
      <c r="I611" s="18"/>
      <c r="J611" s="18"/>
      <c r="K611" s="65"/>
      <c r="L611" s="66"/>
      <c r="M611" s="65"/>
      <c r="N611" s="66"/>
      <c r="O611" s="65"/>
      <c r="P611" s="18"/>
      <c r="Q611" s="18"/>
      <c r="R611" s="18"/>
      <c r="S611" s="18"/>
      <c r="T611" s="18"/>
      <c r="U611" s="18"/>
      <c r="V611" s="18"/>
      <c r="W611" s="18"/>
      <c r="X611" s="18"/>
      <c r="Y611" s="18"/>
    </row>
    <row r="612">
      <c r="A612" s="67"/>
      <c r="B612" s="66"/>
      <c r="C612" s="18"/>
      <c r="D612" s="18"/>
      <c r="E612" s="18"/>
      <c r="F612" s="65"/>
      <c r="G612" s="66"/>
      <c r="H612" s="18"/>
      <c r="I612" s="18"/>
      <c r="J612" s="18"/>
      <c r="K612" s="65"/>
      <c r="L612" s="66"/>
      <c r="M612" s="65"/>
      <c r="N612" s="66"/>
      <c r="O612" s="65"/>
      <c r="P612" s="18"/>
      <c r="Q612" s="18"/>
      <c r="R612" s="18"/>
      <c r="S612" s="18"/>
      <c r="T612" s="18"/>
      <c r="U612" s="18"/>
      <c r="V612" s="18"/>
      <c r="W612" s="18"/>
      <c r="X612" s="18"/>
      <c r="Y612" s="18"/>
    </row>
    <row r="613">
      <c r="A613" s="67"/>
      <c r="B613" s="66"/>
      <c r="C613" s="18"/>
      <c r="D613" s="18"/>
      <c r="E613" s="18"/>
      <c r="F613" s="65"/>
      <c r="G613" s="66"/>
      <c r="H613" s="18"/>
      <c r="I613" s="18"/>
      <c r="J613" s="18"/>
      <c r="K613" s="65"/>
      <c r="L613" s="66"/>
      <c r="M613" s="65"/>
      <c r="N613" s="66"/>
      <c r="O613" s="65"/>
      <c r="P613" s="18"/>
      <c r="Q613" s="18"/>
      <c r="R613" s="18"/>
      <c r="S613" s="18"/>
      <c r="T613" s="18"/>
      <c r="U613" s="18"/>
      <c r="V613" s="18"/>
      <c r="W613" s="18"/>
      <c r="X613" s="18"/>
      <c r="Y613" s="18"/>
    </row>
    <row r="614">
      <c r="A614" s="67"/>
      <c r="B614" s="66"/>
      <c r="C614" s="18"/>
      <c r="D614" s="18"/>
      <c r="E614" s="18"/>
      <c r="F614" s="65"/>
      <c r="G614" s="66"/>
      <c r="H614" s="18"/>
      <c r="I614" s="18"/>
      <c r="J614" s="18"/>
      <c r="K614" s="65"/>
      <c r="L614" s="66"/>
      <c r="M614" s="65"/>
      <c r="N614" s="66"/>
      <c r="O614" s="65"/>
      <c r="P614" s="18"/>
      <c r="Q614" s="18"/>
      <c r="R614" s="18"/>
      <c r="S614" s="18"/>
      <c r="T614" s="18"/>
      <c r="U614" s="18"/>
      <c r="V614" s="18"/>
      <c r="W614" s="18"/>
      <c r="X614" s="18"/>
      <c r="Y614" s="18"/>
    </row>
    <row r="615">
      <c r="A615" s="67"/>
      <c r="B615" s="66"/>
      <c r="C615" s="18"/>
      <c r="D615" s="18"/>
      <c r="E615" s="18"/>
      <c r="F615" s="65"/>
      <c r="G615" s="66"/>
      <c r="H615" s="18"/>
      <c r="I615" s="18"/>
      <c r="J615" s="18"/>
      <c r="K615" s="65"/>
      <c r="L615" s="66"/>
      <c r="M615" s="65"/>
      <c r="N615" s="66"/>
      <c r="O615" s="65"/>
      <c r="P615" s="18"/>
      <c r="Q615" s="18"/>
      <c r="R615" s="18"/>
      <c r="S615" s="18"/>
      <c r="T615" s="18"/>
      <c r="U615" s="18"/>
      <c r="V615" s="18"/>
      <c r="W615" s="18"/>
      <c r="X615" s="18"/>
      <c r="Y615" s="18"/>
    </row>
    <row r="616">
      <c r="A616" s="67"/>
      <c r="B616" s="66"/>
      <c r="C616" s="18"/>
      <c r="D616" s="18"/>
      <c r="E616" s="18"/>
      <c r="F616" s="65"/>
      <c r="G616" s="66"/>
      <c r="H616" s="18"/>
      <c r="I616" s="18"/>
      <c r="J616" s="18"/>
      <c r="K616" s="65"/>
      <c r="L616" s="66"/>
      <c r="M616" s="65"/>
      <c r="N616" s="66"/>
      <c r="O616" s="65"/>
      <c r="P616" s="18"/>
      <c r="Q616" s="18"/>
      <c r="R616" s="18"/>
      <c r="S616" s="18"/>
      <c r="T616" s="18"/>
      <c r="U616" s="18"/>
      <c r="V616" s="18"/>
      <c r="W616" s="18"/>
      <c r="X616" s="18"/>
      <c r="Y616" s="18"/>
    </row>
    <row r="617">
      <c r="A617" s="67"/>
      <c r="B617" s="66"/>
      <c r="C617" s="18"/>
      <c r="D617" s="18"/>
      <c r="E617" s="18"/>
      <c r="F617" s="65"/>
      <c r="G617" s="66"/>
      <c r="H617" s="18"/>
      <c r="I617" s="18"/>
      <c r="J617" s="18"/>
      <c r="K617" s="65"/>
      <c r="L617" s="66"/>
      <c r="M617" s="65"/>
      <c r="N617" s="66"/>
      <c r="O617" s="65"/>
      <c r="P617" s="18"/>
      <c r="Q617" s="18"/>
      <c r="R617" s="18"/>
      <c r="S617" s="18"/>
      <c r="T617" s="18"/>
      <c r="U617" s="18"/>
      <c r="V617" s="18"/>
      <c r="W617" s="18"/>
      <c r="X617" s="18"/>
      <c r="Y617" s="18"/>
    </row>
    <row r="618">
      <c r="A618" s="67"/>
      <c r="B618" s="66"/>
      <c r="C618" s="18"/>
      <c r="D618" s="18"/>
      <c r="E618" s="18"/>
      <c r="F618" s="65"/>
      <c r="G618" s="66"/>
      <c r="H618" s="18"/>
      <c r="I618" s="18"/>
      <c r="J618" s="18"/>
      <c r="K618" s="65"/>
      <c r="L618" s="66"/>
      <c r="M618" s="65"/>
      <c r="N618" s="66"/>
      <c r="O618" s="65"/>
      <c r="P618" s="18"/>
      <c r="Q618" s="18"/>
      <c r="R618" s="18"/>
      <c r="S618" s="18"/>
      <c r="T618" s="18"/>
      <c r="U618" s="18"/>
      <c r="V618" s="18"/>
      <c r="W618" s="18"/>
      <c r="X618" s="18"/>
      <c r="Y618" s="18"/>
    </row>
    <row r="619">
      <c r="A619" s="67"/>
      <c r="B619" s="66"/>
      <c r="C619" s="18"/>
      <c r="D619" s="18"/>
      <c r="E619" s="18"/>
      <c r="F619" s="65"/>
      <c r="G619" s="66"/>
      <c r="H619" s="18"/>
      <c r="I619" s="18"/>
      <c r="J619" s="18"/>
      <c r="K619" s="65"/>
      <c r="L619" s="66"/>
      <c r="M619" s="65"/>
      <c r="N619" s="66"/>
      <c r="O619" s="65"/>
      <c r="P619" s="18"/>
      <c r="Q619" s="18"/>
      <c r="R619" s="18"/>
      <c r="S619" s="18"/>
      <c r="T619" s="18"/>
      <c r="U619" s="18"/>
      <c r="V619" s="18"/>
      <c r="W619" s="18"/>
      <c r="X619" s="18"/>
      <c r="Y619" s="18"/>
    </row>
    <row r="620">
      <c r="A620" s="67"/>
      <c r="B620" s="66"/>
      <c r="C620" s="18"/>
      <c r="D620" s="18"/>
      <c r="E620" s="18"/>
      <c r="F620" s="65"/>
      <c r="G620" s="66"/>
      <c r="H620" s="18"/>
      <c r="I620" s="18"/>
      <c r="J620" s="18"/>
      <c r="K620" s="65"/>
      <c r="L620" s="66"/>
      <c r="M620" s="65"/>
      <c r="N620" s="66"/>
      <c r="O620" s="65"/>
      <c r="P620" s="18"/>
      <c r="Q620" s="18"/>
      <c r="R620" s="18"/>
      <c r="S620" s="18"/>
      <c r="T620" s="18"/>
      <c r="U620" s="18"/>
      <c r="V620" s="18"/>
      <c r="W620" s="18"/>
      <c r="X620" s="18"/>
      <c r="Y620" s="18"/>
    </row>
    <row r="621">
      <c r="A621" s="67"/>
      <c r="B621" s="66"/>
      <c r="C621" s="18"/>
      <c r="D621" s="18"/>
      <c r="E621" s="18"/>
      <c r="F621" s="65"/>
      <c r="G621" s="66"/>
      <c r="H621" s="18"/>
      <c r="I621" s="18"/>
      <c r="J621" s="18"/>
      <c r="K621" s="65"/>
      <c r="L621" s="66"/>
      <c r="M621" s="65"/>
      <c r="N621" s="66"/>
      <c r="O621" s="65"/>
      <c r="P621" s="18"/>
      <c r="Q621" s="18"/>
      <c r="R621" s="18"/>
      <c r="S621" s="18"/>
      <c r="T621" s="18"/>
      <c r="U621" s="18"/>
      <c r="V621" s="18"/>
      <c r="W621" s="18"/>
      <c r="X621" s="18"/>
      <c r="Y621" s="18"/>
    </row>
    <row r="622">
      <c r="A622" s="67"/>
      <c r="B622" s="66"/>
      <c r="C622" s="18"/>
      <c r="D622" s="18"/>
      <c r="E622" s="18"/>
      <c r="F622" s="65"/>
      <c r="G622" s="66"/>
      <c r="H622" s="18"/>
      <c r="I622" s="18"/>
      <c r="J622" s="18"/>
      <c r="K622" s="65"/>
      <c r="L622" s="66"/>
      <c r="M622" s="65"/>
      <c r="N622" s="66"/>
      <c r="O622" s="65"/>
      <c r="P622" s="18"/>
      <c r="Q622" s="18"/>
      <c r="R622" s="18"/>
      <c r="S622" s="18"/>
      <c r="T622" s="18"/>
      <c r="U622" s="18"/>
      <c r="V622" s="18"/>
      <c r="W622" s="18"/>
      <c r="X622" s="18"/>
      <c r="Y622" s="18"/>
    </row>
    <row r="623">
      <c r="A623" s="67"/>
      <c r="B623" s="66"/>
      <c r="C623" s="18"/>
      <c r="D623" s="18"/>
      <c r="E623" s="18"/>
      <c r="F623" s="65"/>
      <c r="G623" s="66"/>
      <c r="H623" s="18"/>
      <c r="I623" s="18"/>
      <c r="J623" s="18"/>
      <c r="K623" s="65"/>
      <c r="L623" s="66"/>
      <c r="M623" s="65"/>
      <c r="N623" s="66"/>
      <c r="O623" s="65"/>
      <c r="P623" s="18"/>
      <c r="Q623" s="18"/>
      <c r="R623" s="18"/>
      <c r="S623" s="18"/>
      <c r="T623" s="18"/>
      <c r="U623" s="18"/>
      <c r="V623" s="18"/>
      <c r="W623" s="18"/>
      <c r="X623" s="18"/>
      <c r="Y623" s="18"/>
    </row>
    <row r="624">
      <c r="A624" s="67"/>
      <c r="B624" s="66"/>
      <c r="C624" s="18"/>
      <c r="D624" s="18"/>
      <c r="E624" s="18"/>
      <c r="F624" s="65"/>
      <c r="G624" s="66"/>
      <c r="H624" s="18"/>
      <c r="I624" s="18"/>
      <c r="J624" s="18"/>
      <c r="K624" s="65"/>
      <c r="L624" s="66"/>
      <c r="M624" s="65"/>
      <c r="N624" s="66"/>
      <c r="O624" s="65"/>
      <c r="P624" s="18"/>
      <c r="Q624" s="18"/>
      <c r="R624" s="18"/>
      <c r="S624" s="18"/>
      <c r="T624" s="18"/>
      <c r="U624" s="18"/>
      <c r="V624" s="18"/>
      <c r="W624" s="18"/>
      <c r="X624" s="18"/>
      <c r="Y624" s="18"/>
    </row>
    <row r="625">
      <c r="A625" s="67"/>
      <c r="B625" s="66"/>
      <c r="C625" s="18"/>
      <c r="D625" s="18"/>
      <c r="E625" s="18"/>
      <c r="F625" s="65"/>
      <c r="G625" s="66"/>
      <c r="H625" s="18"/>
      <c r="I625" s="18"/>
      <c r="J625" s="18"/>
      <c r="K625" s="65"/>
      <c r="L625" s="66"/>
      <c r="M625" s="65"/>
      <c r="N625" s="66"/>
      <c r="O625" s="65"/>
      <c r="P625" s="18"/>
      <c r="Q625" s="18"/>
      <c r="R625" s="18"/>
      <c r="S625" s="18"/>
      <c r="T625" s="18"/>
      <c r="U625" s="18"/>
      <c r="V625" s="18"/>
      <c r="W625" s="18"/>
      <c r="X625" s="18"/>
      <c r="Y625" s="18"/>
    </row>
    <row r="626">
      <c r="A626" s="67"/>
      <c r="B626" s="66"/>
      <c r="C626" s="18"/>
      <c r="D626" s="18"/>
      <c r="E626" s="18"/>
      <c r="F626" s="65"/>
      <c r="G626" s="66"/>
      <c r="H626" s="18"/>
      <c r="I626" s="18"/>
      <c r="J626" s="18"/>
      <c r="K626" s="65"/>
      <c r="L626" s="66"/>
      <c r="M626" s="65"/>
      <c r="N626" s="66"/>
      <c r="O626" s="65"/>
      <c r="P626" s="18"/>
      <c r="Q626" s="18"/>
      <c r="R626" s="18"/>
      <c r="S626" s="18"/>
      <c r="T626" s="18"/>
      <c r="U626" s="18"/>
      <c r="V626" s="18"/>
      <c r="W626" s="18"/>
      <c r="X626" s="18"/>
      <c r="Y626" s="18"/>
    </row>
    <row r="627">
      <c r="A627" s="67"/>
      <c r="B627" s="66"/>
      <c r="C627" s="18"/>
      <c r="D627" s="18"/>
      <c r="E627" s="18"/>
      <c r="F627" s="65"/>
      <c r="G627" s="66"/>
      <c r="H627" s="18"/>
      <c r="I627" s="18"/>
      <c r="J627" s="18"/>
      <c r="K627" s="65"/>
      <c r="L627" s="66"/>
      <c r="M627" s="65"/>
      <c r="N627" s="66"/>
      <c r="O627" s="65"/>
      <c r="P627" s="18"/>
      <c r="Q627" s="18"/>
      <c r="R627" s="18"/>
      <c r="S627" s="18"/>
      <c r="T627" s="18"/>
      <c r="U627" s="18"/>
      <c r="V627" s="18"/>
      <c r="W627" s="18"/>
      <c r="X627" s="18"/>
      <c r="Y627" s="18"/>
    </row>
    <row r="628">
      <c r="A628" s="67"/>
      <c r="B628" s="66"/>
      <c r="C628" s="18"/>
      <c r="D628" s="18"/>
      <c r="E628" s="18"/>
      <c r="F628" s="65"/>
      <c r="G628" s="66"/>
      <c r="H628" s="18"/>
      <c r="I628" s="18"/>
      <c r="J628" s="18"/>
      <c r="K628" s="65"/>
      <c r="L628" s="66"/>
      <c r="M628" s="65"/>
      <c r="N628" s="66"/>
      <c r="O628" s="65"/>
      <c r="P628" s="18"/>
      <c r="Q628" s="18"/>
      <c r="R628" s="18"/>
      <c r="S628" s="18"/>
      <c r="T628" s="18"/>
      <c r="U628" s="18"/>
      <c r="V628" s="18"/>
      <c r="W628" s="18"/>
      <c r="X628" s="18"/>
      <c r="Y628" s="18"/>
    </row>
    <row r="629">
      <c r="A629" s="67"/>
      <c r="B629" s="66"/>
      <c r="C629" s="18"/>
      <c r="D629" s="18"/>
      <c r="E629" s="18"/>
      <c r="F629" s="65"/>
      <c r="G629" s="66"/>
      <c r="H629" s="18"/>
      <c r="I629" s="18"/>
      <c r="J629" s="18"/>
      <c r="K629" s="65"/>
      <c r="L629" s="66"/>
      <c r="M629" s="65"/>
      <c r="N629" s="66"/>
      <c r="O629" s="65"/>
      <c r="P629" s="18"/>
      <c r="Q629" s="18"/>
      <c r="R629" s="18"/>
      <c r="S629" s="18"/>
      <c r="T629" s="18"/>
      <c r="U629" s="18"/>
      <c r="V629" s="18"/>
      <c r="W629" s="18"/>
      <c r="X629" s="18"/>
      <c r="Y629" s="18"/>
    </row>
    <row r="630">
      <c r="A630" s="67"/>
      <c r="B630" s="66"/>
      <c r="C630" s="18"/>
      <c r="D630" s="18"/>
      <c r="E630" s="18"/>
      <c r="F630" s="65"/>
      <c r="G630" s="66"/>
      <c r="H630" s="18"/>
      <c r="I630" s="18"/>
      <c r="J630" s="18"/>
      <c r="K630" s="65"/>
      <c r="L630" s="66"/>
      <c r="M630" s="65"/>
      <c r="N630" s="66"/>
      <c r="O630" s="65"/>
      <c r="P630" s="18"/>
      <c r="Q630" s="18"/>
      <c r="R630" s="18"/>
      <c r="S630" s="18"/>
      <c r="T630" s="18"/>
      <c r="U630" s="18"/>
      <c r="V630" s="18"/>
      <c r="W630" s="18"/>
      <c r="X630" s="18"/>
      <c r="Y630" s="18"/>
    </row>
    <row r="631">
      <c r="A631" s="67"/>
      <c r="B631" s="66"/>
      <c r="C631" s="18"/>
      <c r="D631" s="18"/>
      <c r="E631" s="18"/>
      <c r="F631" s="65"/>
      <c r="G631" s="66"/>
      <c r="H631" s="18"/>
      <c r="I631" s="18"/>
      <c r="J631" s="18"/>
      <c r="K631" s="65"/>
      <c r="L631" s="66"/>
      <c r="M631" s="65"/>
      <c r="N631" s="66"/>
      <c r="O631" s="65"/>
      <c r="P631" s="18"/>
      <c r="Q631" s="18"/>
      <c r="R631" s="18"/>
      <c r="S631" s="18"/>
      <c r="T631" s="18"/>
      <c r="U631" s="18"/>
      <c r="V631" s="18"/>
      <c r="W631" s="18"/>
      <c r="X631" s="18"/>
      <c r="Y631" s="18"/>
    </row>
    <row r="632">
      <c r="A632" s="67"/>
      <c r="B632" s="66"/>
      <c r="C632" s="18"/>
      <c r="D632" s="18"/>
      <c r="E632" s="18"/>
      <c r="F632" s="65"/>
      <c r="G632" s="66"/>
      <c r="H632" s="18"/>
      <c r="I632" s="18"/>
      <c r="J632" s="18"/>
      <c r="K632" s="65"/>
      <c r="L632" s="66"/>
      <c r="M632" s="65"/>
      <c r="N632" s="66"/>
      <c r="O632" s="65"/>
      <c r="P632" s="18"/>
      <c r="Q632" s="18"/>
      <c r="R632" s="18"/>
      <c r="S632" s="18"/>
      <c r="T632" s="18"/>
      <c r="U632" s="18"/>
      <c r="V632" s="18"/>
      <c r="W632" s="18"/>
      <c r="X632" s="18"/>
      <c r="Y632" s="18"/>
    </row>
    <row r="633">
      <c r="A633" s="67"/>
      <c r="B633" s="66"/>
      <c r="C633" s="18"/>
      <c r="D633" s="18"/>
      <c r="E633" s="18"/>
      <c r="F633" s="65"/>
      <c r="G633" s="66"/>
      <c r="H633" s="18"/>
      <c r="I633" s="18"/>
      <c r="J633" s="18"/>
      <c r="K633" s="65"/>
      <c r="L633" s="66"/>
      <c r="M633" s="65"/>
      <c r="N633" s="66"/>
      <c r="O633" s="65"/>
      <c r="P633" s="18"/>
      <c r="Q633" s="18"/>
      <c r="R633" s="18"/>
      <c r="S633" s="18"/>
      <c r="T633" s="18"/>
      <c r="U633" s="18"/>
      <c r="V633" s="18"/>
      <c r="W633" s="18"/>
      <c r="X633" s="18"/>
      <c r="Y633" s="18"/>
    </row>
    <row r="634">
      <c r="A634" s="67"/>
      <c r="B634" s="66"/>
      <c r="C634" s="18"/>
      <c r="D634" s="18"/>
      <c r="E634" s="18"/>
      <c r="F634" s="65"/>
      <c r="G634" s="66"/>
      <c r="H634" s="18"/>
      <c r="I634" s="18"/>
      <c r="J634" s="18"/>
      <c r="K634" s="65"/>
      <c r="L634" s="66"/>
      <c r="M634" s="65"/>
      <c r="N634" s="66"/>
      <c r="O634" s="65"/>
      <c r="P634" s="18"/>
      <c r="Q634" s="18"/>
      <c r="R634" s="18"/>
      <c r="S634" s="18"/>
      <c r="T634" s="18"/>
      <c r="U634" s="18"/>
      <c r="V634" s="18"/>
      <c r="W634" s="18"/>
      <c r="X634" s="18"/>
      <c r="Y634" s="18"/>
    </row>
    <row r="635">
      <c r="A635" s="67"/>
      <c r="B635" s="66"/>
      <c r="C635" s="18"/>
      <c r="D635" s="18"/>
      <c r="E635" s="18"/>
      <c r="F635" s="65"/>
      <c r="G635" s="66"/>
      <c r="H635" s="18"/>
      <c r="I635" s="18"/>
      <c r="J635" s="18"/>
      <c r="K635" s="65"/>
      <c r="L635" s="66"/>
      <c r="M635" s="65"/>
      <c r="N635" s="66"/>
      <c r="O635" s="65"/>
      <c r="P635" s="18"/>
      <c r="Q635" s="18"/>
      <c r="R635" s="18"/>
      <c r="S635" s="18"/>
      <c r="T635" s="18"/>
      <c r="U635" s="18"/>
      <c r="V635" s="18"/>
      <c r="W635" s="18"/>
      <c r="X635" s="18"/>
      <c r="Y635" s="18"/>
    </row>
    <row r="636">
      <c r="A636" s="67"/>
      <c r="B636" s="66"/>
      <c r="C636" s="18"/>
      <c r="D636" s="18"/>
      <c r="E636" s="18"/>
      <c r="F636" s="65"/>
      <c r="G636" s="66"/>
      <c r="H636" s="18"/>
      <c r="I636" s="18"/>
      <c r="J636" s="18"/>
      <c r="K636" s="65"/>
      <c r="L636" s="66"/>
      <c r="M636" s="65"/>
      <c r="N636" s="66"/>
      <c r="O636" s="65"/>
      <c r="P636" s="18"/>
      <c r="Q636" s="18"/>
      <c r="R636" s="18"/>
      <c r="S636" s="18"/>
      <c r="T636" s="18"/>
      <c r="U636" s="18"/>
      <c r="V636" s="18"/>
      <c r="W636" s="18"/>
      <c r="X636" s="18"/>
      <c r="Y636" s="18"/>
    </row>
    <row r="637">
      <c r="A637" s="67"/>
      <c r="B637" s="66"/>
      <c r="C637" s="18"/>
      <c r="D637" s="18"/>
      <c r="E637" s="18"/>
      <c r="F637" s="65"/>
      <c r="G637" s="66"/>
      <c r="H637" s="18"/>
      <c r="I637" s="18"/>
      <c r="J637" s="18"/>
      <c r="K637" s="65"/>
      <c r="L637" s="66"/>
      <c r="M637" s="65"/>
      <c r="N637" s="66"/>
      <c r="O637" s="65"/>
      <c r="P637" s="18"/>
      <c r="Q637" s="18"/>
      <c r="R637" s="18"/>
      <c r="S637" s="18"/>
      <c r="T637" s="18"/>
      <c r="U637" s="18"/>
      <c r="V637" s="18"/>
      <c r="W637" s="18"/>
      <c r="X637" s="18"/>
      <c r="Y637" s="18"/>
    </row>
    <row r="638">
      <c r="A638" s="67"/>
      <c r="B638" s="66"/>
      <c r="C638" s="18"/>
      <c r="D638" s="18"/>
      <c r="E638" s="18"/>
      <c r="F638" s="65"/>
      <c r="G638" s="66"/>
      <c r="H638" s="18"/>
      <c r="I638" s="18"/>
      <c r="J638" s="18"/>
      <c r="K638" s="65"/>
      <c r="L638" s="66"/>
      <c r="M638" s="65"/>
      <c r="N638" s="66"/>
      <c r="O638" s="65"/>
      <c r="P638" s="18"/>
      <c r="Q638" s="18"/>
      <c r="R638" s="18"/>
      <c r="S638" s="18"/>
      <c r="T638" s="18"/>
      <c r="U638" s="18"/>
      <c r="V638" s="18"/>
      <c r="W638" s="18"/>
      <c r="X638" s="18"/>
      <c r="Y638" s="18"/>
    </row>
    <row r="639">
      <c r="A639" s="67"/>
      <c r="B639" s="66"/>
      <c r="C639" s="18"/>
      <c r="D639" s="18"/>
      <c r="E639" s="18"/>
      <c r="F639" s="65"/>
      <c r="G639" s="66"/>
      <c r="H639" s="18"/>
      <c r="I639" s="18"/>
      <c r="J639" s="18"/>
      <c r="K639" s="65"/>
      <c r="L639" s="66"/>
      <c r="M639" s="65"/>
      <c r="N639" s="66"/>
      <c r="O639" s="65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>
      <c r="A640" s="67"/>
      <c r="B640" s="66"/>
      <c r="C640" s="18"/>
      <c r="D640" s="18"/>
      <c r="E640" s="18"/>
      <c r="F640" s="65"/>
      <c r="G640" s="66"/>
      <c r="H640" s="18"/>
      <c r="I640" s="18"/>
      <c r="J640" s="18"/>
      <c r="K640" s="65"/>
      <c r="L640" s="66"/>
      <c r="M640" s="65"/>
      <c r="N640" s="66"/>
      <c r="O640" s="65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>
      <c r="A641" s="67"/>
      <c r="B641" s="66"/>
      <c r="C641" s="18"/>
      <c r="D641" s="18"/>
      <c r="E641" s="18"/>
      <c r="F641" s="65"/>
      <c r="G641" s="66"/>
      <c r="H641" s="18"/>
      <c r="I641" s="18"/>
      <c r="J641" s="18"/>
      <c r="K641" s="65"/>
      <c r="L641" s="66"/>
      <c r="M641" s="65"/>
      <c r="N641" s="66"/>
      <c r="O641" s="65"/>
      <c r="P641" s="18"/>
      <c r="Q641" s="18"/>
      <c r="R641" s="18"/>
      <c r="S641" s="18"/>
      <c r="T641" s="18"/>
      <c r="U641" s="18"/>
      <c r="V641" s="18"/>
      <c r="W641" s="18"/>
      <c r="X641" s="18"/>
      <c r="Y641" s="18"/>
    </row>
    <row r="642">
      <c r="A642" s="67"/>
      <c r="B642" s="66"/>
      <c r="C642" s="18"/>
      <c r="D642" s="18"/>
      <c r="E642" s="18"/>
      <c r="F642" s="65"/>
      <c r="G642" s="66"/>
      <c r="H642" s="18"/>
      <c r="I642" s="18"/>
      <c r="J642" s="18"/>
      <c r="K642" s="65"/>
      <c r="L642" s="66"/>
      <c r="M642" s="65"/>
      <c r="N642" s="66"/>
      <c r="O642" s="65"/>
      <c r="P642" s="18"/>
      <c r="Q642" s="18"/>
      <c r="R642" s="18"/>
      <c r="S642" s="18"/>
      <c r="T642" s="18"/>
      <c r="U642" s="18"/>
      <c r="V642" s="18"/>
      <c r="W642" s="18"/>
      <c r="X642" s="18"/>
      <c r="Y642" s="18"/>
    </row>
    <row r="643">
      <c r="A643" s="67"/>
      <c r="B643" s="66"/>
      <c r="C643" s="18"/>
      <c r="D643" s="18"/>
      <c r="E643" s="18"/>
      <c r="F643" s="65"/>
      <c r="G643" s="66"/>
      <c r="H643" s="18"/>
      <c r="I643" s="18"/>
      <c r="J643" s="18"/>
      <c r="K643" s="65"/>
      <c r="L643" s="66"/>
      <c r="M643" s="65"/>
      <c r="N643" s="66"/>
      <c r="O643" s="65"/>
      <c r="P643" s="18"/>
      <c r="Q643" s="18"/>
      <c r="R643" s="18"/>
      <c r="S643" s="18"/>
      <c r="T643" s="18"/>
      <c r="U643" s="18"/>
      <c r="V643" s="18"/>
      <c r="W643" s="18"/>
      <c r="X643" s="18"/>
      <c r="Y643" s="18"/>
    </row>
    <row r="644">
      <c r="A644" s="67"/>
      <c r="B644" s="66"/>
      <c r="C644" s="18"/>
      <c r="D644" s="18"/>
      <c r="E644" s="18"/>
      <c r="F644" s="65"/>
      <c r="G644" s="66"/>
      <c r="H644" s="18"/>
      <c r="I644" s="18"/>
      <c r="J644" s="18"/>
      <c r="K644" s="65"/>
      <c r="L644" s="66"/>
      <c r="M644" s="65"/>
      <c r="N644" s="66"/>
      <c r="O644" s="65"/>
      <c r="P644" s="18"/>
      <c r="Q644" s="18"/>
      <c r="R644" s="18"/>
      <c r="S644" s="18"/>
      <c r="T644" s="18"/>
      <c r="U644" s="18"/>
      <c r="V644" s="18"/>
      <c r="W644" s="18"/>
      <c r="X644" s="18"/>
      <c r="Y644" s="18"/>
    </row>
    <row r="645">
      <c r="A645" s="67"/>
      <c r="B645" s="66"/>
      <c r="C645" s="18"/>
      <c r="D645" s="18"/>
      <c r="E645" s="18"/>
      <c r="F645" s="65"/>
      <c r="G645" s="66"/>
      <c r="H645" s="18"/>
      <c r="I645" s="18"/>
      <c r="J645" s="18"/>
      <c r="K645" s="65"/>
      <c r="L645" s="66"/>
      <c r="M645" s="65"/>
      <c r="N645" s="66"/>
      <c r="O645" s="65"/>
      <c r="P645" s="18"/>
      <c r="Q645" s="18"/>
      <c r="R645" s="18"/>
      <c r="S645" s="18"/>
      <c r="T645" s="18"/>
      <c r="U645" s="18"/>
      <c r="V645" s="18"/>
      <c r="W645" s="18"/>
      <c r="X645" s="18"/>
      <c r="Y645" s="18"/>
    </row>
    <row r="646">
      <c r="A646" s="67"/>
      <c r="B646" s="66"/>
      <c r="C646" s="18"/>
      <c r="D646" s="18"/>
      <c r="E646" s="18"/>
      <c r="F646" s="65"/>
      <c r="G646" s="66"/>
      <c r="H646" s="18"/>
      <c r="I646" s="18"/>
      <c r="J646" s="18"/>
      <c r="K646" s="65"/>
      <c r="L646" s="66"/>
      <c r="M646" s="65"/>
      <c r="N646" s="66"/>
      <c r="O646" s="65"/>
      <c r="P646" s="18"/>
      <c r="Q646" s="18"/>
      <c r="R646" s="18"/>
      <c r="S646" s="18"/>
      <c r="T646" s="18"/>
      <c r="U646" s="18"/>
      <c r="V646" s="18"/>
      <c r="W646" s="18"/>
      <c r="X646" s="18"/>
      <c r="Y646" s="18"/>
    </row>
    <row r="647">
      <c r="A647" s="67"/>
      <c r="B647" s="66"/>
      <c r="C647" s="18"/>
      <c r="D647" s="18"/>
      <c r="E647" s="18"/>
      <c r="F647" s="65"/>
      <c r="G647" s="66"/>
      <c r="H647" s="18"/>
      <c r="I647" s="18"/>
      <c r="J647" s="18"/>
      <c r="K647" s="65"/>
      <c r="L647" s="66"/>
      <c r="M647" s="65"/>
      <c r="N647" s="66"/>
      <c r="O647" s="65"/>
      <c r="P647" s="18"/>
      <c r="Q647" s="18"/>
      <c r="R647" s="18"/>
      <c r="S647" s="18"/>
      <c r="T647" s="18"/>
      <c r="U647" s="18"/>
      <c r="V647" s="18"/>
      <c r="W647" s="18"/>
      <c r="X647" s="18"/>
      <c r="Y647" s="18"/>
    </row>
    <row r="648">
      <c r="A648" s="67"/>
      <c r="B648" s="66"/>
      <c r="C648" s="18"/>
      <c r="D648" s="18"/>
      <c r="E648" s="18"/>
      <c r="F648" s="65"/>
      <c r="G648" s="66"/>
      <c r="H648" s="18"/>
      <c r="I648" s="18"/>
      <c r="J648" s="18"/>
      <c r="K648" s="65"/>
      <c r="L648" s="66"/>
      <c r="M648" s="65"/>
      <c r="N648" s="66"/>
      <c r="O648" s="65"/>
      <c r="P648" s="18"/>
      <c r="Q648" s="18"/>
      <c r="R648" s="18"/>
      <c r="S648" s="18"/>
      <c r="T648" s="18"/>
      <c r="U648" s="18"/>
      <c r="V648" s="18"/>
      <c r="W648" s="18"/>
      <c r="X648" s="18"/>
      <c r="Y648" s="18"/>
    </row>
    <row r="649">
      <c r="A649" s="67"/>
      <c r="B649" s="66"/>
      <c r="C649" s="18"/>
      <c r="D649" s="18"/>
      <c r="E649" s="18"/>
      <c r="F649" s="65"/>
      <c r="G649" s="66"/>
      <c r="H649" s="18"/>
      <c r="I649" s="18"/>
      <c r="J649" s="18"/>
      <c r="K649" s="65"/>
      <c r="L649" s="66"/>
      <c r="M649" s="65"/>
      <c r="N649" s="66"/>
      <c r="O649" s="65"/>
      <c r="P649" s="18"/>
      <c r="Q649" s="18"/>
      <c r="R649" s="18"/>
      <c r="S649" s="18"/>
      <c r="T649" s="18"/>
      <c r="U649" s="18"/>
      <c r="V649" s="18"/>
      <c r="W649" s="18"/>
      <c r="X649" s="18"/>
      <c r="Y649" s="18"/>
    </row>
    <row r="650">
      <c r="A650" s="67"/>
      <c r="B650" s="66"/>
      <c r="C650" s="18"/>
      <c r="D650" s="18"/>
      <c r="E650" s="18"/>
      <c r="F650" s="65"/>
      <c r="G650" s="66"/>
      <c r="H650" s="18"/>
      <c r="I650" s="18"/>
      <c r="J650" s="18"/>
      <c r="K650" s="65"/>
      <c r="L650" s="66"/>
      <c r="M650" s="65"/>
      <c r="N650" s="66"/>
      <c r="O650" s="65"/>
      <c r="P650" s="18"/>
      <c r="Q650" s="18"/>
      <c r="R650" s="18"/>
      <c r="S650" s="18"/>
      <c r="T650" s="18"/>
      <c r="U650" s="18"/>
      <c r="V650" s="18"/>
      <c r="W650" s="18"/>
      <c r="X650" s="18"/>
      <c r="Y650" s="18"/>
    </row>
    <row r="651">
      <c r="A651" s="67"/>
      <c r="B651" s="66"/>
      <c r="C651" s="18"/>
      <c r="D651" s="18"/>
      <c r="E651" s="18"/>
      <c r="F651" s="65"/>
      <c r="G651" s="66"/>
      <c r="H651" s="18"/>
      <c r="I651" s="18"/>
      <c r="J651" s="18"/>
      <c r="K651" s="65"/>
      <c r="L651" s="66"/>
      <c r="M651" s="65"/>
      <c r="N651" s="66"/>
      <c r="O651" s="65"/>
      <c r="P651" s="18"/>
      <c r="Q651" s="18"/>
      <c r="R651" s="18"/>
      <c r="S651" s="18"/>
      <c r="T651" s="18"/>
      <c r="U651" s="18"/>
      <c r="V651" s="18"/>
      <c r="W651" s="18"/>
      <c r="X651" s="18"/>
      <c r="Y651" s="18"/>
    </row>
    <row r="652">
      <c r="A652" s="67"/>
      <c r="B652" s="66"/>
      <c r="C652" s="18"/>
      <c r="D652" s="18"/>
      <c r="E652" s="18"/>
      <c r="F652" s="65"/>
      <c r="G652" s="66"/>
      <c r="H652" s="18"/>
      <c r="I652" s="18"/>
      <c r="J652" s="18"/>
      <c r="K652" s="65"/>
      <c r="L652" s="66"/>
      <c r="M652" s="65"/>
      <c r="N652" s="66"/>
      <c r="O652" s="65"/>
      <c r="P652" s="18"/>
      <c r="Q652" s="18"/>
      <c r="R652" s="18"/>
      <c r="S652" s="18"/>
      <c r="T652" s="18"/>
      <c r="U652" s="18"/>
      <c r="V652" s="18"/>
      <c r="W652" s="18"/>
      <c r="X652" s="18"/>
      <c r="Y652" s="18"/>
    </row>
    <row r="653">
      <c r="A653" s="67"/>
      <c r="B653" s="66"/>
      <c r="C653" s="18"/>
      <c r="D653" s="18"/>
      <c r="E653" s="18"/>
      <c r="F653" s="65"/>
      <c r="G653" s="66"/>
      <c r="H653" s="18"/>
      <c r="I653" s="18"/>
      <c r="J653" s="18"/>
      <c r="K653" s="65"/>
      <c r="L653" s="66"/>
      <c r="M653" s="65"/>
      <c r="N653" s="66"/>
      <c r="O653" s="65"/>
      <c r="P653" s="18"/>
      <c r="Q653" s="18"/>
      <c r="R653" s="18"/>
      <c r="S653" s="18"/>
      <c r="T653" s="18"/>
      <c r="U653" s="18"/>
      <c r="V653" s="18"/>
      <c r="W653" s="18"/>
      <c r="X653" s="18"/>
      <c r="Y653" s="18"/>
    </row>
    <row r="654">
      <c r="A654" s="67"/>
      <c r="B654" s="66"/>
      <c r="C654" s="18"/>
      <c r="D654" s="18"/>
      <c r="E654" s="18"/>
      <c r="F654" s="65"/>
      <c r="G654" s="66"/>
      <c r="H654" s="18"/>
      <c r="I654" s="18"/>
      <c r="J654" s="18"/>
      <c r="K654" s="65"/>
      <c r="L654" s="66"/>
      <c r="M654" s="65"/>
      <c r="N654" s="66"/>
      <c r="O654" s="65"/>
      <c r="P654" s="18"/>
      <c r="Q654" s="18"/>
      <c r="R654" s="18"/>
      <c r="S654" s="18"/>
      <c r="T654" s="18"/>
      <c r="U654" s="18"/>
      <c r="V654" s="18"/>
      <c r="W654" s="18"/>
      <c r="X654" s="18"/>
      <c r="Y654" s="18"/>
    </row>
    <row r="655">
      <c r="A655" s="67"/>
      <c r="B655" s="66"/>
      <c r="C655" s="18"/>
      <c r="D655" s="18"/>
      <c r="E655" s="18"/>
      <c r="F655" s="65"/>
      <c r="G655" s="66"/>
      <c r="H655" s="18"/>
      <c r="I655" s="18"/>
      <c r="J655" s="18"/>
      <c r="K655" s="65"/>
      <c r="L655" s="66"/>
      <c r="M655" s="65"/>
      <c r="N655" s="66"/>
      <c r="O655" s="65"/>
      <c r="P655" s="18"/>
      <c r="Q655" s="18"/>
      <c r="R655" s="18"/>
      <c r="S655" s="18"/>
      <c r="T655" s="18"/>
      <c r="U655" s="18"/>
      <c r="V655" s="18"/>
      <c r="W655" s="18"/>
      <c r="X655" s="18"/>
      <c r="Y655" s="18"/>
    </row>
    <row r="656">
      <c r="A656" s="67"/>
      <c r="B656" s="66"/>
      <c r="C656" s="18"/>
      <c r="D656" s="18"/>
      <c r="E656" s="18"/>
      <c r="F656" s="65"/>
      <c r="G656" s="66"/>
      <c r="H656" s="18"/>
      <c r="I656" s="18"/>
      <c r="J656" s="18"/>
      <c r="K656" s="65"/>
      <c r="L656" s="66"/>
      <c r="M656" s="65"/>
      <c r="N656" s="66"/>
      <c r="O656" s="65"/>
      <c r="P656" s="18"/>
      <c r="Q656" s="18"/>
      <c r="R656" s="18"/>
      <c r="S656" s="18"/>
      <c r="T656" s="18"/>
      <c r="U656" s="18"/>
      <c r="V656" s="18"/>
      <c r="W656" s="18"/>
      <c r="X656" s="18"/>
      <c r="Y656" s="18"/>
    </row>
    <row r="657">
      <c r="A657" s="67"/>
      <c r="B657" s="66"/>
      <c r="C657" s="18"/>
      <c r="D657" s="18"/>
      <c r="E657" s="18"/>
      <c r="F657" s="65"/>
      <c r="G657" s="66"/>
      <c r="H657" s="18"/>
      <c r="I657" s="18"/>
      <c r="J657" s="18"/>
      <c r="K657" s="65"/>
      <c r="L657" s="66"/>
      <c r="M657" s="65"/>
      <c r="N657" s="66"/>
      <c r="O657" s="65"/>
      <c r="P657" s="18"/>
      <c r="Q657" s="18"/>
      <c r="R657" s="18"/>
      <c r="S657" s="18"/>
      <c r="T657" s="18"/>
      <c r="U657" s="18"/>
      <c r="V657" s="18"/>
      <c r="W657" s="18"/>
      <c r="X657" s="18"/>
      <c r="Y657" s="18"/>
    </row>
    <row r="658">
      <c r="A658" s="67"/>
      <c r="B658" s="66"/>
      <c r="C658" s="18"/>
      <c r="D658" s="18"/>
      <c r="E658" s="18"/>
      <c r="F658" s="65"/>
      <c r="G658" s="66"/>
      <c r="H658" s="18"/>
      <c r="I658" s="18"/>
      <c r="J658" s="18"/>
      <c r="K658" s="65"/>
      <c r="L658" s="66"/>
      <c r="M658" s="65"/>
      <c r="N658" s="66"/>
      <c r="O658" s="65"/>
      <c r="P658" s="18"/>
      <c r="Q658" s="18"/>
      <c r="R658" s="18"/>
      <c r="S658" s="18"/>
      <c r="T658" s="18"/>
      <c r="U658" s="18"/>
      <c r="V658" s="18"/>
      <c r="W658" s="18"/>
      <c r="X658" s="18"/>
      <c r="Y658" s="18"/>
    </row>
    <row r="659">
      <c r="A659" s="67"/>
      <c r="B659" s="66"/>
      <c r="C659" s="18"/>
      <c r="D659" s="18"/>
      <c r="E659" s="18"/>
      <c r="F659" s="65"/>
      <c r="G659" s="66"/>
      <c r="H659" s="18"/>
      <c r="I659" s="18"/>
      <c r="J659" s="18"/>
      <c r="K659" s="65"/>
      <c r="L659" s="66"/>
      <c r="M659" s="65"/>
      <c r="N659" s="66"/>
      <c r="O659" s="65"/>
      <c r="P659" s="18"/>
      <c r="Q659" s="18"/>
      <c r="R659" s="18"/>
      <c r="S659" s="18"/>
      <c r="T659" s="18"/>
      <c r="U659" s="18"/>
      <c r="V659" s="18"/>
      <c r="W659" s="18"/>
      <c r="X659" s="18"/>
      <c r="Y659" s="18"/>
    </row>
    <row r="660">
      <c r="A660" s="67"/>
      <c r="B660" s="66"/>
      <c r="C660" s="18"/>
      <c r="D660" s="18"/>
      <c r="E660" s="18"/>
      <c r="F660" s="65"/>
      <c r="G660" s="66"/>
      <c r="H660" s="18"/>
      <c r="I660" s="18"/>
      <c r="J660" s="18"/>
      <c r="K660" s="65"/>
      <c r="L660" s="66"/>
      <c r="M660" s="65"/>
      <c r="N660" s="66"/>
      <c r="O660" s="65"/>
      <c r="P660" s="18"/>
      <c r="Q660" s="18"/>
      <c r="R660" s="18"/>
      <c r="S660" s="18"/>
      <c r="T660" s="18"/>
      <c r="U660" s="18"/>
      <c r="V660" s="18"/>
      <c r="W660" s="18"/>
      <c r="X660" s="18"/>
      <c r="Y660" s="18"/>
    </row>
    <row r="661">
      <c r="A661" s="67"/>
      <c r="B661" s="66"/>
      <c r="C661" s="18"/>
      <c r="D661" s="18"/>
      <c r="E661" s="18"/>
      <c r="F661" s="65"/>
      <c r="G661" s="66"/>
      <c r="H661" s="18"/>
      <c r="I661" s="18"/>
      <c r="J661" s="18"/>
      <c r="K661" s="65"/>
      <c r="L661" s="66"/>
      <c r="M661" s="65"/>
      <c r="N661" s="66"/>
      <c r="O661" s="65"/>
      <c r="P661" s="18"/>
      <c r="Q661" s="18"/>
      <c r="R661" s="18"/>
      <c r="S661" s="18"/>
      <c r="T661" s="18"/>
      <c r="U661" s="18"/>
      <c r="V661" s="18"/>
      <c r="W661" s="18"/>
      <c r="X661" s="18"/>
      <c r="Y661" s="18"/>
    </row>
    <row r="662">
      <c r="A662" s="67"/>
      <c r="B662" s="66"/>
      <c r="C662" s="18"/>
      <c r="D662" s="18"/>
      <c r="E662" s="18"/>
      <c r="F662" s="65"/>
      <c r="G662" s="66"/>
      <c r="H662" s="18"/>
      <c r="I662" s="18"/>
      <c r="J662" s="18"/>
      <c r="K662" s="65"/>
      <c r="L662" s="66"/>
      <c r="M662" s="65"/>
      <c r="N662" s="66"/>
      <c r="O662" s="65"/>
      <c r="P662" s="18"/>
      <c r="Q662" s="18"/>
      <c r="R662" s="18"/>
      <c r="S662" s="18"/>
      <c r="T662" s="18"/>
      <c r="U662" s="18"/>
      <c r="V662" s="18"/>
      <c r="W662" s="18"/>
      <c r="X662" s="18"/>
      <c r="Y662" s="18"/>
    </row>
    <row r="663">
      <c r="A663" s="67"/>
      <c r="B663" s="66"/>
      <c r="C663" s="18"/>
      <c r="D663" s="18"/>
      <c r="E663" s="18"/>
      <c r="F663" s="65"/>
      <c r="G663" s="66"/>
      <c r="H663" s="18"/>
      <c r="I663" s="18"/>
      <c r="J663" s="18"/>
      <c r="K663" s="65"/>
      <c r="L663" s="66"/>
      <c r="M663" s="65"/>
      <c r="N663" s="66"/>
      <c r="O663" s="65"/>
      <c r="P663" s="18"/>
      <c r="Q663" s="18"/>
      <c r="R663" s="18"/>
      <c r="S663" s="18"/>
      <c r="T663" s="18"/>
      <c r="U663" s="18"/>
      <c r="V663" s="18"/>
      <c r="W663" s="18"/>
      <c r="X663" s="18"/>
      <c r="Y663" s="18"/>
    </row>
    <row r="664">
      <c r="A664" s="67"/>
      <c r="B664" s="66"/>
      <c r="C664" s="18"/>
      <c r="D664" s="18"/>
      <c r="E664" s="18"/>
      <c r="F664" s="65"/>
      <c r="G664" s="66"/>
      <c r="H664" s="18"/>
      <c r="I664" s="18"/>
      <c r="J664" s="18"/>
      <c r="K664" s="65"/>
      <c r="L664" s="66"/>
      <c r="M664" s="65"/>
      <c r="N664" s="66"/>
      <c r="O664" s="65"/>
      <c r="P664" s="18"/>
      <c r="Q664" s="18"/>
      <c r="R664" s="18"/>
      <c r="S664" s="18"/>
      <c r="T664" s="18"/>
      <c r="U664" s="18"/>
      <c r="V664" s="18"/>
      <c r="W664" s="18"/>
      <c r="X664" s="18"/>
      <c r="Y664" s="18"/>
    </row>
    <row r="665">
      <c r="A665" s="67"/>
      <c r="B665" s="66"/>
      <c r="C665" s="18"/>
      <c r="D665" s="18"/>
      <c r="E665" s="18"/>
      <c r="F665" s="65"/>
      <c r="G665" s="66"/>
      <c r="H665" s="18"/>
      <c r="I665" s="18"/>
      <c r="J665" s="18"/>
      <c r="K665" s="65"/>
      <c r="L665" s="66"/>
      <c r="M665" s="65"/>
      <c r="N665" s="66"/>
      <c r="O665" s="65"/>
      <c r="P665" s="18"/>
      <c r="Q665" s="18"/>
      <c r="R665" s="18"/>
      <c r="S665" s="18"/>
      <c r="T665" s="18"/>
      <c r="U665" s="18"/>
      <c r="V665" s="18"/>
      <c r="W665" s="18"/>
      <c r="X665" s="18"/>
      <c r="Y665" s="18"/>
    </row>
    <row r="666">
      <c r="A666" s="67"/>
      <c r="B666" s="66"/>
      <c r="C666" s="18"/>
      <c r="D666" s="18"/>
      <c r="E666" s="18"/>
      <c r="F666" s="65"/>
      <c r="G666" s="66"/>
      <c r="H666" s="18"/>
      <c r="I666" s="18"/>
      <c r="J666" s="18"/>
      <c r="K666" s="65"/>
      <c r="L666" s="66"/>
      <c r="M666" s="65"/>
      <c r="N666" s="66"/>
      <c r="O666" s="65"/>
      <c r="P666" s="18"/>
      <c r="Q666" s="18"/>
      <c r="R666" s="18"/>
      <c r="S666" s="18"/>
      <c r="T666" s="18"/>
      <c r="U666" s="18"/>
      <c r="V666" s="18"/>
      <c r="W666" s="18"/>
      <c r="X666" s="18"/>
      <c r="Y666" s="18"/>
    </row>
    <row r="667">
      <c r="A667" s="67"/>
      <c r="B667" s="66"/>
      <c r="C667" s="18"/>
      <c r="D667" s="18"/>
      <c r="E667" s="18"/>
      <c r="F667" s="65"/>
      <c r="G667" s="66"/>
      <c r="H667" s="18"/>
      <c r="I667" s="18"/>
      <c r="J667" s="18"/>
      <c r="K667" s="65"/>
      <c r="L667" s="66"/>
      <c r="M667" s="65"/>
      <c r="N667" s="66"/>
      <c r="O667" s="65"/>
      <c r="P667" s="18"/>
      <c r="Q667" s="18"/>
      <c r="R667" s="18"/>
      <c r="S667" s="18"/>
      <c r="T667" s="18"/>
      <c r="U667" s="18"/>
      <c r="V667" s="18"/>
      <c r="W667" s="18"/>
      <c r="X667" s="18"/>
      <c r="Y667" s="18"/>
    </row>
    <row r="668">
      <c r="A668" s="67"/>
      <c r="B668" s="66"/>
      <c r="C668" s="18"/>
      <c r="D668" s="18"/>
      <c r="E668" s="18"/>
      <c r="F668" s="65"/>
      <c r="G668" s="66"/>
      <c r="H668" s="18"/>
      <c r="I668" s="18"/>
      <c r="J668" s="18"/>
      <c r="K668" s="65"/>
      <c r="L668" s="66"/>
      <c r="M668" s="65"/>
      <c r="N668" s="66"/>
      <c r="O668" s="65"/>
      <c r="P668" s="18"/>
      <c r="Q668" s="18"/>
      <c r="R668" s="18"/>
      <c r="S668" s="18"/>
      <c r="T668" s="18"/>
      <c r="U668" s="18"/>
      <c r="V668" s="18"/>
      <c r="W668" s="18"/>
      <c r="X668" s="18"/>
      <c r="Y668" s="18"/>
    </row>
    <row r="669">
      <c r="A669" s="67"/>
      <c r="B669" s="66"/>
      <c r="C669" s="18"/>
      <c r="D669" s="18"/>
      <c r="E669" s="18"/>
      <c r="F669" s="65"/>
      <c r="G669" s="66"/>
      <c r="H669" s="18"/>
      <c r="I669" s="18"/>
      <c r="J669" s="18"/>
      <c r="K669" s="65"/>
      <c r="L669" s="66"/>
      <c r="M669" s="65"/>
      <c r="N669" s="66"/>
      <c r="O669" s="65"/>
      <c r="P669" s="18"/>
      <c r="Q669" s="18"/>
      <c r="R669" s="18"/>
      <c r="S669" s="18"/>
      <c r="T669" s="18"/>
      <c r="U669" s="18"/>
      <c r="V669" s="18"/>
      <c r="W669" s="18"/>
      <c r="X669" s="18"/>
      <c r="Y669" s="18"/>
    </row>
    <row r="670">
      <c r="A670" s="67"/>
      <c r="B670" s="66"/>
      <c r="C670" s="18"/>
      <c r="D670" s="18"/>
      <c r="E670" s="18"/>
      <c r="F670" s="65"/>
      <c r="G670" s="66"/>
      <c r="H670" s="18"/>
      <c r="I670" s="18"/>
      <c r="J670" s="18"/>
      <c r="K670" s="65"/>
      <c r="L670" s="66"/>
      <c r="M670" s="65"/>
      <c r="N670" s="66"/>
      <c r="O670" s="65"/>
      <c r="P670" s="18"/>
      <c r="Q670" s="18"/>
      <c r="R670" s="18"/>
      <c r="S670" s="18"/>
      <c r="T670" s="18"/>
      <c r="U670" s="18"/>
      <c r="V670" s="18"/>
      <c r="W670" s="18"/>
      <c r="X670" s="18"/>
      <c r="Y670" s="18"/>
    </row>
    <row r="671">
      <c r="A671" s="67"/>
      <c r="B671" s="66"/>
      <c r="C671" s="18"/>
      <c r="D671" s="18"/>
      <c r="E671" s="18"/>
      <c r="F671" s="65"/>
      <c r="G671" s="66"/>
      <c r="H671" s="18"/>
      <c r="I671" s="18"/>
      <c r="J671" s="18"/>
      <c r="K671" s="65"/>
      <c r="L671" s="66"/>
      <c r="M671" s="65"/>
      <c r="N671" s="66"/>
      <c r="O671" s="65"/>
      <c r="P671" s="18"/>
      <c r="Q671" s="18"/>
      <c r="R671" s="18"/>
      <c r="S671" s="18"/>
      <c r="T671" s="18"/>
      <c r="U671" s="18"/>
      <c r="V671" s="18"/>
      <c r="W671" s="18"/>
      <c r="X671" s="18"/>
      <c r="Y671" s="18"/>
    </row>
    <row r="672">
      <c r="A672" s="67"/>
      <c r="B672" s="66"/>
      <c r="C672" s="18"/>
      <c r="D672" s="18"/>
      <c r="E672" s="18"/>
      <c r="F672" s="65"/>
      <c r="G672" s="66"/>
      <c r="H672" s="18"/>
      <c r="I672" s="18"/>
      <c r="J672" s="18"/>
      <c r="K672" s="65"/>
      <c r="L672" s="66"/>
      <c r="M672" s="65"/>
      <c r="N672" s="66"/>
      <c r="O672" s="65"/>
      <c r="P672" s="18"/>
      <c r="Q672" s="18"/>
      <c r="R672" s="18"/>
      <c r="S672" s="18"/>
      <c r="T672" s="18"/>
      <c r="U672" s="18"/>
      <c r="V672" s="18"/>
      <c r="W672" s="18"/>
      <c r="X672" s="18"/>
      <c r="Y672" s="18"/>
    </row>
    <row r="673">
      <c r="A673" s="67"/>
      <c r="B673" s="66"/>
      <c r="C673" s="18"/>
      <c r="D673" s="18"/>
      <c r="E673" s="18"/>
      <c r="F673" s="65"/>
      <c r="G673" s="66"/>
      <c r="H673" s="18"/>
      <c r="I673" s="18"/>
      <c r="J673" s="18"/>
      <c r="K673" s="65"/>
      <c r="L673" s="66"/>
      <c r="M673" s="65"/>
      <c r="N673" s="66"/>
      <c r="O673" s="65"/>
      <c r="P673" s="18"/>
      <c r="Q673" s="18"/>
      <c r="R673" s="18"/>
      <c r="S673" s="18"/>
      <c r="T673" s="18"/>
      <c r="U673" s="18"/>
      <c r="V673" s="18"/>
      <c r="W673" s="18"/>
      <c r="X673" s="18"/>
      <c r="Y673" s="18"/>
    </row>
    <row r="674">
      <c r="A674" s="67"/>
      <c r="B674" s="66"/>
      <c r="C674" s="18"/>
      <c r="D674" s="18"/>
      <c r="E674" s="18"/>
      <c r="F674" s="65"/>
      <c r="G674" s="66"/>
      <c r="H674" s="18"/>
      <c r="I674" s="18"/>
      <c r="J674" s="18"/>
      <c r="K674" s="65"/>
      <c r="L674" s="66"/>
      <c r="M674" s="65"/>
      <c r="N674" s="66"/>
      <c r="O674" s="65"/>
      <c r="P674" s="18"/>
      <c r="Q674" s="18"/>
      <c r="R674" s="18"/>
      <c r="S674" s="18"/>
      <c r="T674" s="18"/>
      <c r="U674" s="18"/>
      <c r="V674" s="18"/>
      <c r="W674" s="18"/>
      <c r="X674" s="18"/>
      <c r="Y674" s="18"/>
    </row>
    <row r="675">
      <c r="A675" s="67"/>
      <c r="B675" s="66"/>
      <c r="C675" s="18"/>
      <c r="D675" s="18"/>
      <c r="E675" s="18"/>
      <c r="F675" s="65"/>
      <c r="G675" s="66"/>
      <c r="H675" s="18"/>
      <c r="I675" s="18"/>
      <c r="J675" s="18"/>
      <c r="K675" s="65"/>
      <c r="L675" s="66"/>
      <c r="M675" s="65"/>
      <c r="N675" s="66"/>
      <c r="O675" s="65"/>
      <c r="P675" s="18"/>
      <c r="Q675" s="18"/>
      <c r="R675" s="18"/>
      <c r="S675" s="18"/>
      <c r="T675" s="18"/>
      <c r="U675" s="18"/>
      <c r="V675" s="18"/>
      <c r="W675" s="18"/>
      <c r="X675" s="18"/>
      <c r="Y675" s="18"/>
    </row>
    <row r="676">
      <c r="A676" s="67"/>
      <c r="B676" s="66"/>
      <c r="C676" s="18"/>
      <c r="D676" s="18"/>
      <c r="E676" s="18"/>
      <c r="F676" s="65"/>
      <c r="G676" s="66"/>
      <c r="H676" s="18"/>
      <c r="I676" s="18"/>
      <c r="J676" s="18"/>
      <c r="K676" s="65"/>
      <c r="L676" s="66"/>
      <c r="M676" s="65"/>
      <c r="N676" s="66"/>
      <c r="O676" s="65"/>
      <c r="P676" s="18"/>
      <c r="Q676" s="18"/>
      <c r="R676" s="18"/>
      <c r="S676" s="18"/>
      <c r="T676" s="18"/>
      <c r="U676" s="18"/>
      <c r="V676" s="18"/>
      <c r="W676" s="18"/>
      <c r="X676" s="18"/>
      <c r="Y676" s="18"/>
    </row>
    <row r="677">
      <c r="A677" s="67"/>
      <c r="B677" s="66"/>
      <c r="C677" s="18"/>
      <c r="D677" s="18"/>
      <c r="E677" s="18"/>
      <c r="F677" s="65"/>
      <c r="G677" s="66"/>
      <c r="H677" s="18"/>
      <c r="I677" s="18"/>
      <c r="J677" s="18"/>
      <c r="K677" s="65"/>
      <c r="L677" s="66"/>
      <c r="M677" s="65"/>
      <c r="N677" s="66"/>
      <c r="O677" s="65"/>
      <c r="P677" s="18"/>
      <c r="Q677" s="18"/>
      <c r="R677" s="18"/>
      <c r="S677" s="18"/>
      <c r="T677" s="18"/>
      <c r="U677" s="18"/>
      <c r="V677" s="18"/>
      <c r="W677" s="18"/>
      <c r="X677" s="18"/>
      <c r="Y677" s="18"/>
    </row>
    <row r="678">
      <c r="A678" s="67"/>
      <c r="B678" s="66"/>
      <c r="C678" s="18"/>
      <c r="D678" s="18"/>
      <c r="E678" s="18"/>
      <c r="F678" s="65"/>
      <c r="G678" s="66"/>
      <c r="H678" s="18"/>
      <c r="I678" s="18"/>
      <c r="J678" s="18"/>
      <c r="K678" s="65"/>
      <c r="L678" s="66"/>
      <c r="M678" s="65"/>
      <c r="N678" s="66"/>
      <c r="O678" s="65"/>
      <c r="P678" s="18"/>
      <c r="Q678" s="18"/>
      <c r="R678" s="18"/>
      <c r="S678" s="18"/>
      <c r="T678" s="18"/>
      <c r="U678" s="18"/>
      <c r="V678" s="18"/>
      <c r="W678" s="18"/>
      <c r="X678" s="18"/>
      <c r="Y678" s="18"/>
    </row>
    <row r="679">
      <c r="A679" s="67"/>
      <c r="B679" s="66"/>
      <c r="C679" s="18"/>
      <c r="D679" s="18"/>
      <c r="E679" s="18"/>
      <c r="F679" s="65"/>
      <c r="G679" s="66"/>
      <c r="H679" s="18"/>
      <c r="I679" s="18"/>
      <c r="J679" s="18"/>
      <c r="K679" s="65"/>
      <c r="L679" s="66"/>
      <c r="M679" s="65"/>
      <c r="N679" s="66"/>
      <c r="O679" s="65"/>
      <c r="P679" s="18"/>
      <c r="Q679" s="18"/>
      <c r="R679" s="18"/>
      <c r="S679" s="18"/>
      <c r="T679" s="18"/>
      <c r="U679" s="18"/>
      <c r="V679" s="18"/>
      <c r="W679" s="18"/>
      <c r="X679" s="18"/>
      <c r="Y679" s="18"/>
    </row>
    <row r="680">
      <c r="A680" s="67"/>
      <c r="B680" s="66"/>
      <c r="C680" s="18"/>
      <c r="D680" s="18"/>
      <c r="E680" s="18"/>
      <c r="F680" s="65"/>
      <c r="G680" s="66"/>
      <c r="H680" s="18"/>
      <c r="I680" s="18"/>
      <c r="J680" s="18"/>
      <c r="K680" s="65"/>
      <c r="L680" s="66"/>
      <c r="M680" s="65"/>
      <c r="N680" s="66"/>
      <c r="O680" s="65"/>
      <c r="P680" s="18"/>
      <c r="Q680" s="18"/>
      <c r="R680" s="18"/>
      <c r="S680" s="18"/>
      <c r="T680" s="18"/>
      <c r="U680" s="18"/>
      <c r="V680" s="18"/>
      <c r="W680" s="18"/>
      <c r="X680" s="18"/>
      <c r="Y680" s="18"/>
    </row>
    <row r="681">
      <c r="A681" s="67"/>
      <c r="B681" s="66"/>
      <c r="C681" s="18"/>
      <c r="D681" s="18"/>
      <c r="E681" s="18"/>
      <c r="F681" s="65"/>
      <c r="G681" s="66"/>
      <c r="H681" s="18"/>
      <c r="I681" s="18"/>
      <c r="J681" s="18"/>
      <c r="K681" s="65"/>
      <c r="L681" s="66"/>
      <c r="M681" s="65"/>
      <c r="N681" s="66"/>
      <c r="O681" s="65"/>
      <c r="P681" s="18"/>
      <c r="Q681" s="18"/>
      <c r="R681" s="18"/>
      <c r="S681" s="18"/>
      <c r="T681" s="18"/>
      <c r="U681" s="18"/>
      <c r="V681" s="18"/>
      <c r="W681" s="18"/>
      <c r="X681" s="18"/>
      <c r="Y681" s="18"/>
    </row>
    <row r="682">
      <c r="A682" s="67"/>
      <c r="B682" s="66"/>
      <c r="C682" s="18"/>
      <c r="D682" s="18"/>
      <c r="E682" s="18"/>
      <c r="F682" s="65"/>
      <c r="G682" s="66"/>
      <c r="H682" s="18"/>
      <c r="I682" s="18"/>
      <c r="J682" s="18"/>
      <c r="K682" s="65"/>
      <c r="L682" s="66"/>
      <c r="M682" s="65"/>
      <c r="N682" s="66"/>
      <c r="O682" s="65"/>
      <c r="P682" s="18"/>
      <c r="Q682" s="18"/>
      <c r="R682" s="18"/>
      <c r="S682" s="18"/>
      <c r="T682" s="18"/>
      <c r="U682" s="18"/>
      <c r="V682" s="18"/>
      <c r="W682" s="18"/>
      <c r="X682" s="18"/>
      <c r="Y682" s="18"/>
    </row>
    <row r="683">
      <c r="A683" s="67"/>
      <c r="B683" s="66"/>
      <c r="C683" s="18"/>
      <c r="D683" s="18"/>
      <c r="E683" s="18"/>
      <c r="F683" s="65"/>
      <c r="G683" s="66"/>
      <c r="H683" s="18"/>
      <c r="I683" s="18"/>
      <c r="J683" s="18"/>
      <c r="K683" s="65"/>
      <c r="L683" s="66"/>
      <c r="M683" s="65"/>
      <c r="N683" s="66"/>
      <c r="O683" s="65"/>
      <c r="P683" s="18"/>
      <c r="Q683" s="18"/>
      <c r="R683" s="18"/>
      <c r="S683" s="18"/>
      <c r="T683" s="18"/>
      <c r="U683" s="18"/>
      <c r="V683" s="18"/>
      <c r="W683" s="18"/>
      <c r="X683" s="18"/>
      <c r="Y683" s="18"/>
    </row>
    <row r="684">
      <c r="A684" s="67"/>
      <c r="B684" s="66"/>
      <c r="C684" s="18"/>
      <c r="D684" s="18"/>
      <c r="E684" s="18"/>
      <c r="F684" s="65"/>
      <c r="G684" s="66"/>
      <c r="H684" s="18"/>
      <c r="I684" s="18"/>
      <c r="J684" s="18"/>
      <c r="K684" s="65"/>
      <c r="L684" s="66"/>
      <c r="M684" s="65"/>
      <c r="N684" s="66"/>
      <c r="O684" s="65"/>
      <c r="P684" s="18"/>
      <c r="Q684" s="18"/>
      <c r="R684" s="18"/>
      <c r="S684" s="18"/>
      <c r="T684" s="18"/>
      <c r="U684" s="18"/>
      <c r="V684" s="18"/>
      <c r="W684" s="18"/>
      <c r="X684" s="18"/>
      <c r="Y684" s="18"/>
    </row>
    <row r="685">
      <c r="A685" s="67"/>
      <c r="B685" s="66"/>
      <c r="C685" s="18"/>
      <c r="D685" s="18"/>
      <c r="E685" s="18"/>
      <c r="F685" s="65"/>
      <c r="G685" s="66"/>
      <c r="H685" s="18"/>
      <c r="I685" s="18"/>
      <c r="J685" s="18"/>
      <c r="K685" s="65"/>
      <c r="L685" s="66"/>
      <c r="M685" s="65"/>
      <c r="N685" s="66"/>
      <c r="O685" s="65"/>
      <c r="P685" s="18"/>
      <c r="Q685" s="18"/>
      <c r="R685" s="18"/>
      <c r="S685" s="18"/>
      <c r="T685" s="18"/>
      <c r="U685" s="18"/>
      <c r="V685" s="18"/>
      <c r="W685" s="18"/>
      <c r="X685" s="18"/>
      <c r="Y685" s="18"/>
    </row>
    <row r="686">
      <c r="A686" s="67"/>
      <c r="B686" s="66"/>
      <c r="C686" s="18"/>
      <c r="D686" s="18"/>
      <c r="E686" s="18"/>
      <c r="F686" s="65"/>
      <c r="G686" s="66"/>
      <c r="H686" s="18"/>
      <c r="I686" s="18"/>
      <c r="J686" s="18"/>
      <c r="K686" s="65"/>
      <c r="L686" s="66"/>
      <c r="M686" s="65"/>
      <c r="N686" s="66"/>
      <c r="O686" s="65"/>
      <c r="P686" s="18"/>
      <c r="Q686" s="18"/>
      <c r="R686" s="18"/>
      <c r="S686" s="18"/>
      <c r="T686" s="18"/>
      <c r="U686" s="18"/>
      <c r="V686" s="18"/>
      <c r="W686" s="18"/>
      <c r="X686" s="18"/>
      <c r="Y686" s="18"/>
    </row>
    <row r="687">
      <c r="A687" s="67"/>
      <c r="B687" s="66"/>
      <c r="C687" s="18"/>
      <c r="D687" s="18"/>
      <c r="E687" s="18"/>
      <c r="F687" s="65"/>
      <c r="G687" s="66"/>
      <c r="H687" s="18"/>
      <c r="I687" s="18"/>
      <c r="J687" s="18"/>
      <c r="K687" s="65"/>
      <c r="L687" s="66"/>
      <c r="M687" s="65"/>
      <c r="N687" s="66"/>
      <c r="O687" s="65"/>
      <c r="P687" s="18"/>
      <c r="Q687" s="18"/>
      <c r="R687" s="18"/>
      <c r="S687" s="18"/>
      <c r="T687" s="18"/>
      <c r="U687" s="18"/>
      <c r="V687" s="18"/>
      <c r="W687" s="18"/>
      <c r="X687" s="18"/>
      <c r="Y687" s="18"/>
    </row>
    <row r="688">
      <c r="A688" s="67"/>
      <c r="B688" s="66"/>
      <c r="C688" s="18"/>
      <c r="D688" s="18"/>
      <c r="E688" s="18"/>
      <c r="F688" s="65"/>
      <c r="G688" s="66"/>
      <c r="H688" s="18"/>
      <c r="I688" s="18"/>
      <c r="J688" s="18"/>
      <c r="K688" s="65"/>
      <c r="L688" s="66"/>
      <c r="M688" s="65"/>
      <c r="N688" s="66"/>
      <c r="O688" s="65"/>
      <c r="P688" s="18"/>
      <c r="Q688" s="18"/>
      <c r="R688" s="18"/>
      <c r="S688" s="18"/>
      <c r="T688" s="18"/>
      <c r="U688" s="18"/>
      <c r="V688" s="18"/>
      <c r="W688" s="18"/>
      <c r="X688" s="18"/>
      <c r="Y688" s="18"/>
    </row>
    <row r="689">
      <c r="A689" s="67"/>
      <c r="B689" s="66"/>
      <c r="C689" s="18"/>
      <c r="D689" s="18"/>
      <c r="E689" s="18"/>
      <c r="F689" s="65"/>
      <c r="G689" s="66"/>
      <c r="H689" s="18"/>
      <c r="I689" s="18"/>
      <c r="J689" s="18"/>
      <c r="K689" s="65"/>
      <c r="L689" s="66"/>
      <c r="M689" s="65"/>
      <c r="N689" s="66"/>
      <c r="O689" s="65"/>
      <c r="P689" s="18"/>
      <c r="Q689" s="18"/>
      <c r="R689" s="18"/>
      <c r="S689" s="18"/>
      <c r="T689" s="18"/>
      <c r="U689" s="18"/>
      <c r="V689" s="18"/>
      <c r="W689" s="18"/>
      <c r="X689" s="18"/>
      <c r="Y689" s="18"/>
    </row>
    <row r="690">
      <c r="A690" s="67"/>
      <c r="B690" s="66"/>
      <c r="C690" s="18"/>
      <c r="D690" s="18"/>
      <c r="E690" s="18"/>
      <c r="F690" s="65"/>
      <c r="G690" s="66"/>
      <c r="H690" s="18"/>
      <c r="I690" s="18"/>
      <c r="J690" s="18"/>
      <c r="K690" s="65"/>
      <c r="L690" s="66"/>
      <c r="M690" s="65"/>
      <c r="N690" s="66"/>
      <c r="O690" s="65"/>
      <c r="P690" s="18"/>
      <c r="Q690" s="18"/>
      <c r="R690" s="18"/>
      <c r="S690" s="18"/>
      <c r="T690" s="18"/>
      <c r="U690" s="18"/>
      <c r="V690" s="18"/>
      <c r="W690" s="18"/>
      <c r="X690" s="18"/>
      <c r="Y690" s="18"/>
    </row>
    <row r="691">
      <c r="A691" s="67"/>
      <c r="B691" s="66"/>
      <c r="C691" s="18"/>
      <c r="D691" s="18"/>
      <c r="E691" s="18"/>
      <c r="F691" s="65"/>
      <c r="G691" s="66"/>
      <c r="H691" s="18"/>
      <c r="I691" s="18"/>
      <c r="J691" s="18"/>
      <c r="K691" s="65"/>
      <c r="L691" s="66"/>
      <c r="M691" s="65"/>
      <c r="N691" s="66"/>
      <c r="O691" s="65"/>
      <c r="P691" s="18"/>
      <c r="Q691" s="18"/>
      <c r="R691" s="18"/>
      <c r="S691" s="18"/>
      <c r="T691" s="18"/>
      <c r="U691" s="18"/>
      <c r="V691" s="18"/>
      <c r="W691" s="18"/>
      <c r="X691" s="18"/>
      <c r="Y691" s="18"/>
    </row>
    <row r="692">
      <c r="A692" s="67"/>
      <c r="B692" s="66"/>
      <c r="C692" s="18"/>
      <c r="D692" s="18"/>
      <c r="E692" s="18"/>
      <c r="F692" s="65"/>
      <c r="G692" s="66"/>
      <c r="H692" s="18"/>
      <c r="I692" s="18"/>
      <c r="J692" s="18"/>
      <c r="K692" s="65"/>
      <c r="L692" s="66"/>
      <c r="M692" s="65"/>
      <c r="N692" s="66"/>
      <c r="O692" s="65"/>
      <c r="P692" s="18"/>
      <c r="Q692" s="18"/>
      <c r="R692" s="18"/>
      <c r="S692" s="18"/>
      <c r="T692" s="18"/>
      <c r="U692" s="18"/>
      <c r="V692" s="18"/>
      <c r="W692" s="18"/>
      <c r="X692" s="18"/>
      <c r="Y692" s="18"/>
    </row>
    <row r="693">
      <c r="A693" s="67"/>
      <c r="B693" s="66"/>
      <c r="C693" s="18"/>
      <c r="D693" s="18"/>
      <c r="E693" s="18"/>
      <c r="F693" s="65"/>
      <c r="G693" s="66"/>
      <c r="H693" s="18"/>
      <c r="I693" s="18"/>
      <c r="J693" s="18"/>
      <c r="K693" s="65"/>
      <c r="L693" s="66"/>
      <c r="M693" s="65"/>
      <c r="N693" s="66"/>
      <c r="O693" s="65"/>
      <c r="P693" s="18"/>
      <c r="Q693" s="18"/>
      <c r="R693" s="18"/>
      <c r="S693" s="18"/>
      <c r="T693" s="18"/>
      <c r="U693" s="18"/>
      <c r="V693" s="18"/>
      <c r="W693" s="18"/>
      <c r="X693" s="18"/>
      <c r="Y693" s="18"/>
    </row>
    <row r="694">
      <c r="A694" s="67"/>
      <c r="B694" s="66"/>
      <c r="C694" s="18"/>
      <c r="D694" s="18"/>
      <c r="E694" s="18"/>
      <c r="F694" s="65"/>
      <c r="G694" s="66"/>
      <c r="H694" s="18"/>
      <c r="I694" s="18"/>
      <c r="J694" s="18"/>
      <c r="K694" s="65"/>
      <c r="L694" s="66"/>
      <c r="M694" s="65"/>
      <c r="N694" s="66"/>
      <c r="O694" s="65"/>
      <c r="P694" s="18"/>
      <c r="Q694" s="18"/>
      <c r="R694" s="18"/>
      <c r="S694" s="18"/>
      <c r="T694" s="18"/>
      <c r="U694" s="18"/>
      <c r="V694" s="18"/>
      <c r="W694" s="18"/>
      <c r="X694" s="18"/>
      <c r="Y694" s="18"/>
    </row>
    <row r="695">
      <c r="A695" s="67"/>
      <c r="B695" s="66"/>
      <c r="C695" s="18"/>
      <c r="D695" s="18"/>
      <c r="E695" s="18"/>
      <c r="F695" s="65"/>
      <c r="G695" s="66"/>
      <c r="H695" s="18"/>
      <c r="I695" s="18"/>
      <c r="J695" s="18"/>
      <c r="K695" s="65"/>
      <c r="L695" s="66"/>
      <c r="M695" s="65"/>
      <c r="N695" s="66"/>
      <c r="O695" s="65"/>
      <c r="P695" s="18"/>
      <c r="Q695" s="18"/>
      <c r="R695" s="18"/>
      <c r="S695" s="18"/>
      <c r="T695" s="18"/>
      <c r="U695" s="18"/>
      <c r="V695" s="18"/>
      <c r="W695" s="18"/>
      <c r="X695" s="18"/>
      <c r="Y695" s="18"/>
    </row>
    <row r="696">
      <c r="A696" s="67"/>
      <c r="B696" s="66"/>
      <c r="C696" s="18"/>
      <c r="D696" s="18"/>
      <c r="E696" s="18"/>
      <c r="F696" s="65"/>
      <c r="G696" s="66"/>
      <c r="H696" s="18"/>
      <c r="I696" s="18"/>
      <c r="J696" s="18"/>
      <c r="K696" s="65"/>
      <c r="L696" s="66"/>
      <c r="M696" s="65"/>
      <c r="N696" s="66"/>
      <c r="O696" s="65"/>
      <c r="P696" s="18"/>
      <c r="Q696" s="18"/>
      <c r="R696" s="18"/>
      <c r="S696" s="18"/>
      <c r="T696" s="18"/>
      <c r="U696" s="18"/>
      <c r="V696" s="18"/>
      <c r="W696" s="18"/>
      <c r="X696" s="18"/>
      <c r="Y696" s="18"/>
    </row>
    <row r="697">
      <c r="A697" s="67"/>
      <c r="B697" s="66"/>
      <c r="C697" s="18"/>
      <c r="D697" s="18"/>
      <c r="E697" s="18"/>
      <c r="F697" s="65"/>
      <c r="G697" s="66"/>
      <c r="H697" s="18"/>
      <c r="I697" s="18"/>
      <c r="J697" s="18"/>
      <c r="K697" s="65"/>
      <c r="L697" s="66"/>
      <c r="M697" s="65"/>
      <c r="N697" s="66"/>
      <c r="O697" s="65"/>
      <c r="P697" s="18"/>
      <c r="Q697" s="18"/>
      <c r="R697" s="18"/>
      <c r="S697" s="18"/>
      <c r="T697" s="18"/>
      <c r="U697" s="18"/>
      <c r="V697" s="18"/>
      <c r="W697" s="18"/>
      <c r="X697" s="18"/>
      <c r="Y697" s="18"/>
    </row>
    <row r="698">
      <c r="A698" s="67"/>
      <c r="B698" s="66"/>
      <c r="C698" s="18"/>
      <c r="D698" s="18"/>
      <c r="E698" s="18"/>
      <c r="F698" s="65"/>
      <c r="G698" s="66"/>
      <c r="H698" s="18"/>
      <c r="I698" s="18"/>
      <c r="J698" s="18"/>
      <c r="K698" s="65"/>
      <c r="L698" s="66"/>
      <c r="M698" s="65"/>
      <c r="N698" s="66"/>
      <c r="O698" s="65"/>
      <c r="P698" s="18"/>
      <c r="Q698" s="18"/>
      <c r="R698" s="18"/>
      <c r="S698" s="18"/>
      <c r="T698" s="18"/>
      <c r="U698" s="18"/>
      <c r="V698" s="18"/>
      <c r="W698" s="18"/>
      <c r="X698" s="18"/>
      <c r="Y698" s="18"/>
    </row>
    <row r="699">
      <c r="A699" s="67"/>
      <c r="B699" s="66"/>
      <c r="C699" s="18"/>
      <c r="D699" s="18"/>
      <c r="E699" s="18"/>
      <c r="F699" s="65"/>
      <c r="G699" s="66"/>
      <c r="H699" s="18"/>
      <c r="I699" s="18"/>
      <c r="J699" s="18"/>
      <c r="K699" s="65"/>
      <c r="L699" s="66"/>
      <c r="M699" s="65"/>
      <c r="N699" s="66"/>
      <c r="O699" s="65"/>
      <c r="P699" s="18"/>
      <c r="Q699" s="18"/>
      <c r="R699" s="18"/>
      <c r="S699" s="18"/>
      <c r="T699" s="18"/>
      <c r="U699" s="18"/>
      <c r="V699" s="18"/>
      <c r="W699" s="18"/>
      <c r="X699" s="18"/>
      <c r="Y699" s="18"/>
    </row>
    <row r="700">
      <c r="A700" s="67"/>
      <c r="B700" s="66"/>
      <c r="C700" s="18"/>
      <c r="D700" s="18"/>
      <c r="E700" s="18"/>
      <c r="F700" s="65"/>
      <c r="G700" s="66"/>
      <c r="H700" s="18"/>
      <c r="I700" s="18"/>
      <c r="J700" s="18"/>
      <c r="K700" s="65"/>
      <c r="L700" s="66"/>
      <c r="M700" s="65"/>
      <c r="N700" s="66"/>
      <c r="O700" s="65"/>
      <c r="P700" s="18"/>
      <c r="Q700" s="18"/>
      <c r="R700" s="18"/>
      <c r="S700" s="18"/>
      <c r="T700" s="18"/>
      <c r="U700" s="18"/>
      <c r="V700" s="18"/>
      <c r="W700" s="18"/>
      <c r="X700" s="18"/>
      <c r="Y700" s="18"/>
    </row>
    <row r="701">
      <c r="A701" s="67"/>
      <c r="B701" s="66"/>
      <c r="C701" s="18"/>
      <c r="D701" s="18"/>
      <c r="E701" s="18"/>
      <c r="F701" s="65"/>
      <c r="G701" s="66"/>
      <c r="H701" s="18"/>
      <c r="I701" s="18"/>
      <c r="J701" s="18"/>
      <c r="K701" s="65"/>
      <c r="L701" s="66"/>
      <c r="M701" s="65"/>
      <c r="N701" s="66"/>
      <c r="O701" s="65"/>
      <c r="P701" s="18"/>
      <c r="Q701" s="18"/>
      <c r="R701" s="18"/>
      <c r="S701" s="18"/>
      <c r="T701" s="18"/>
      <c r="U701" s="18"/>
      <c r="V701" s="18"/>
      <c r="W701" s="18"/>
      <c r="X701" s="18"/>
      <c r="Y701" s="18"/>
    </row>
    <row r="702">
      <c r="A702" s="67"/>
      <c r="B702" s="66"/>
      <c r="C702" s="18"/>
      <c r="D702" s="18"/>
      <c r="E702" s="18"/>
      <c r="F702" s="65"/>
      <c r="G702" s="66"/>
      <c r="H702" s="18"/>
      <c r="I702" s="18"/>
      <c r="J702" s="18"/>
      <c r="K702" s="65"/>
      <c r="L702" s="66"/>
      <c r="M702" s="65"/>
      <c r="N702" s="66"/>
      <c r="O702" s="65"/>
      <c r="P702" s="18"/>
      <c r="Q702" s="18"/>
      <c r="R702" s="18"/>
      <c r="S702" s="18"/>
      <c r="T702" s="18"/>
      <c r="U702" s="18"/>
      <c r="V702" s="18"/>
      <c r="W702" s="18"/>
      <c r="X702" s="18"/>
      <c r="Y702" s="18"/>
    </row>
    <row r="703">
      <c r="A703" s="67"/>
      <c r="B703" s="66"/>
      <c r="C703" s="18"/>
      <c r="D703" s="18"/>
      <c r="E703" s="18"/>
      <c r="F703" s="65"/>
      <c r="G703" s="66"/>
      <c r="H703" s="18"/>
      <c r="I703" s="18"/>
      <c r="J703" s="18"/>
      <c r="K703" s="65"/>
      <c r="L703" s="66"/>
      <c r="M703" s="65"/>
      <c r="N703" s="66"/>
      <c r="O703" s="65"/>
      <c r="P703" s="18"/>
      <c r="Q703" s="18"/>
      <c r="R703" s="18"/>
      <c r="S703" s="18"/>
      <c r="T703" s="18"/>
      <c r="U703" s="18"/>
      <c r="V703" s="18"/>
      <c r="W703" s="18"/>
      <c r="X703" s="18"/>
      <c r="Y703" s="18"/>
    </row>
    <row r="704">
      <c r="A704" s="67"/>
      <c r="B704" s="66"/>
      <c r="C704" s="18"/>
      <c r="D704" s="18"/>
      <c r="E704" s="18"/>
      <c r="F704" s="65"/>
      <c r="G704" s="66"/>
      <c r="H704" s="18"/>
      <c r="I704" s="18"/>
      <c r="J704" s="18"/>
      <c r="K704" s="65"/>
      <c r="L704" s="66"/>
      <c r="M704" s="65"/>
      <c r="N704" s="66"/>
      <c r="O704" s="65"/>
      <c r="P704" s="18"/>
      <c r="Q704" s="18"/>
      <c r="R704" s="18"/>
      <c r="S704" s="18"/>
      <c r="T704" s="18"/>
      <c r="U704" s="18"/>
      <c r="V704" s="18"/>
      <c r="W704" s="18"/>
      <c r="X704" s="18"/>
      <c r="Y704" s="18"/>
    </row>
    <row r="705">
      <c r="A705" s="67"/>
      <c r="B705" s="66"/>
      <c r="C705" s="18"/>
      <c r="D705" s="18"/>
      <c r="E705" s="18"/>
      <c r="F705" s="65"/>
      <c r="G705" s="66"/>
      <c r="H705" s="18"/>
      <c r="I705" s="18"/>
      <c r="J705" s="18"/>
      <c r="K705" s="65"/>
      <c r="L705" s="66"/>
      <c r="M705" s="65"/>
      <c r="N705" s="66"/>
      <c r="O705" s="65"/>
      <c r="P705" s="18"/>
      <c r="Q705" s="18"/>
      <c r="R705" s="18"/>
      <c r="S705" s="18"/>
      <c r="T705" s="18"/>
      <c r="U705" s="18"/>
      <c r="V705" s="18"/>
      <c r="W705" s="18"/>
      <c r="X705" s="18"/>
      <c r="Y705" s="18"/>
    </row>
    <row r="706">
      <c r="A706" s="67"/>
      <c r="B706" s="66"/>
      <c r="C706" s="18"/>
      <c r="D706" s="18"/>
      <c r="E706" s="18"/>
      <c r="F706" s="65"/>
      <c r="G706" s="66"/>
      <c r="H706" s="18"/>
      <c r="I706" s="18"/>
      <c r="J706" s="18"/>
      <c r="K706" s="65"/>
      <c r="L706" s="66"/>
      <c r="M706" s="65"/>
      <c r="N706" s="66"/>
      <c r="O706" s="65"/>
      <c r="P706" s="18"/>
      <c r="Q706" s="18"/>
      <c r="R706" s="18"/>
      <c r="S706" s="18"/>
      <c r="T706" s="18"/>
      <c r="U706" s="18"/>
      <c r="V706" s="18"/>
      <c r="W706" s="18"/>
      <c r="X706" s="18"/>
      <c r="Y706" s="18"/>
    </row>
    <row r="707">
      <c r="A707" s="67"/>
      <c r="B707" s="66"/>
      <c r="C707" s="18"/>
      <c r="D707" s="18"/>
      <c r="E707" s="18"/>
      <c r="F707" s="65"/>
      <c r="G707" s="66"/>
      <c r="H707" s="18"/>
      <c r="I707" s="18"/>
      <c r="J707" s="18"/>
      <c r="K707" s="65"/>
      <c r="L707" s="66"/>
      <c r="M707" s="65"/>
      <c r="N707" s="66"/>
      <c r="O707" s="65"/>
      <c r="P707" s="18"/>
      <c r="Q707" s="18"/>
      <c r="R707" s="18"/>
      <c r="S707" s="18"/>
      <c r="T707" s="18"/>
      <c r="U707" s="18"/>
      <c r="V707" s="18"/>
      <c r="W707" s="18"/>
      <c r="X707" s="18"/>
      <c r="Y707" s="18"/>
    </row>
    <row r="708">
      <c r="A708" s="67"/>
      <c r="B708" s="66"/>
      <c r="C708" s="18"/>
      <c r="D708" s="18"/>
      <c r="E708" s="18"/>
      <c r="F708" s="65"/>
      <c r="G708" s="66"/>
      <c r="H708" s="18"/>
      <c r="I708" s="18"/>
      <c r="J708" s="18"/>
      <c r="K708" s="65"/>
      <c r="L708" s="66"/>
      <c r="M708" s="65"/>
      <c r="N708" s="66"/>
      <c r="O708" s="65"/>
      <c r="P708" s="18"/>
      <c r="Q708" s="18"/>
      <c r="R708" s="18"/>
      <c r="S708" s="18"/>
      <c r="T708" s="18"/>
      <c r="U708" s="18"/>
      <c r="V708" s="18"/>
      <c r="W708" s="18"/>
      <c r="X708" s="18"/>
      <c r="Y708" s="18"/>
    </row>
    <row r="709">
      <c r="A709" s="67"/>
      <c r="B709" s="66"/>
      <c r="C709" s="18"/>
      <c r="D709" s="18"/>
      <c r="E709" s="18"/>
      <c r="F709" s="65"/>
      <c r="G709" s="66"/>
      <c r="H709" s="18"/>
      <c r="I709" s="18"/>
      <c r="J709" s="18"/>
      <c r="K709" s="65"/>
      <c r="L709" s="66"/>
      <c r="M709" s="65"/>
      <c r="N709" s="66"/>
      <c r="O709" s="65"/>
      <c r="P709" s="18"/>
      <c r="Q709" s="18"/>
      <c r="R709" s="18"/>
      <c r="S709" s="18"/>
      <c r="T709" s="18"/>
      <c r="U709" s="18"/>
      <c r="V709" s="18"/>
      <c r="W709" s="18"/>
      <c r="X709" s="18"/>
      <c r="Y709" s="18"/>
    </row>
    <row r="710">
      <c r="A710" s="67"/>
      <c r="B710" s="66"/>
      <c r="C710" s="18"/>
      <c r="D710" s="18"/>
      <c r="E710" s="18"/>
      <c r="F710" s="65"/>
      <c r="G710" s="66"/>
      <c r="H710" s="18"/>
      <c r="I710" s="18"/>
      <c r="J710" s="18"/>
      <c r="K710" s="65"/>
      <c r="L710" s="66"/>
      <c r="M710" s="65"/>
      <c r="N710" s="66"/>
      <c r="O710" s="65"/>
      <c r="P710" s="18"/>
      <c r="Q710" s="18"/>
      <c r="R710" s="18"/>
      <c r="S710" s="18"/>
      <c r="T710" s="18"/>
      <c r="U710" s="18"/>
      <c r="V710" s="18"/>
      <c r="W710" s="18"/>
      <c r="X710" s="18"/>
      <c r="Y710" s="18"/>
    </row>
    <row r="711">
      <c r="A711" s="67"/>
      <c r="B711" s="66"/>
      <c r="C711" s="18"/>
      <c r="D711" s="18"/>
      <c r="E711" s="18"/>
      <c r="F711" s="65"/>
      <c r="G711" s="66"/>
      <c r="H711" s="18"/>
      <c r="I711" s="18"/>
      <c r="J711" s="18"/>
      <c r="K711" s="65"/>
      <c r="L711" s="66"/>
      <c r="M711" s="65"/>
      <c r="N711" s="66"/>
      <c r="O711" s="65"/>
      <c r="P711" s="18"/>
      <c r="Q711" s="18"/>
      <c r="R711" s="18"/>
      <c r="S711" s="18"/>
      <c r="T711" s="18"/>
      <c r="U711" s="18"/>
      <c r="V711" s="18"/>
      <c r="W711" s="18"/>
      <c r="X711" s="18"/>
      <c r="Y711" s="18"/>
    </row>
    <row r="712">
      <c r="A712" s="67"/>
      <c r="B712" s="66"/>
      <c r="C712" s="18"/>
      <c r="D712" s="18"/>
      <c r="E712" s="18"/>
      <c r="F712" s="65"/>
      <c r="G712" s="66"/>
      <c r="H712" s="18"/>
      <c r="I712" s="18"/>
      <c r="J712" s="18"/>
      <c r="K712" s="65"/>
      <c r="L712" s="66"/>
      <c r="M712" s="65"/>
      <c r="N712" s="66"/>
      <c r="O712" s="65"/>
      <c r="P712" s="18"/>
      <c r="Q712" s="18"/>
      <c r="R712" s="18"/>
      <c r="S712" s="18"/>
      <c r="T712" s="18"/>
      <c r="U712" s="18"/>
      <c r="V712" s="18"/>
      <c r="W712" s="18"/>
      <c r="X712" s="18"/>
      <c r="Y712" s="18"/>
    </row>
    <row r="713">
      <c r="A713" s="67"/>
      <c r="B713" s="66"/>
      <c r="C713" s="18"/>
      <c r="D713" s="18"/>
      <c r="E713" s="18"/>
      <c r="F713" s="65"/>
      <c r="G713" s="66"/>
      <c r="H713" s="18"/>
      <c r="I713" s="18"/>
      <c r="J713" s="18"/>
      <c r="K713" s="65"/>
      <c r="L713" s="66"/>
      <c r="M713" s="65"/>
      <c r="N713" s="66"/>
      <c r="O713" s="65"/>
      <c r="P713" s="18"/>
      <c r="Q713" s="18"/>
      <c r="R713" s="18"/>
      <c r="S713" s="18"/>
      <c r="T713" s="18"/>
      <c r="U713" s="18"/>
      <c r="V713" s="18"/>
      <c r="W713" s="18"/>
      <c r="X713" s="18"/>
      <c r="Y713" s="18"/>
    </row>
    <row r="714">
      <c r="A714" s="67"/>
      <c r="B714" s="66"/>
      <c r="C714" s="18"/>
      <c r="D714" s="18"/>
      <c r="E714" s="18"/>
      <c r="F714" s="65"/>
      <c r="G714" s="66"/>
      <c r="H714" s="18"/>
      <c r="I714" s="18"/>
      <c r="J714" s="18"/>
      <c r="K714" s="65"/>
      <c r="L714" s="66"/>
      <c r="M714" s="65"/>
      <c r="N714" s="66"/>
      <c r="O714" s="65"/>
      <c r="P714" s="18"/>
      <c r="Q714" s="18"/>
      <c r="R714" s="18"/>
      <c r="S714" s="18"/>
      <c r="T714" s="18"/>
      <c r="U714" s="18"/>
      <c r="V714" s="18"/>
      <c r="W714" s="18"/>
      <c r="X714" s="18"/>
      <c r="Y714" s="18"/>
    </row>
    <row r="715">
      <c r="A715" s="67"/>
      <c r="B715" s="66"/>
      <c r="C715" s="18"/>
      <c r="D715" s="18"/>
      <c r="E715" s="18"/>
      <c r="F715" s="65"/>
      <c r="G715" s="66"/>
      <c r="H715" s="18"/>
      <c r="I715" s="18"/>
      <c r="J715" s="18"/>
      <c r="K715" s="65"/>
      <c r="L715" s="66"/>
      <c r="M715" s="65"/>
      <c r="N715" s="66"/>
      <c r="O715" s="65"/>
      <c r="P715" s="18"/>
      <c r="Q715" s="18"/>
      <c r="R715" s="18"/>
      <c r="S715" s="18"/>
      <c r="T715" s="18"/>
      <c r="U715" s="18"/>
      <c r="V715" s="18"/>
      <c r="W715" s="18"/>
      <c r="X715" s="18"/>
      <c r="Y715" s="18"/>
    </row>
    <row r="716">
      <c r="A716" s="67"/>
      <c r="B716" s="66"/>
      <c r="C716" s="18"/>
      <c r="D716" s="18"/>
      <c r="E716" s="18"/>
      <c r="F716" s="65"/>
      <c r="G716" s="66"/>
      <c r="H716" s="18"/>
      <c r="I716" s="18"/>
      <c r="J716" s="18"/>
      <c r="K716" s="65"/>
      <c r="L716" s="66"/>
      <c r="M716" s="65"/>
      <c r="N716" s="66"/>
      <c r="O716" s="65"/>
      <c r="P716" s="18"/>
      <c r="Q716" s="18"/>
      <c r="R716" s="18"/>
      <c r="S716" s="18"/>
      <c r="T716" s="18"/>
      <c r="U716" s="18"/>
      <c r="V716" s="18"/>
      <c r="W716" s="18"/>
      <c r="X716" s="18"/>
      <c r="Y716" s="18"/>
    </row>
    <row r="717">
      <c r="A717" s="67"/>
      <c r="B717" s="66"/>
      <c r="C717" s="18"/>
      <c r="D717" s="18"/>
      <c r="E717" s="18"/>
      <c r="F717" s="65"/>
      <c r="G717" s="66"/>
      <c r="H717" s="18"/>
      <c r="I717" s="18"/>
      <c r="J717" s="18"/>
      <c r="K717" s="65"/>
      <c r="L717" s="66"/>
      <c r="M717" s="65"/>
      <c r="N717" s="66"/>
      <c r="O717" s="65"/>
      <c r="P717" s="18"/>
      <c r="Q717" s="18"/>
      <c r="R717" s="18"/>
      <c r="S717" s="18"/>
      <c r="T717" s="18"/>
      <c r="U717" s="18"/>
      <c r="V717" s="18"/>
      <c r="W717" s="18"/>
      <c r="X717" s="18"/>
      <c r="Y717" s="18"/>
    </row>
    <row r="718">
      <c r="A718" s="67"/>
      <c r="B718" s="66"/>
      <c r="C718" s="18"/>
      <c r="D718" s="18"/>
      <c r="E718" s="18"/>
      <c r="F718" s="65"/>
      <c r="G718" s="66"/>
      <c r="H718" s="18"/>
      <c r="I718" s="18"/>
      <c r="J718" s="18"/>
      <c r="K718" s="65"/>
      <c r="L718" s="66"/>
      <c r="M718" s="65"/>
      <c r="N718" s="66"/>
      <c r="O718" s="65"/>
      <c r="P718" s="18"/>
      <c r="Q718" s="18"/>
      <c r="R718" s="18"/>
      <c r="S718" s="18"/>
      <c r="T718" s="18"/>
      <c r="U718" s="18"/>
      <c r="V718" s="18"/>
      <c r="W718" s="18"/>
      <c r="X718" s="18"/>
      <c r="Y718" s="18"/>
    </row>
    <row r="719">
      <c r="A719" s="67"/>
      <c r="B719" s="66"/>
      <c r="C719" s="18"/>
      <c r="D719" s="18"/>
      <c r="E719" s="18"/>
      <c r="F719" s="65"/>
      <c r="G719" s="66"/>
      <c r="H719" s="18"/>
      <c r="I719" s="18"/>
      <c r="J719" s="18"/>
      <c r="K719" s="65"/>
      <c r="L719" s="66"/>
      <c r="M719" s="65"/>
      <c r="N719" s="66"/>
      <c r="O719" s="65"/>
      <c r="P719" s="18"/>
      <c r="Q719" s="18"/>
      <c r="R719" s="18"/>
      <c r="S719" s="18"/>
      <c r="T719" s="18"/>
      <c r="U719" s="18"/>
      <c r="V719" s="18"/>
      <c r="W719" s="18"/>
      <c r="X719" s="18"/>
      <c r="Y719" s="18"/>
    </row>
    <row r="720">
      <c r="A720" s="67"/>
      <c r="B720" s="66"/>
      <c r="C720" s="18"/>
      <c r="D720" s="18"/>
      <c r="E720" s="18"/>
      <c r="F720" s="65"/>
      <c r="G720" s="66"/>
      <c r="H720" s="18"/>
      <c r="I720" s="18"/>
      <c r="J720" s="18"/>
      <c r="K720" s="65"/>
      <c r="L720" s="66"/>
      <c r="M720" s="65"/>
      <c r="N720" s="66"/>
      <c r="O720" s="65"/>
      <c r="P720" s="18"/>
      <c r="Q720" s="18"/>
      <c r="R720" s="18"/>
      <c r="S720" s="18"/>
      <c r="T720" s="18"/>
      <c r="U720" s="18"/>
      <c r="V720" s="18"/>
      <c r="W720" s="18"/>
      <c r="X720" s="18"/>
      <c r="Y720" s="18"/>
    </row>
    <row r="721">
      <c r="A721" s="67"/>
      <c r="B721" s="66"/>
      <c r="C721" s="18"/>
      <c r="D721" s="18"/>
      <c r="E721" s="18"/>
      <c r="F721" s="65"/>
      <c r="G721" s="66"/>
      <c r="H721" s="18"/>
      <c r="I721" s="18"/>
      <c r="J721" s="18"/>
      <c r="K721" s="65"/>
      <c r="L721" s="66"/>
      <c r="M721" s="65"/>
      <c r="N721" s="66"/>
      <c r="O721" s="65"/>
      <c r="P721" s="18"/>
      <c r="Q721" s="18"/>
      <c r="R721" s="18"/>
      <c r="S721" s="18"/>
      <c r="T721" s="18"/>
      <c r="U721" s="18"/>
      <c r="V721" s="18"/>
      <c r="W721" s="18"/>
      <c r="X721" s="18"/>
      <c r="Y721" s="18"/>
    </row>
    <row r="722">
      <c r="A722" s="67"/>
      <c r="B722" s="66"/>
      <c r="C722" s="18"/>
      <c r="D722" s="18"/>
      <c r="E722" s="18"/>
      <c r="F722" s="65"/>
      <c r="G722" s="66"/>
      <c r="H722" s="18"/>
      <c r="I722" s="18"/>
      <c r="J722" s="18"/>
      <c r="K722" s="65"/>
      <c r="L722" s="66"/>
      <c r="M722" s="65"/>
      <c r="N722" s="66"/>
      <c r="O722" s="65"/>
      <c r="P722" s="18"/>
      <c r="Q722" s="18"/>
      <c r="R722" s="18"/>
      <c r="S722" s="18"/>
      <c r="T722" s="18"/>
      <c r="U722" s="18"/>
      <c r="V722" s="18"/>
      <c r="W722" s="18"/>
      <c r="X722" s="18"/>
      <c r="Y722" s="18"/>
    </row>
    <row r="723">
      <c r="A723" s="67"/>
      <c r="B723" s="66"/>
      <c r="C723" s="18"/>
      <c r="D723" s="18"/>
      <c r="E723" s="18"/>
      <c r="F723" s="65"/>
      <c r="G723" s="66"/>
      <c r="H723" s="18"/>
      <c r="I723" s="18"/>
      <c r="J723" s="18"/>
      <c r="K723" s="65"/>
      <c r="L723" s="66"/>
      <c r="M723" s="65"/>
      <c r="N723" s="66"/>
      <c r="O723" s="65"/>
      <c r="P723" s="18"/>
      <c r="Q723" s="18"/>
      <c r="R723" s="18"/>
      <c r="S723" s="18"/>
      <c r="T723" s="18"/>
      <c r="U723" s="18"/>
      <c r="V723" s="18"/>
      <c r="W723" s="18"/>
      <c r="X723" s="18"/>
      <c r="Y723" s="18"/>
    </row>
    <row r="724">
      <c r="A724" s="67"/>
      <c r="B724" s="66"/>
      <c r="C724" s="18"/>
      <c r="D724" s="18"/>
      <c r="E724" s="18"/>
      <c r="F724" s="65"/>
      <c r="G724" s="66"/>
      <c r="H724" s="18"/>
      <c r="I724" s="18"/>
      <c r="J724" s="18"/>
      <c r="K724" s="65"/>
      <c r="L724" s="66"/>
      <c r="M724" s="65"/>
      <c r="N724" s="66"/>
      <c r="O724" s="65"/>
      <c r="P724" s="18"/>
      <c r="Q724" s="18"/>
      <c r="R724" s="18"/>
      <c r="S724" s="18"/>
      <c r="T724" s="18"/>
      <c r="U724" s="18"/>
      <c r="V724" s="18"/>
      <c r="W724" s="18"/>
      <c r="X724" s="18"/>
      <c r="Y724" s="18"/>
    </row>
    <row r="725">
      <c r="A725" s="67"/>
      <c r="B725" s="66"/>
      <c r="C725" s="18"/>
      <c r="D725" s="18"/>
      <c r="E725" s="18"/>
      <c r="F725" s="65"/>
      <c r="G725" s="66"/>
      <c r="H725" s="18"/>
      <c r="I725" s="18"/>
      <c r="J725" s="18"/>
      <c r="K725" s="65"/>
      <c r="L725" s="66"/>
      <c r="M725" s="65"/>
      <c r="N725" s="66"/>
      <c r="O725" s="65"/>
      <c r="P725" s="18"/>
      <c r="Q725" s="18"/>
      <c r="R725" s="18"/>
      <c r="S725" s="18"/>
      <c r="T725" s="18"/>
      <c r="U725" s="18"/>
      <c r="V725" s="18"/>
      <c r="W725" s="18"/>
      <c r="X725" s="18"/>
      <c r="Y725" s="18"/>
    </row>
    <row r="726">
      <c r="A726" s="67"/>
      <c r="B726" s="66"/>
      <c r="C726" s="18"/>
      <c r="D726" s="18"/>
      <c r="E726" s="18"/>
      <c r="F726" s="65"/>
      <c r="G726" s="66"/>
      <c r="H726" s="18"/>
      <c r="I726" s="18"/>
      <c r="J726" s="18"/>
      <c r="K726" s="65"/>
      <c r="L726" s="66"/>
      <c r="M726" s="65"/>
      <c r="N726" s="66"/>
      <c r="O726" s="65"/>
      <c r="P726" s="18"/>
      <c r="Q726" s="18"/>
      <c r="R726" s="18"/>
      <c r="S726" s="18"/>
      <c r="T726" s="18"/>
      <c r="U726" s="18"/>
      <c r="V726" s="18"/>
      <c r="W726" s="18"/>
      <c r="X726" s="18"/>
      <c r="Y726" s="18"/>
    </row>
    <row r="727">
      <c r="A727" s="67"/>
      <c r="B727" s="66"/>
      <c r="C727" s="18"/>
      <c r="D727" s="18"/>
      <c r="E727" s="18"/>
      <c r="F727" s="65"/>
      <c r="G727" s="66"/>
      <c r="H727" s="18"/>
      <c r="I727" s="18"/>
      <c r="J727" s="18"/>
      <c r="K727" s="65"/>
      <c r="L727" s="66"/>
      <c r="M727" s="65"/>
      <c r="N727" s="66"/>
      <c r="O727" s="65"/>
      <c r="P727" s="18"/>
      <c r="Q727" s="18"/>
      <c r="R727" s="18"/>
      <c r="S727" s="18"/>
      <c r="T727" s="18"/>
      <c r="U727" s="18"/>
      <c r="V727" s="18"/>
      <c r="W727" s="18"/>
      <c r="X727" s="18"/>
      <c r="Y727" s="18"/>
    </row>
    <row r="728">
      <c r="A728" s="67"/>
      <c r="B728" s="66"/>
      <c r="C728" s="18"/>
      <c r="D728" s="18"/>
      <c r="E728" s="18"/>
      <c r="F728" s="65"/>
      <c r="G728" s="66"/>
      <c r="H728" s="18"/>
      <c r="I728" s="18"/>
      <c r="J728" s="18"/>
      <c r="K728" s="65"/>
      <c r="L728" s="66"/>
      <c r="M728" s="65"/>
      <c r="N728" s="66"/>
      <c r="O728" s="65"/>
      <c r="P728" s="18"/>
      <c r="Q728" s="18"/>
      <c r="R728" s="18"/>
      <c r="S728" s="18"/>
      <c r="T728" s="18"/>
      <c r="U728" s="18"/>
      <c r="V728" s="18"/>
      <c r="W728" s="18"/>
      <c r="X728" s="18"/>
      <c r="Y728" s="18"/>
    </row>
    <row r="729">
      <c r="A729" s="67"/>
      <c r="B729" s="66"/>
      <c r="C729" s="18"/>
      <c r="D729" s="18"/>
      <c r="E729" s="18"/>
      <c r="F729" s="65"/>
      <c r="G729" s="66"/>
      <c r="H729" s="18"/>
      <c r="I729" s="18"/>
      <c r="J729" s="18"/>
      <c r="K729" s="65"/>
      <c r="L729" s="66"/>
      <c r="M729" s="65"/>
      <c r="N729" s="66"/>
      <c r="O729" s="65"/>
      <c r="P729" s="18"/>
      <c r="Q729" s="18"/>
      <c r="R729" s="18"/>
      <c r="S729" s="18"/>
      <c r="T729" s="18"/>
      <c r="U729" s="18"/>
      <c r="V729" s="18"/>
      <c r="W729" s="18"/>
      <c r="X729" s="18"/>
      <c r="Y729" s="18"/>
    </row>
    <row r="730">
      <c r="A730" s="67"/>
      <c r="B730" s="66"/>
      <c r="C730" s="18"/>
      <c r="D730" s="18"/>
      <c r="E730" s="18"/>
      <c r="F730" s="65"/>
      <c r="G730" s="66"/>
      <c r="H730" s="18"/>
      <c r="I730" s="18"/>
      <c r="J730" s="18"/>
      <c r="K730" s="65"/>
      <c r="L730" s="66"/>
      <c r="M730" s="65"/>
      <c r="N730" s="66"/>
      <c r="O730" s="65"/>
      <c r="P730" s="18"/>
      <c r="Q730" s="18"/>
      <c r="R730" s="18"/>
      <c r="S730" s="18"/>
      <c r="T730" s="18"/>
      <c r="U730" s="18"/>
      <c r="V730" s="18"/>
      <c r="W730" s="18"/>
      <c r="X730" s="18"/>
      <c r="Y730" s="18"/>
    </row>
    <row r="731">
      <c r="A731" s="67"/>
      <c r="B731" s="66"/>
      <c r="C731" s="18"/>
      <c r="D731" s="18"/>
      <c r="E731" s="18"/>
      <c r="F731" s="65"/>
      <c r="G731" s="66"/>
      <c r="H731" s="18"/>
      <c r="I731" s="18"/>
      <c r="J731" s="18"/>
      <c r="K731" s="65"/>
      <c r="L731" s="66"/>
      <c r="M731" s="65"/>
      <c r="N731" s="66"/>
      <c r="O731" s="65"/>
      <c r="P731" s="18"/>
      <c r="Q731" s="18"/>
      <c r="R731" s="18"/>
      <c r="S731" s="18"/>
      <c r="T731" s="18"/>
      <c r="U731" s="18"/>
      <c r="V731" s="18"/>
      <c r="W731" s="18"/>
      <c r="X731" s="18"/>
      <c r="Y731" s="18"/>
    </row>
    <row r="732">
      <c r="A732" s="67"/>
      <c r="B732" s="66"/>
      <c r="C732" s="18"/>
      <c r="D732" s="18"/>
      <c r="E732" s="18"/>
      <c r="F732" s="65"/>
      <c r="G732" s="66"/>
      <c r="H732" s="18"/>
      <c r="I732" s="18"/>
      <c r="J732" s="18"/>
      <c r="K732" s="65"/>
      <c r="L732" s="66"/>
      <c r="M732" s="65"/>
      <c r="N732" s="66"/>
      <c r="O732" s="65"/>
      <c r="P732" s="18"/>
      <c r="Q732" s="18"/>
      <c r="R732" s="18"/>
      <c r="S732" s="18"/>
      <c r="T732" s="18"/>
      <c r="U732" s="18"/>
      <c r="V732" s="18"/>
      <c r="W732" s="18"/>
      <c r="X732" s="18"/>
      <c r="Y732" s="18"/>
    </row>
    <row r="733">
      <c r="A733" s="67"/>
      <c r="B733" s="66"/>
      <c r="C733" s="18"/>
      <c r="D733" s="18"/>
      <c r="E733" s="18"/>
      <c r="F733" s="65"/>
      <c r="G733" s="66"/>
      <c r="H733" s="18"/>
      <c r="I733" s="18"/>
      <c r="J733" s="18"/>
      <c r="K733" s="65"/>
      <c r="L733" s="66"/>
      <c r="M733" s="65"/>
      <c r="N733" s="66"/>
      <c r="O733" s="65"/>
      <c r="P733" s="18"/>
      <c r="Q733" s="18"/>
      <c r="R733" s="18"/>
      <c r="S733" s="18"/>
      <c r="T733" s="18"/>
      <c r="U733" s="18"/>
      <c r="V733" s="18"/>
      <c r="W733" s="18"/>
      <c r="X733" s="18"/>
      <c r="Y733" s="18"/>
    </row>
    <row r="734">
      <c r="A734" s="67"/>
      <c r="B734" s="66"/>
      <c r="C734" s="18"/>
      <c r="D734" s="18"/>
      <c r="E734" s="18"/>
      <c r="F734" s="65"/>
      <c r="G734" s="66"/>
      <c r="H734" s="18"/>
      <c r="I734" s="18"/>
      <c r="J734" s="18"/>
      <c r="K734" s="65"/>
      <c r="L734" s="66"/>
      <c r="M734" s="65"/>
      <c r="N734" s="66"/>
      <c r="O734" s="65"/>
      <c r="P734" s="18"/>
      <c r="Q734" s="18"/>
      <c r="R734" s="18"/>
      <c r="S734" s="18"/>
      <c r="T734" s="18"/>
      <c r="U734" s="18"/>
      <c r="V734" s="18"/>
      <c r="W734" s="18"/>
      <c r="X734" s="18"/>
      <c r="Y734" s="18"/>
    </row>
    <row r="735">
      <c r="A735" s="67"/>
      <c r="B735" s="66"/>
      <c r="C735" s="18"/>
      <c r="D735" s="18"/>
      <c r="E735" s="18"/>
      <c r="F735" s="65"/>
      <c r="G735" s="66"/>
      <c r="H735" s="18"/>
      <c r="I735" s="18"/>
      <c r="J735" s="18"/>
      <c r="K735" s="65"/>
      <c r="L735" s="66"/>
      <c r="M735" s="65"/>
      <c r="N735" s="66"/>
      <c r="O735" s="65"/>
      <c r="P735" s="18"/>
      <c r="Q735" s="18"/>
      <c r="R735" s="18"/>
      <c r="S735" s="18"/>
      <c r="T735" s="18"/>
      <c r="U735" s="18"/>
      <c r="V735" s="18"/>
      <c r="W735" s="18"/>
      <c r="X735" s="18"/>
      <c r="Y735" s="18"/>
    </row>
    <row r="736">
      <c r="A736" s="67"/>
      <c r="B736" s="66"/>
      <c r="C736" s="18"/>
      <c r="D736" s="18"/>
      <c r="E736" s="18"/>
      <c r="F736" s="65"/>
      <c r="G736" s="66"/>
      <c r="H736" s="18"/>
      <c r="I736" s="18"/>
      <c r="J736" s="18"/>
      <c r="K736" s="65"/>
      <c r="L736" s="66"/>
      <c r="M736" s="65"/>
      <c r="N736" s="66"/>
      <c r="O736" s="65"/>
      <c r="P736" s="18"/>
      <c r="Q736" s="18"/>
      <c r="R736" s="18"/>
      <c r="S736" s="18"/>
      <c r="T736" s="18"/>
      <c r="U736" s="18"/>
      <c r="V736" s="18"/>
      <c r="W736" s="18"/>
      <c r="X736" s="18"/>
      <c r="Y736" s="18"/>
    </row>
    <row r="737">
      <c r="A737" s="67"/>
      <c r="B737" s="66"/>
      <c r="C737" s="18"/>
      <c r="D737" s="18"/>
      <c r="E737" s="18"/>
      <c r="F737" s="65"/>
      <c r="G737" s="66"/>
      <c r="H737" s="18"/>
      <c r="I737" s="18"/>
      <c r="J737" s="18"/>
      <c r="K737" s="65"/>
      <c r="L737" s="66"/>
      <c r="M737" s="65"/>
      <c r="N737" s="66"/>
      <c r="O737" s="65"/>
      <c r="P737" s="18"/>
      <c r="Q737" s="18"/>
      <c r="R737" s="18"/>
      <c r="S737" s="18"/>
      <c r="T737" s="18"/>
      <c r="U737" s="18"/>
      <c r="V737" s="18"/>
      <c r="W737" s="18"/>
      <c r="X737" s="18"/>
      <c r="Y737" s="18"/>
    </row>
    <row r="738">
      <c r="A738" s="67"/>
      <c r="B738" s="66"/>
      <c r="C738" s="18"/>
      <c r="D738" s="18"/>
      <c r="E738" s="18"/>
      <c r="F738" s="65"/>
      <c r="G738" s="66"/>
      <c r="H738" s="18"/>
      <c r="I738" s="18"/>
      <c r="J738" s="18"/>
      <c r="K738" s="65"/>
      <c r="L738" s="66"/>
      <c r="M738" s="65"/>
      <c r="N738" s="66"/>
      <c r="O738" s="65"/>
      <c r="P738" s="18"/>
      <c r="Q738" s="18"/>
      <c r="R738" s="18"/>
      <c r="S738" s="18"/>
      <c r="T738" s="18"/>
      <c r="U738" s="18"/>
      <c r="V738" s="18"/>
      <c r="W738" s="18"/>
      <c r="X738" s="18"/>
      <c r="Y738" s="18"/>
    </row>
    <row r="739">
      <c r="A739" s="67"/>
      <c r="B739" s="66"/>
      <c r="C739" s="18"/>
      <c r="D739" s="18"/>
      <c r="E739" s="18"/>
      <c r="F739" s="65"/>
      <c r="G739" s="66"/>
      <c r="H739" s="18"/>
      <c r="I739" s="18"/>
      <c r="J739" s="18"/>
      <c r="K739" s="65"/>
      <c r="L739" s="66"/>
      <c r="M739" s="65"/>
      <c r="N739" s="66"/>
      <c r="O739" s="65"/>
      <c r="P739" s="18"/>
      <c r="Q739" s="18"/>
      <c r="R739" s="18"/>
      <c r="S739" s="18"/>
      <c r="T739" s="18"/>
      <c r="U739" s="18"/>
      <c r="V739" s="18"/>
      <c r="W739" s="18"/>
      <c r="X739" s="18"/>
      <c r="Y739" s="18"/>
    </row>
    <row r="740">
      <c r="A740" s="67"/>
      <c r="B740" s="66"/>
      <c r="C740" s="18"/>
      <c r="D740" s="18"/>
      <c r="E740" s="18"/>
      <c r="F740" s="65"/>
      <c r="G740" s="66"/>
      <c r="H740" s="18"/>
      <c r="I740" s="18"/>
      <c r="J740" s="18"/>
      <c r="K740" s="65"/>
      <c r="L740" s="66"/>
      <c r="M740" s="65"/>
      <c r="N740" s="66"/>
      <c r="O740" s="65"/>
      <c r="P740" s="18"/>
      <c r="Q740" s="18"/>
      <c r="R740" s="18"/>
      <c r="S740" s="18"/>
      <c r="T740" s="18"/>
      <c r="U740" s="18"/>
      <c r="V740" s="18"/>
      <c r="W740" s="18"/>
      <c r="X740" s="18"/>
      <c r="Y740" s="18"/>
    </row>
    <row r="741">
      <c r="A741" s="67"/>
      <c r="B741" s="66"/>
      <c r="C741" s="18"/>
      <c r="D741" s="18"/>
      <c r="E741" s="18"/>
      <c r="F741" s="65"/>
      <c r="G741" s="66"/>
      <c r="H741" s="18"/>
      <c r="I741" s="18"/>
      <c r="J741" s="18"/>
      <c r="K741" s="65"/>
      <c r="L741" s="66"/>
      <c r="M741" s="65"/>
      <c r="N741" s="66"/>
      <c r="O741" s="65"/>
      <c r="P741" s="18"/>
      <c r="Q741" s="18"/>
      <c r="R741" s="18"/>
      <c r="S741" s="18"/>
      <c r="T741" s="18"/>
      <c r="U741" s="18"/>
      <c r="V741" s="18"/>
      <c r="W741" s="18"/>
      <c r="X741" s="18"/>
      <c r="Y741" s="18"/>
    </row>
    <row r="742">
      <c r="A742" s="67"/>
      <c r="B742" s="66"/>
      <c r="C742" s="18"/>
      <c r="D742" s="18"/>
      <c r="E742" s="18"/>
      <c r="F742" s="65"/>
      <c r="G742" s="66"/>
      <c r="H742" s="18"/>
      <c r="I742" s="18"/>
      <c r="J742" s="18"/>
      <c r="K742" s="65"/>
      <c r="L742" s="66"/>
      <c r="M742" s="65"/>
      <c r="N742" s="66"/>
      <c r="O742" s="65"/>
      <c r="P742" s="18"/>
      <c r="Q742" s="18"/>
      <c r="R742" s="18"/>
      <c r="S742" s="18"/>
      <c r="T742" s="18"/>
      <c r="U742" s="18"/>
      <c r="V742" s="18"/>
      <c r="W742" s="18"/>
      <c r="X742" s="18"/>
      <c r="Y742" s="18"/>
    </row>
    <row r="743">
      <c r="A743" s="67"/>
      <c r="B743" s="66"/>
      <c r="C743" s="18"/>
      <c r="D743" s="18"/>
      <c r="E743" s="18"/>
      <c r="F743" s="65"/>
      <c r="G743" s="66"/>
      <c r="H743" s="18"/>
      <c r="I743" s="18"/>
      <c r="J743" s="18"/>
      <c r="K743" s="65"/>
      <c r="L743" s="66"/>
      <c r="M743" s="65"/>
      <c r="N743" s="66"/>
      <c r="O743" s="65"/>
      <c r="P743" s="18"/>
      <c r="Q743" s="18"/>
      <c r="R743" s="18"/>
      <c r="S743" s="18"/>
      <c r="T743" s="18"/>
      <c r="U743" s="18"/>
      <c r="V743" s="18"/>
      <c r="W743" s="18"/>
      <c r="X743" s="18"/>
      <c r="Y743" s="18"/>
    </row>
    <row r="744">
      <c r="A744" s="67"/>
      <c r="B744" s="66"/>
      <c r="C744" s="18"/>
      <c r="D744" s="18"/>
      <c r="E744" s="18"/>
      <c r="F744" s="65"/>
      <c r="G744" s="66"/>
      <c r="H744" s="18"/>
      <c r="I744" s="18"/>
      <c r="J744" s="18"/>
      <c r="K744" s="65"/>
      <c r="L744" s="66"/>
      <c r="M744" s="65"/>
      <c r="N744" s="66"/>
      <c r="O744" s="65"/>
      <c r="P744" s="18"/>
      <c r="Q744" s="18"/>
      <c r="R744" s="18"/>
      <c r="S744" s="18"/>
      <c r="T744" s="18"/>
      <c r="U744" s="18"/>
      <c r="V744" s="18"/>
      <c r="W744" s="18"/>
      <c r="X744" s="18"/>
      <c r="Y744" s="18"/>
    </row>
    <row r="745">
      <c r="A745" s="67"/>
      <c r="B745" s="66"/>
      <c r="C745" s="18"/>
      <c r="D745" s="18"/>
      <c r="E745" s="18"/>
      <c r="F745" s="65"/>
      <c r="G745" s="66"/>
      <c r="H745" s="18"/>
      <c r="I745" s="18"/>
      <c r="J745" s="18"/>
      <c r="K745" s="65"/>
      <c r="L745" s="66"/>
      <c r="M745" s="65"/>
      <c r="N745" s="66"/>
      <c r="O745" s="65"/>
      <c r="P745" s="18"/>
      <c r="Q745" s="18"/>
      <c r="R745" s="18"/>
      <c r="S745" s="18"/>
      <c r="T745" s="18"/>
      <c r="U745" s="18"/>
      <c r="V745" s="18"/>
      <c r="W745" s="18"/>
      <c r="X745" s="18"/>
      <c r="Y745" s="18"/>
    </row>
    <row r="746">
      <c r="A746" s="67"/>
      <c r="B746" s="66"/>
      <c r="C746" s="18"/>
      <c r="D746" s="18"/>
      <c r="E746" s="18"/>
      <c r="F746" s="65"/>
      <c r="G746" s="66"/>
      <c r="H746" s="18"/>
      <c r="I746" s="18"/>
      <c r="J746" s="18"/>
      <c r="K746" s="65"/>
      <c r="L746" s="66"/>
      <c r="M746" s="65"/>
      <c r="N746" s="66"/>
      <c r="O746" s="65"/>
      <c r="P746" s="18"/>
      <c r="Q746" s="18"/>
      <c r="R746" s="18"/>
      <c r="S746" s="18"/>
      <c r="T746" s="18"/>
      <c r="U746" s="18"/>
      <c r="V746" s="18"/>
      <c r="W746" s="18"/>
      <c r="X746" s="18"/>
      <c r="Y746" s="18"/>
    </row>
    <row r="747">
      <c r="A747" s="67"/>
      <c r="B747" s="66"/>
      <c r="C747" s="18"/>
      <c r="D747" s="18"/>
      <c r="E747" s="18"/>
      <c r="F747" s="65"/>
      <c r="G747" s="66"/>
      <c r="H747" s="18"/>
      <c r="I747" s="18"/>
      <c r="J747" s="18"/>
      <c r="K747" s="65"/>
      <c r="L747" s="66"/>
      <c r="M747" s="65"/>
      <c r="N747" s="66"/>
      <c r="O747" s="65"/>
      <c r="P747" s="18"/>
      <c r="Q747" s="18"/>
      <c r="R747" s="18"/>
      <c r="S747" s="18"/>
      <c r="T747" s="18"/>
      <c r="U747" s="18"/>
      <c r="V747" s="18"/>
      <c r="W747" s="18"/>
      <c r="X747" s="18"/>
      <c r="Y747" s="18"/>
    </row>
    <row r="748">
      <c r="A748" s="96"/>
      <c r="B748" s="97"/>
      <c r="C748" s="98"/>
      <c r="D748" s="98"/>
      <c r="E748" s="98"/>
      <c r="F748" s="99"/>
      <c r="G748" s="97"/>
      <c r="H748" s="98"/>
      <c r="I748" s="98"/>
      <c r="J748" s="98"/>
      <c r="K748" s="99"/>
      <c r="L748" s="97"/>
      <c r="M748" s="99"/>
      <c r="N748" s="97"/>
      <c r="O748" s="99"/>
      <c r="P748" s="18"/>
      <c r="Q748" s="18"/>
      <c r="R748" s="18"/>
      <c r="S748" s="18"/>
      <c r="T748" s="18"/>
      <c r="U748" s="18"/>
      <c r="V748" s="18"/>
      <c r="W748" s="18"/>
      <c r="X748" s="18"/>
      <c r="Y748" s="18"/>
    </row>
  </sheetData>
  <mergeCells count="4">
    <mergeCell ref="B1:F1"/>
    <mergeCell ref="G1:K1"/>
    <mergeCell ref="L1:M1"/>
    <mergeCell ref="N1:O1"/>
  </mergeCells>
  <dataValidations>
    <dataValidation type="list" allowBlank="1" sqref="H3:H4 C3:C12 H14 H19 H24 C15:C31 C35:C52 H53 C54 H55 H58 H68 C56:C75 H88 C78:C89 H90 C91:C101 H102 C103 H104 C105:C113 H114 C115:C123 C126 C129 H129:H130 H132 C133:C135 C138 H150 C141:C152 H152 C155 H156 H160 H163:H164 H187 H197:H198 H202 H212:H217 C157:C225 H219:H225 C228 H230:H238 H244 H250:H251 H253:H254 C230:C264 H267:H268 C268:C274 H275 C276:C280 H281 C282:C286 H296:H300 C289:C338 H339:H340 H345:H349 H364 C341:C391 H373:H391 H394:H395 H397 C394:C410 H411:H413 C414:C420 H421 H423 C422:C432 H433 C434 H440 C438:C457 H458:H459 C459:C461 C464:C467 H468 H479 C469:C501 H502 C503:C504 C511:C512">
      <formula1>"Ron,Euro"</formula1>
    </dataValidation>
    <dataValidation type="list" allowBlank="1" sqref="K3:K4 F3:F12 K14 K19 K24 F15:F31 F35:F52 K53 F54 K55 K58 K68 F56:F75 K88 F78:F89 K90 F91:F101 K102 F103 K104 F105:F113 K114 F115:F123 F126 F129 K129:K130 K132 F133:F135 F138 K150 F141:F152 K152 F155 K156 K160 K163:K164 K187 K197:K198 K202 K212:K217 F157:F225 K219:K225 F228 K230:K238 K244 K250:K251 K254 F230:F264 K267:K268 F268:F274 K275 F276:F280 K281 F282:F286 K296:K300 F289:F338 K339:K340 K345:K349 K364 F341:F391 K373:K391 K394:K395 F394:F396 K397 F400 F405:F410 K411:K413 F414:F420 K421 K423 F422:F432 K433 F434 K440 F438:F457 K458:K459 F459:F461 F465:F467 K468 K479 F469:F501 K502 F503:F504 F511:F512">
      <formula1>"Banca,Cash"</formula1>
    </dataValidation>
    <dataValidation type="list" allowBlank="1" sqref="D3:D12 D15:D31 D35:D52 D54 D56:D75 D78:D89 D91:D101 D103 D105:D113 D115:D123 D126 D129 D133:D135 D138 D141:D152 D155 D157:D225 D228 D230:D264 D268:D274 D276:D280 D282:D286 I300 D289:D338 D341:D391 D394:D410 D414:D420 D422:D432 D434 D438:D457 D459:D461 D464:D467 D469:D501 D503:D504 D511:D512">
      <formula1>"Carina,Radu,Arni,Luci,Sebi,Prezent,Tehnici,Salariu,Impozit,Contabila,TVA,Comision Retrageri,Comision Operatiune,ING Card,DJ,Podium,Video,Audio,Recuperari,Drum,Drive,Promo Meta,Promo Google,Promo TikTok,Factureaza,Protocol,Altele,Schimb Valutar,Lumini,Sala"&amp;" CS,Internet,Dividende"</formula1>
    </dataValidation>
    <dataValidation type="list" allowBlank="1" sqref="I3 I14 I19 I24 I53 I55 I58 I68 I88 I90 I102 I104 I114 I129:I130 I132 I150 I152 I156 I160 I163:I164 I187 I197:I198 I202 I212:I217 I219:I225 I230:I238 I244 I250:I251 I254 I267:I268 I275 I281 I296:I299 I339:I340 I345:I349 I364 I373:I391 I394:I395 I397 I411:I413 I421 I423 I433 I440 I458:I459 I468 I479 I502">
      <formula1>"Avans,Event,Imprumut,Altele"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.88"/>
    <col customWidth="1" min="3" max="3" width="12.13"/>
    <col customWidth="1" min="5" max="5" width="7.0"/>
    <col customWidth="1" min="7" max="7" width="8.63"/>
    <col customWidth="1" min="8" max="8" width="18.0"/>
    <col customWidth="1" min="9" max="9" width="5.88"/>
    <col customWidth="1" min="11" max="11" width="6.63"/>
    <col customWidth="1" min="14" max="14" width="9.25"/>
    <col customWidth="1" min="16" max="16" width="5.88"/>
  </cols>
  <sheetData>
    <row r="1">
      <c r="A1" s="45" t="s">
        <v>269</v>
      </c>
      <c r="B1" s="46"/>
      <c r="C1" s="45" t="s">
        <v>270</v>
      </c>
      <c r="D1" s="46"/>
      <c r="E1" s="46"/>
      <c r="F1" s="46"/>
      <c r="G1" s="45" t="s">
        <v>271</v>
      </c>
      <c r="H1" s="46"/>
      <c r="I1" s="46"/>
      <c r="J1" s="46"/>
      <c r="K1" s="45" t="s">
        <v>273</v>
      </c>
      <c r="L1" s="46"/>
      <c r="M1" s="46"/>
      <c r="N1" s="45" t="s">
        <v>127</v>
      </c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</row>
    <row r="2">
      <c r="A2" s="45">
        <f>A5+A8+A11</f>
        <v>0</v>
      </c>
      <c r="B2" s="46"/>
      <c r="C2" s="86"/>
      <c r="D2" s="46"/>
      <c r="E2" s="46"/>
      <c r="F2" s="46"/>
      <c r="G2" s="46"/>
      <c r="H2" s="45"/>
      <c r="I2" s="45"/>
      <c r="J2" s="46"/>
      <c r="K2" s="46"/>
      <c r="L2" s="46"/>
      <c r="M2" s="46"/>
      <c r="O2" s="45"/>
      <c r="P2" s="45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</row>
    <row r="3">
      <c r="A3" s="46"/>
      <c r="B3" s="46"/>
      <c r="C3" s="46"/>
      <c r="D3" s="46"/>
      <c r="E3" s="46"/>
      <c r="F3" s="46"/>
      <c r="G3" s="46"/>
      <c r="H3" s="45"/>
      <c r="I3" s="45"/>
      <c r="J3" s="46"/>
      <c r="K3" s="46"/>
      <c r="L3" s="46"/>
      <c r="M3" s="46"/>
      <c r="N3" s="46"/>
      <c r="O3" s="45"/>
      <c r="P3" s="45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</row>
    <row r="4">
      <c r="A4" s="45" t="s">
        <v>275</v>
      </c>
      <c r="B4" s="46"/>
      <c r="C4" s="86"/>
      <c r="D4" s="46"/>
      <c r="E4" s="46"/>
      <c r="F4" s="46"/>
      <c r="G4" s="46"/>
      <c r="H4" s="45"/>
      <c r="I4" s="45"/>
      <c r="J4" s="46"/>
      <c r="K4" s="46"/>
      <c r="L4" s="46"/>
      <c r="M4" s="46"/>
      <c r="N4" s="46"/>
      <c r="O4" s="45"/>
      <c r="P4" s="45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</row>
    <row r="5">
      <c r="A5" s="46">
        <f>sum(E:E)</f>
        <v>0</v>
      </c>
      <c r="B5" s="46"/>
      <c r="C5" s="86"/>
      <c r="D5" s="46"/>
      <c r="E5" s="46"/>
      <c r="F5" s="46"/>
      <c r="G5" s="46"/>
      <c r="H5" s="45"/>
      <c r="I5" s="45"/>
      <c r="J5" s="46"/>
      <c r="K5" s="46"/>
      <c r="L5" s="46"/>
      <c r="M5" s="46"/>
      <c r="N5" s="46"/>
      <c r="O5" s="45"/>
      <c r="P5" s="45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</row>
    <row r="6">
      <c r="A6" s="46"/>
      <c r="B6" s="46"/>
      <c r="C6" s="46"/>
      <c r="D6" s="46"/>
      <c r="E6" s="46"/>
      <c r="F6" s="46"/>
      <c r="G6" s="46"/>
      <c r="H6" s="45"/>
      <c r="I6" s="45"/>
      <c r="J6" s="46"/>
      <c r="K6" s="46"/>
      <c r="L6" s="46"/>
      <c r="M6" s="46"/>
      <c r="N6" s="46"/>
      <c r="O6" s="45"/>
      <c r="P6" s="45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</row>
    <row r="7">
      <c r="A7" s="45" t="s">
        <v>276</v>
      </c>
      <c r="B7" s="46"/>
      <c r="C7" s="86"/>
      <c r="D7" s="46"/>
      <c r="E7" s="46"/>
      <c r="F7" s="46"/>
      <c r="G7" s="46"/>
      <c r="H7" s="45"/>
      <c r="I7" s="45"/>
      <c r="J7" s="46"/>
      <c r="K7" s="46"/>
      <c r="L7" s="46"/>
      <c r="M7" s="46"/>
      <c r="N7" s="46"/>
      <c r="P7" s="45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>
      <c r="A8" s="46">
        <f>sum(I:I)</f>
        <v>0</v>
      </c>
      <c r="B8" s="46"/>
      <c r="C8" s="86"/>
      <c r="D8" s="46"/>
      <c r="E8" s="46"/>
      <c r="F8" s="46"/>
      <c r="G8" s="46"/>
      <c r="H8" s="45"/>
      <c r="I8" s="45"/>
      <c r="J8" s="46"/>
      <c r="K8" s="46"/>
      <c r="L8" s="46"/>
      <c r="M8" s="46"/>
      <c r="N8" s="46"/>
      <c r="O8" s="45"/>
      <c r="P8" s="45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</row>
    <row r="9">
      <c r="A9" s="46"/>
      <c r="B9" s="46"/>
      <c r="C9" s="86"/>
      <c r="D9" s="46"/>
      <c r="E9" s="46"/>
      <c r="F9" s="46"/>
      <c r="G9" s="46"/>
      <c r="H9" s="45"/>
      <c r="I9" s="45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</row>
    <row r="10">
      <c r="A10" s="45" t="s">
        <v>277</v>
      </c>
      <c r="B10" s="46"/>
      <c r="C10" s="86"/>
      <c r="D10" s="46"/>
      <c r="E10" s="46"/>
      <c r="F10" s="46"/>
      <c r="G10" s="46"/>
      <c r="H10" s="45"/>
      <c r="I10" s="45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</row>
    <row r="11">
      <c r="A11" s="46">
        <f>sum(L:L)</f>
        <v>0</v>
      </c>
      <c r="B11" s="46"/>
      <c r="C11" s="86"/>
      <c r="D11" s="46"/>
      <c r="E11" s="46"/>
      <c r="F11" s="46"/>
      <c r="G11" s="46"/>
      <c r="H11" s="45"/>
      <c r="I11" s="45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</row>
    <row r="12">
      <c r="A12" s="46"/>
      <c r="B12" s="46"/>
      <c r="C12" s="86"/>
      <c r="D12" s="86"/>
      <c r="E12" s="87"/>
      <c r="F12" s="46"/>
      <c r="G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</row>
    <row r="13">
      <c r="A13" s="45" t="s">
        <v>278</v>
      </c>
      <c r="B13" s="46"/>
      <c r="C13" s="86"/>
      <c r="D13" s="86"/>
      <c r="E13" s="87"/>
      <c r="F13" s="46"/>
      <c r="G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>
      <c r="A14" s="46">
        <f>sum(P:P)</f>
        <v>0</v>
      </c>
      <c r="B14" s="46"/>
      <c r="C14" s="86"/>
      <c r="D14" s="86"/>
      <c r="E14" s="87"/>
      <c r="F14" s="46"/>
      <c r="G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</row>
    <row r="15">
      <c r="A15" s="46"/>
      <c r="B15" s="46"/>
      <c r="C15" s="46"/>
      <c r="D15" s="46"/>
      <c r="E15" s="46"/>
      <c r="F15" s="46"/>
      <c r="G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</row>
    <row r="16">
      <c r="A16" s="46"/>
      <c r="B16" s="46"/>
      <c r="C16" s="46"/>
      <c r="D16" s="46"/>
      <c r="E16" s="46"/>
      <c r="F16" s="46"/>
      <c r="G16" s="46"/>
      <c r="H16" s="45"/>
      <c r="I16" s="45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88"/>
    <col customWidth="1" min="8" max="8" width="16.88"/>
  </cols>
  <sheetData>
    <row r="1">
      <c r="A1" s="45" t="s">
        <v>117</v>
      </c>
      <c r="B1" s="46">
        <f>SUMIF('Tranzactii 2023'!H:H,'Tranzactii 2023'!H3,'Tranzactii 2023'!G:G)-'Tranzactii 2023'!G4+'Tranzactii 2023'!G3</f>
        <v>291910</v>
      </c>
      <c r="C1" s="46"/>
      <c r="D1" s="46"/>
      <c r="E1" s="45" t="s">
        <v>525</v>
      </c>
      <c r="F1" s="46">
        <f>sumif('Evenimente 2023'!W:W,'Evenimente 2023'!W14,'Evenimente 2023'!V:V)</f>
        <v>-677</v>
      </c>
      <c r="H1" s="45" t="s">
        <v>118</v>
      </c>
      <c r="I1" s="46">
        <f>COUNT('Evenimente 2023'!A:A)</f>
        <v>47</v>
      </c>
      <c r="J1" s="46"/>
      <c r="K1" s="46"/>
      <c r="L1" s="45" t="s">
        <v>119</v>
      </c>
      <c r="M1" s="45">
        <v>4.9</v>
      </c>
      <c r="N1" s="46"/>
      <c r="O1" s="46"/>
      <c r="P1" s="46"/>
      <c r="Q1" s="46"/>
      <c r="R1" s="46"/>
      <c r="S1" s="46"/>
    </row>
    <row r="2">
      <c r="A2" s="45" t="s">
        <v>120</v>
      </c>
      <c r="B2" s="46">
        <f>sumif('Tranzactii 2023'!H:H,'Tranzactii 2023'!H100,'Tranzactii 2023'!G:G)</f>
        <v>39700</v>
      </c>
      <c r="C2" s="46"/>
      <c r="D2" s="46"/>
      <c r="E2" s="50" t="s">
        <v>526</v>
      </c>
      <c r="F2" s="46">
        <f>sumif('Evenimente 2023'!W:W,'Evenimente 2023'!W12,'Evenimente 2023'!V:V)</f>
        <v>-52</v>
      </c>
      <c r="G2" s="46"/>
      <c r="I2" s="46"/>
      <c r="J2" s="46"/>
      <c r="L2" s="47"/>
      <c r="M2" s="48"/>
      <c r="N2" s="46"/>
      <c r="O2" s="46"/>
      <c r="P2" s="46"/>
      <c r="Q2" s="46"/>
      <c r="R2" s="46"/>
      <c r="S2" s="46"/>
    </row>
    <row r="3">
      <c r="A3" s="45" t="s">
        <v>121</v>
      </c>
      <c r="B3" s="46">
        <f>SUMIF('Tranzactii 2023'!C:C,'Tranzactii 2023'!C3,'Tranzactii 2023'!B:B)</f>
        <v>297822.55</v>
      </c>
      <c r="C3" s="46"/>
      <c r="D3" s="46"/>
      <c r="E3" s="50" t="s">
        <v>527</v>
      </c>
      <c r="F3">
        <f>round(F2+F1/M1,0)</f>
        <v>-190</v>
      </c>
      <c r="G3" s="46"/>
      <c r="H3" s="45" t="s">
        <v>54</v>
      </c>
      <c r="I3" s="46">
        <f>countif('Evenimente 2023'!B:B,H3)</f>
        <v>22</v>
      </c>
      <c r="J3" s="46"/>
      <c r="L3" s="49"/>
      <c r="M3" s="48"/>
      <c r="N3" s="46"/>
      <c r="O3" s="46"/>
      <c r="P3" s="46"/>
      <c r="Q3" s="46"/>
      <c r="R3" s="46"/>
      <c r="S3" s="46"/>
    </row>
    <row r="4">
      <c r="A4" s="45" t="s">
        <v>122</v>
      </c>
      <c r="B4" s="46">
        <f>sumif('Tranzactii 2023'!C:C,'Tranzactii 2023'!C101,'Tranzactii 2023'!B:B)</f>
        <v>39700</v>
      </c>
      <c r="C4" s="46"/>
      <c r="D4" s="46"/>
      <c r="G4" s="46"/>
      <c r="H4" s="45" t="s">
        <v>55</v>
      </c>
      <c r="I4">
        <f>COUNTIF('Evenimente 2023'!C:C,H4)</f>
        <v>9</v>
      </c>
      <c r="J4" s="46"/>
      <c r="K4" s="46"/>
      <c r="L4" s="46"/>
      <c r="M4" s="46"/>
      <c r="N4" s="46"/>
      <c r="O4" s="46"/>
      <c r="P4" s="46"/>
      <c r="Q4" s="46"/>
      <c r="R4" s="46"/>
      <c r="S4" s="46"/>
    </row>
    <row r="5">
      <c r="A5" s="45" t="s">
        <v>123</v>
      </c>
      <c r="B5" s="46">
        <f>sum('Tranzactii 2023'!L:L)</f>
        <v>148090</v>
      </c>
      <c r="C5" s="45" t="s">
        <v>124</v>
      </c>
      <c r="D5" s="46"/>
      <c r="E5" s="45" t="s">
        <v>528</v>
      </c>
      <c r="F5" s="46">
        <f>sumif('Evenimente 2023'!W:W,'Evenimente 2023'!W5,'Evenimente 2023'!N:N)</f>
        <v>54380</v>
      </c>
      <c r="G5" s="46"/>
      <c r="H5" s="50" t="s">
        <v>125</v>
      </c>
      <c r="I5">
        <f>COUNTIF('Evenimente 2023'!C:C,H5)</f>
        <v>13</v>
      </c>
      <c r="J5" s="46"/>
      <c r="K5" s="46"/>
      <c r="L5" s="46"/>
      <c r="M5" s="46"/>
      <c r="N5" s="46"/>
      <c r="O5" s="46"/>
      <c r="P5" s="46"/>
      <c r="Q5" s="46"/>
      <c r="R5" s="46"/>
      <c r="S5" s="46"/>
    </row>
    <row r="6">
      <c r="A6" s="45" t="s">
        <v>126</v>
      </c>
      <c r="B6" s="46">
        <f>sum('Tranzactii 2023'!N:N)</f>
        <v>4750</v>
      </c>
      <c r="C6" s="45" t="s">
        <v>124</v>
      </c>
      <c r="D6" s="46"/>
      <c r="E6" s="45" t="s">
        <v>529</v>
      </c>
      <c r="F6" s="46">
        <f>sumif('Evenimente 2023'!W:W,'Evenimente 2023'!W12,'Evenimente 2023'!N:N)</f>
        <v>5848</v>
      </c>
      <c r="G6" s="46"/>
      <c r="J6" s="46"/>
      <c r="K6" s="46"/>
      <c r="L6" s="46"/>
      <c r="M6" s="46"/>
      <c r="N6" s="46"/>
      <c r="O6" s="46"/>
      <c r="P6" s="46"/>
      <c r="Q6" s="46"/>
      <c r="R6" s="46"/>
      <c r="S6" s="46"/>
    </row>
    <row r="7">
      <c r="A7" s="45" t="s">
        <v>530</v>
      </c>
      <c r="B7" s="46">
        <f>'Tranzactii 2023'!G3+'Tranzactii 2023'!G4</f>
        <v>46584</v>
      </c>
      <c r="C7" s="45" t="s">
        <v>124</v>
      </c>
      <c r="D7" s="46"/>
      <c r="E7" s="50" t="s">
        <v>531</v>
      </c>
      <c r="F7">
        <f>round(F6+F5/M1,0)</f>
        <v>16946</v>
      </c>
      <c r="G7" s="45" t="s">
        <v>204</v>
      </c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</row>
    <row r="8">
      <c r="A8" s="46"/>
      <c r="B8" s="46"/>
      <c r="C8" s="46"/>
      <c r="D8" s="46"/>
      <c r="E8" s="46"/>
      <c r="F8" s="46"/>
      <c r="G8" s="46"/>
      <c r="J8" s="46"/>
      <c r="K8" s="46"/>
      <c r="L8" s="46"/>
      <c r="M8" s="46"/>
      <c r="N8" s="46"/>
      <c r="O8" s="46"/>
      <c r="P8" s="46"/>
      <c r="Q8" s="46"/>
      <c r="R8" s="46"/>
      <c r="S8" s="46"/>
    </row>
    <row r="9">
      <c r="A9" s="45"/>
      <c r="B9" s="46"/>
      <c r="C9" s="46"/>
      <c r="D9" s="46"/>
      <c r="E9" s="45" t="s">
        <v>532</v>
      </c>
      <c r="F9" s="46">
        <f>sumif('Evenimente 2023'!W:W,'Evenimente 2023'!W5,'Evenimente 2023'!L:L)</f>
        <v>53050</v>
      </c>
      <c r="G9" s="46"/>
      <c r="H9" s="45" t="s">
        <v>34</v>
      </c>
      <c r="I9" s="46">
        <f>COUNTIF('Evenimente 2023'!B:B,H9)</f>
        <v>25</v>
      </c>
      <c r="J9" s="46"/>
      <c r="K9" s="46"/>
      <c r="L9" s="46"/>
      <c r="M9" s="46"/>
      <c r="N9" s="46"/>
      <c r="O9" s="46"/>
      <c r="P9" s="46"/>
      <c r="Q9" s="46"/>
      <c r="R9" s="46"/>
      <c r="S9" s="46"/>
    </row>
    <row r="10">
      <c r="A10" s="45" t="s">
        <v>128</v>
      </c>
      <c r="B10" s="46">
        <f>'DatoriiRecuperari 2023'!A2</f>
        <v>3250</v>
      </c>
      <c r="C10" s="46"/>
      <c r="D10" s="46"/>
      <c r="E10" s="45" t="s">
        <v>533</v>
      </c>
      <c r="F10" s="46">
        <f>sumif('Evenimente 2023'!W:W,'Evenimente 2023'!W12,'Evenimente 2023'!L:L)</f>
        <v>9491</v>
      </c>
      <c r="G10" s="46"/>
      <c r="H10" s="45" t="s">
        <v>35</v>
      </c>
      <c r="I10" s="46">
        <f>COUNTIF('Evenimente 2023'!C:C,H10)</f>
        <v>16</v>
      </c>
      <c r="J10" s="46"/>
      <c r="K10" s="46"/>
      <c r="L10" s="46"/>
      <c r="M10" s="46"/>
      <c r="N10" s="46"/>
      <c r="O10" s="46"/>
      <c r="P10" s="46"/>
      <c r="Q10" s="46"/>
      <c r="R10" s="46"/>
      <c r="S10" s="46"/>
    </row>
    <row r="11">
      <c r="A11" s="46"/>
      <c r="B11" s="46"/>
      <c r="C11" s="46"/>
      <c r="D11" s="46"/>
      <c r="E11" s="50" t="s">
        <v>534</v>
      </c>
      <c r="F11">
        <f>round(F10+F9/M1,0)</f>
        <v>20318</v>
      </c>
      <c r="G11" s="45" t="s">
        <v>204</v>
      </c>
      <c r="H11" s="45" t="s">
        <v>78</v>
      </c>
      <c r="I11" s="46">
        <f>countif('Evenimente 2023'!C:C,H11)</f>
        <v>8</v>
      </c>
      <c r="J11" s="46"/>
      <c r="K11" s="46"/>
      <c r="L11" s="46"/>
      <c r="M11" s="46"/>
      <c r="N11" s="46"/>
      <c r="O11" s="46"/>
      <c r="P11" s="46"/>
      <c r="Q11" s="46"/>
      <c r="R11" s="46"/>
      <c r="S11" s="46"/>
    </row>
    <row r="12">
      <c r="A12" s="45" t="s">
        <v>129</v>
      </c>
      <c r="B12" s="46">
        <f>B1+B7-B3</f>
        <v>40671.45</v>
      </c>
      <c r="C12" s="46"/>
      <c r="D12" s="46"/>
      <c r="G12" s="46"/>
      <c r="H12" s="45" t="s">
        <v>130</v>
      </c>
      <c r="I12" s="46">
        <f>COUNTIF('Evenimente 2023'!C:C,H12)</f>
        <v>1</v>
      </c>
      <c r="J12" s="46"/>
      <c r="K12" s="46"/>
      <c r="L12" s="46"/>
      <c r="M12" s="46"/>
      <c r="N12" s="46"/>
      <c r="O12" s="46"/>
      <c r="P12" s="46"/>
      <c r="Q12" s="46"/>
      <c r="R12" s="46"/>
      <c r="S12" s="46"/>
    </row>
    <row r="13">
      <c r="A13" s="45" t="s">
        <v>131</v>
      </c>
      <c r="B13" s="46">
        <f>B2-B4</f>
        <v>0</v>
      </c>
      <c r="C13" s="51">
        <f>B13*M1</f>
        <v>0</v>
      </c>
      <c r="D13" s="46"/>
      <c r="E13" s="50" t="s">
        <v>535</v>
      </c>
      <c r="F13">
        <f>sumif('Evenimente 2023'!W:W,'Evenimente 2023'!W5,'Evenimente 2023'!AB:AB)</f>
        <v>24850</v>
      </c>
      <c r="G13" s="46"/>
      <c r="J13" s="46"/>
      <c r="K13" s="46"/>
      <c r="L13" s="46"/>
      <c r="M13" s="46"/>
      <c r="N13" s="46"/>
      <c r="O13" s="46"/>
      <c r="P13" s="46"/>
      <c r="Q13" s="46"/>
      <c r="R13" s="46"/>
      <c r="S13" s="46"/>
    </row>
    <row r="14">
      <c r="A14" s="45" t="s">
        <v>132</v>
      </c>
      <c r="B14" s="53">
        <f>B12+C13</f>
        <v>40671.45</v>
      </c>
      <c r="C14" s="45" t="s">
        <v>124</v>
      </c>
      <c r="D14" s="46"/>
      <c r="E14" s="50" t="s">
        <v>536</v>
      </c>
      <c r="F14">
        <f>sumif('Evenimente 2023'!W:W,'Evenimente 2023'!W12,'Evenimente 2023'!AB:AB)</f>
        <v>3800</v>
      </c>
      <c r="G14" s="46"/>
      <c r="J14" s="46"/>
      <c r="K14" s="46"/>
      <c r="L14" s="46"/>
      <c r="M14" s="46"/>
      <c r="N14" s="46"/>
      <c r="O14" s="46"/>
      <c r="P14" s="46"/>
      <c r="Q14" s="46"/>
      <c r="R14" s="46"/>
      <c r="S14" s="46"/>
    </row>
    <row r="15">
      <c r="A15" s="45" t="s">
        <v>537</v>
      </c>
      <c r="B15" s="46">
        <f>B14-B10</f>
        <v>37421.45</v>
      </c>
      <c r="C15" s="45" t="s">
        <v>124</v>
      </c>
      <c r="D15" s="46"/>
      <c r="E15" s="50" t="s">
        <v>275</v>
      </c>
      <c r="F15">
        <f>round(F14+F13/M1,0)</f>
        <v>8871</v>
      </c>
      <c r="G15" s="45" t="s">
        <v>204</v>
      </c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</row>
    <row r="16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</row>
    <row r="17">
      <c r="A17" s="46"/>
      <c r="B17" s="46"/>
      <c r="C17" s="46"/>
      <c r="D17" s="46"/>
      <c r="E17" s="50" t="s">
        <v>538</v>
      </c>
      <c r="F17">
        <f>sumif('Evenimente 2023'!W:W,'Evenimente 2023'!W5,'Evenimente 2023'!AD:AD)</f>
        <v>18650</v>
      </c>
      <c r="G17" s="46"/>
      <c r="H17" s="45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</row>
    <row r="18">
      <c r="A18" s="46"/>
      <c r="B18" s="46"/>
      <c r="C18" s="46"/>
      <c r="D18" s="46"/>
      <c r="E18" s="50" t="s">
        <v>539</v>
      </c>
      <c r="F18">
        <f>sumif('Evenimente 2023'!W:W,'Evenimente 2023'!W12,'Evenimente 2023'!AD:AD)</f>
        <v>2441</v>
      </c>
      <c r="G18" s="46"/>
      <c r="H18" s="45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</row>
    <row r="19">
      <c r="A19" s="45" t="s">
        <v>540</v>
      </c>
      <c r="B19" s="46">
        <f>SUMIF('Onorariu Artist 2023'!H:H,'Onorariu Artist 2023'!H5,'Onorariu Artist 2023'!G:G)</f>
        <v>22650</v>
      </c>
      <c r="C19" s="46"/>
      <c r="D19" s="46"/>
      <c r="E19" s="50" t="s">
        <v>541</v>
      </c>
      <c r="F19">
        <f>round(F18+F17/M1,0)</f>
        <v>6247</v>
      </c>
      <c r="G19" s="45" t="s">
        <v>204</v>
      </c>
      <c r="H19" s="45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</row>
    <row r="20">
      <c r="A20" s="45" t="s">
        <v>542</v>
      </c>
      <c r="B20" s="46">
        <f>sumif('Onorariu Artist 2023'!H:H,'Onorariu Artist 2023'!H12,'Onorariu Artist 2023'!G:G)</f>
        <v>6000</v>
      </c>
      <c r="C20" s="46"/>
      <c r="D20" s="46"/>
      <c r="G20" s="46"/>
      <c r="H20" s="45"/>
      <c r="J20" s="46"/>
      <c r="K20" s="46"/>
      <c r="L20" s="46"/>
      <c r="M20" s="46"/>
      <c r="N20" s="46"/>
      <c r="O20" s="46"/>
      <c r="P20" s="46"/>
      <c r="Q20" s="46"/>
      <c r="R20" s="46"/>
      <c r="S20" s="46"/>
    </row>
    <row r="21">
      <c r="A21" s="50" t="s">
        <v>543</v>
      </c>
      <c r="B21">
        <f>round(B20+B19/M1,0)</f>
        <v>10622</v>
      </c>
      <c r="C21" s="45" t="s">
        <v>137</v>
      </c>
      <c r="D21" s="46"/>
      <c r="E21" s="50" t="s">
        <v>544</v>
      </c>
      <c r="G21" s="46"/>
      <c r="H21" s="45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</row>
    <row r="22">
      <c r="C22" s="46"/>
      <c r="D22" s="46"/>
      <c r="E22" s="50" t="s">
        <v>545</v>
      </c>
      <c r="G22" s="46"/>
      <c r="H22" s="45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</row>
    <row r="23">
      <c r="A23" s="54" t="s">
        <v>546</v>
      </c>
      <c r="B23" s="55">
        <f>sumif('Onorariu Artist 2023'!H:H,'Onorariu Artist 2023'!H11,'Onorariu Artist 2023'!F:F)</f>
        <v>29600</v>
      </c>
      <c r="C23" s="46"/>
      <c r="D23" s="46"/>
      <c r="E23" s="50" t="s">
        <v>547</v>
      </c>
      <c r="G23" s="46"/>
      <c r="H23" s="45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</row>
    <row r="24">
      <c r="A24" s="54" t="s">
        <v>548</v>
      </c>
      <c r="B24" s="55">
        <f>sumif('Onorariu Artist 2023'!H:H,'Onorariu Artist 2023'!H12,'Onorariu Artist 2023'!F:F)</f>
        <v>6000</v>
      </c>
      <c r="C24" s="46"/>
      <c r="D24" s="46"/>
      <c r="E24" s="46"/>
      <c r="F24" s="46"/>
      <c r="G24" s="46"/>
      <c r="H24" s="45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</row>
    <row r="25">
      <c r="A25" s="50" t="s">
        <v>549</v>
      </c>
      <c r="B25">
        <f>round(B24+B23/M1,0)</f>
        <v>12041</v>
      </c>
      <c r="C25" s="45" t="s">
        <v>137</v>
      </c>
      <c r="D25" s="46"/>
      <c r="E25" s="50" t="s">
        <v>550</v>
      </c>
      <c r="G25" s="46"/>
      <c r="H25" s="45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</row>
    <row r="26">
      <c r="D26" s="46"/>
      <c r="E26" s="50" t="s">
        <v>551</v>
      </c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</row>
    <row r="27">
      <c r="A27" s="50" t="s">
        <v>552</v>
      </c>
      <c r="B27">
        <f>sumif('Evenimente 2023'!H:H,'Evenimente 2023'!H5,'Evenimente 2023'!G:G)</f>
        <v>228814</v>
      </c>
      <c r="C27" s="46"/>
      <c r="D27" s="46"/>
      <c r="E27" s="50" t="s">
        <v>553</v>
      </c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</row>
    <row r="28">
      <c r="A28" s="50" t="s">
        <v>554</v>
      </c>
      <c r="B28">
        <f>sumif('Evenimente 2023'!J:J,'Evenimente 2023'!J12,'Evenimente 2023'!G:G)</f>
        <v>45050</v>
      </c>
      <c r="C28" s="46"/>
      <c r="D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</row>
    <row r="29">
      <c r="A29" s="50" t="s">
        <v>555</v>
      </c>
      <c r="B29">
        <f>round(B27/M1+B28,0)</f>
        <v>91747</v>
      </c>
      <c r="C29" s="46"/>
      <c r="D29" s="46"/>
      <c r="E29" s="50" t="s">
        <v>556</v>
      </c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</row>
    <row r="30">
      <c r="C30" s="46"/>
      <c r="D30" s="46"/>
      <c r="E30" s="50" t="s">
        <v>557</v>
      </c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</row>
    <row r="31">
      <c r="C31" s="46"/>
      <c r="D31" s="46"/>
      <c r="E31" s="50" t="s">
        <v>558</v>
      </c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</row>
    <row r="32">
      <c r="C32" s="46"/>
      <c r="D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</row>
    <row r="33">
      <c r="C33" s="46"/>
      <c r="D33" s="46"/>
      <c r="E33" s="50" t="s">
        <v>559</v>
      </c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</row>
    <row r="34">
      <c r="C34" s="46"/>
      <c r="D34" s="46"/>
      <c r="E34" s="50" t="s">
        <v>560</v>
      </c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</row>
    <row r="35">
      <c r="A35" s="45"/>
      <c r="B35" s="45"/>
      <c r="C35" s="46"/>
      <c r="D35" s="46"/>
      <c r="E35" s="50" t="s">
        <v>561</v>
      </c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</row>
    <row r="36">
      <c r="A36" s="46"/>
      <c r="B36" s="46"/>
      <c r="C36" s="46"/>
      <c r="D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</row>
    <row r="37">
      <c r="A37" s="46"/>
      <c r="B37" s="46"/>
      <c r="C37" s="46"/>
      <c r="D37" s="46"/>
      <c r="E37" s="45" t="s">
        <v>562</v>
      </c>
      <c r="F37" s="46">
        <f>sumif('Evenimente 2023'!J:J,'Evenimente 2023'!J5,'Evenimente 2023'!I:I)</f>
        <v>2947</v>
      </c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</row>
    <row r="38">
      <c r="D38" s="46"/>
      <c r="E38" s="50" t="s">
        <v>563</v>
      </c>
      <c r="F38">
        <f>sumif('Evenimente 2023'!J:J,'Evenimente 2023'!J12,'Evenimente 2023'!I:I)</f>
        <v>4500</v>
      </c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</row>
    <row r="39">
      <c r="D39" s="46"/>
      <c r="E39" s="50" t="s">
        <v>564</v>
      </c>
      <c r="F39">
        <f>round(F38+F37/M1,0)</f>
        <v>5101</v>
      </c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</row>
    <row r="40">
      <c r="D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</row>
    <row r="41">
      <c r="D41" s="46"/>
      <c r="E41" s="54" t="s">
        <v>565</v>
      </c>
      <c r="F41">
        <f>sumif('Evenimente 2023'!W:W,'Evenimente 2023'!W5,'Evenimente 2023'!S:S)</f>
        <v>63070</v>
      </c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</row>
    <row r="42">
      <c r="C42" s="46"/>
      <c r="D42" s="46"/>
      <c r="E42" s="54" t="s">
        <v>566</v>
      </c>
      <c r="F42">
        <f>sumif('Evenimente 2023'!W:W,'Evenimente 2023'!W12,'Evenimente 2023'!S:S)</f>
        <v>29630</v>
      </c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</row>
    <row r="43">
      <c r="D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</row>
    <row r="44">
      <c r="C44" s="46"/>
      <c r="D44" s="46"/>
      <c r="E44" s="54" t="s">
        <v>567</v>
      </c>
      <c r="F44" s="54">
        <f>sumif('Evenimente 2023'!W:W,'Evenimente 2023'!W5,'Evenimente 2023'!M:M)</f>
        <v>116664</v>
      </c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</row>
    <row r="45">
      <c r="A45" s="46"/>
      <c r="B45" s="46"/>
      <c r="C45" s="46"/>
      <c r="D45" s="46"/>
      <c r="E45" s="54" t="s">
        <v>568</v>
      </c>
      <c r="F45" s="55">
        <f>sumif('Evenimente 2023'!W:W,'Evenimente 2023'!W12,'Evenimente 2023'!M:M)</f>
        <v>35514</v>
      </c>
      <c r="G45" s="46"/>
      <c r="J45" s="46"/>
      <c r="K45" s="46"/>
      <c r="L45" s="46"/>
      <c r="M45" s="46"/>
      <c r="N45" s="46"/>
      <c r="O45" s="46"/>
      <c r="P45" s="46"/>
      <c r="Q45" s="46"/>
      <c r="R45" s="46"/>
      <c r="S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</row>
    <row r="47"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</row>
    <row r="48"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</row>
    <row r="49"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</row>
    <row r="50"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</row>
    <row r="51"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</row>
    <row r="52"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</row>
    <row r="53"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9.5"/>
    <col customWidth="1" min="2" max="2" width="6.75"/>
    <col customWidth="1" min="3" max="3" width="9.63"/>
    <col customWidth="1" min="4" max="4" width="15.5"/>
    <col customWidth="1" min="5" max="5" width="11.0"/>
    <col customWidth="1" min="6" max="8" width="8.0"/>
    <col customWidth="1" min="9" max="9" width="31.63"/>
    <col customWidth="1" min="10" max="14" width="10.0"/>
  </cols>
  <sheetData>
    <row r="1">
      <c r="A1" s="34"/>
      <c r="B1" s="34"/>
      <c r="C1" s="34"/>
      <c r="D1" s="34"/>
      <c r="E1" s="34"/>
      <c r="F1" s="69" t="s">
        <v>106</v>
      </c>
      <c r="G1" s="34"/>
      <c r="H1" s="34"/>
      <c r="I1" s="34"/>
      <c r="J1" s="34"/>
      <c r="K1" s="34"/>
      <c r="L1" s="34"/>
      <c r="M1" s="34"/>
      <c r="N1" s="34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6" t="s">
        <v>107</v>
      </c>
      <c r="G2" s="3" t="s">
        <v>108</v>
      </c>
      <c r="H2" s="3" t="s">
        <v>8</v>
      </c>
      <c r="I2" s="3" t="s">
        <v>5</v>
      </c>
      <c r="J2" s="3" t="s">
        <v>109</v>
      </c>
      <c r="K2" s="3" t="s">
        <v>110</v>
      </c>
      <c r="L2" s="3" t="s">
        <v>111</v>
      </c>
      <c r="M2" s="3" t="s">
        <v>112</v>
      </c>
      <c r="N2" s="3" t="s">
        <v>113</v>
      </c>
    </row>
    <row r="3">
      <c r="A3" s="37" t="s">
        <v>29</v>
      </c>
      <c r="B3" s="10"/>
      <c r="C3" s="10"/>
      <c r="D3" s="10"/>
      <c r="E3" s="10"/>
      <c r="F3" s="38"/>
      <c r="G3" s="39"/>
      <c r="H3" s="39"/>
      <c r="I3" s="39"/>
      <c r="J3" s="39"/>
      <c r="K3" s="39"/>
      <c r="L3" s="39"/>
      <c r="M3" s="39"/>
      <c r="N3" s="39"/>
    </row>
    <row r="4">
      <c r="A4" s="43" t="s">
        <v>30</v>
      </c>
      <c r="B4" s="39"/>
      <c r="C4" s="39"/>
      <c r="D4" s="39"/>
      <c r="E4" s="39"/>
      <c r="F4" s="38"/>
      <c r="G4" s="39"/>
      <c r="H4" s="39"/>
      <c r="I4" s="39"/>
      <c r="J4" s="39"/>
      <c r="K4" s="39"/>
      <c r="L4" s="39"/>
      <c r="M4" s="39"/>
      <c r="N4" s="39"/>
    </row>
    <row r="5">
      <c r="A5" s="17">
        <v>17.0</v>
      </c>
      <c r="B5" s="95" t="s">
        <v>54</v>
      </c>
      <c r="C5" s="95" t="s">
        <v>569</v>
      </c>
      <c r="D5" s="100" t="s">
        <v>340</v>
      </c>
      <c r="E5" s="18"/>
      <c r="F5" s="101">
        <v>600.0</v>
      </c>
      <c r="G5" s="41">
        <v>0.0</v>
      </c>
      <c r="H5" s="69" t="s">
        <v>58</v>
      </c>
      <c r="I5" s="69" t="s">
        <v>570</v>
      </c>
      <c r="J5" s="101">
        <v>0.0</v>
      </c>
      <c r="K5" s="101">
        <v>0.0</v>
      </c>
      <c r="L5" s="101">
        <v>0.0</v>
      </c>
      <c r="M5" s="101">
        <v>0.0</v>
      </c>
      <c r="N5" s="101">
        <v>0.0</v>
      </c>
    </row>
    <row r="6">
      <c r="A6" s="17">
        <v>28.0</v>
      </c>
      <c r="B6" s="95" t="s">
        <v>54</v>
      </c>
      <c r="C6" s="95" t="s">
        <v>569</v>
      </c>
      <c r="D6" s="69" t="s">
        <v>571</v>
      </c>
      <c r="E6" s="102" t="s">
        <v>572</v>
      </c>
      <c r="F6" s="101">
        <v>0.0</v>
      </c>
      <c r="G6" s="41">
        <v>0.0</v>
      </c>
      <c r="H6" s="69" t="s">
        <v>58</v>
      </c>
      <c r="I6" s="69" t="s">
        <v>573</v>
      </c>
      <c r="J6" s="101">
        <v>0.0</v>
      </c>
      <c r="K6" s="101">
        <v>0.0</v>
      </c>
      <c r="L6" s="101">
        <v>0.0</v>
      </c>
      <c r="M6" s="101">
        <v>0.0</v>
      </c>
      <c r="N6" s="101">
        <v>0.0</v>
      </c>
    </row>
    <row r="7">
      <c r="A7" s="103" t="s">
        <v>31</v>
      </c>
      <c r="B7" s="104"/>
      <c r="C7" s="104"/>
      <c r="D7" s="104"/>
      <c r="E7" s="104"/>
      <c r="F7" s="105"/>
      <c r="G7" s="106"/>
      <c r="H7" s="106"/>
      <c r="I7" s="106"/>
      <c r="J7" s="105"/>
      <c r="K7" s="105"/>
      <c r="L7" s="105"/>
      <c r="M7" s="105"/>
      <c r="N7" s="105"/>
    </row>
    <row r="8">
      <c r="A8" s="69">
        <v>1.0</v>
      </c>
      <c r="B8" s="95" t="s">
        <v>54</v>
      </c>
      <c r="C8" s="95" t="s">
        <v>569</v>
      </c>
      <c r="D8" s="69" t="s">
        <v>574</v>
      </c>
      <c r="E8" s="102" t="s">
        <v>575</v>
      </c>
      <c r="F8" s="101">
        <v>0.0</v>
      </c>
      <c r="G8" s="41">
        <v>0.0</v>
      </c>
      <c r="H8" s="69" t="s">
        <v>58</v>
      </c>
      <c r="I8" s="69" t="s">
        <v>573</v>
      </c>
      <c r="J8" s="101">
        <v>0.0</v>
      </c>
      <c r="K8" s="101">
        <v>0.0</v>
      </c>
      <c r="L8" s="101">
        <v>0.0</v>
      </c>
      <c r="M8" s="101">
        <v>0.0</v>
      </c>
      <c r="N8" s="101">
        <v>0.0</v>
      </c>
    </row>
    <row r="9">
      <c r="A9" s="16" t="s">
        <v>32</v>
      </c>
      <c r="B9" s="14"/>
      <c r="C9" s="14"/>
      <c r="D9" s="14"/>
      <c r="E9" s="14"/>
      <c r="F9" s="38"/>
      <c r="G9" s="39"/>
      <c r="H9" s="39"/>
      <c r="I9" s="39"/>
      <c r="J9" s="38"/>
      <c r="K9" s="38"/>
      <c r="L9" s="38"/>
      <c r="M9" s="38"/>
      <c r="N9" s="38"/>
    </row>
    <row r="10">
      <c r="A10" s="17">
        <v>21.0</v>
      </c>
      <c r="B10" s="17" t="s">
        <v>54</v>
      </c>
      <c r="C10" s="69" t="s">
        <v>569</v>
      </c>
      <c r="D10" s="69" t="s">
        <v>576</v>
      </c>
      <c r="E10" s="17" t="s">
        <v>577</v>
      </c>
      <c r="F10" s="101">
        <v>600.0</v>
      </c>
      <c r="G10" s="41">
        <v>0.0</v>
      </c>
      <c r="H10" s="69" t="s">
        <v>58</v>
      </c>
      <c r="I10" s="69" t="s">
        <v>570</v>
      </c>
      <c r="J10" s="101">
        <v>0.0</v>
      </c>
      <c r="K10" s="101">
        <v>0.0</v>
      </c>
      <c r="L10" s="101">
        <v>0.0</v>
      </c>
      <c r="M10" s="101">
        <v>0.0</v>
      </c>
      <c r="N10" s="101">
        <v>0.0</v>
      </c>
    </row>
    <row r="11">
      <c r="A11" s="17">
        <v>28.0</v>
      </c>
      <c r="B11" s="95" t="s">
        <v>34</v>
      </c>
      <c r="C11" s="95" t="s">
        <v>130</v>
      </c>
      <c r="D11" s="100" t="s">
        <v>99</v>
      </c>
      <c r="E11" s="100"/>
      <c r="F11" s="41">
        <v>1950.0</v>
      </c>
      <c r="G11" s="41">
        <v>1950.0</v>
      </c>
      <c r="H11" s="69" t="s">
        <v>58</v>
      </c>
      <c r="I11" s="34"/>
      <c r="J11" s="101">
        <v>1950.0</v>
      </c>
      <c r="K11" s="101">
        <v>1950.0</v>
      </c>
      <c r="L11" s="101">
        <v>1950.0</v>
      </c>
      <c r="M11" s="101">
        <v>1950.0</v>
      </c>
      <c r="N11" s="101">
        <v>1950.0</v>
      </c>
    </row>
    <row r="12">
      <c r="A12" s="17">
        <v>30.0</v>
      </c>
      <c r="B12" s="95" t="s">
        <v>34</v>
      </c>
      <c r="C12" s="95" t="s">
        <v>35</v>
      </c>
      <c r="D12" s="100" t="s">
        <v>578</v>
      </c>
      <c r="E12" s="34"/>
      <c r="F12" s="41">
        <v>550.0</v>
      </c>
      <c r="G12" s="41">
        <v>550.0</v>
      </c>
      <c r="H12" s="69" t="s">
        <v>37</v>
      </c>
      <c r="I12" s="34"/>
      <c r="J12" s="101">
        <v>550.0</v>
      </c>
      <c r="K12" s="101">
        <v>550.0</v>
      </c>
      <c r="L12" s="101">
        <v>550.0</v>
      </c>
      <c r="M12" s="101">
        <v>0.0</v>
      </c>
      <c r="N12" s="101">
        <v>550.0</v>
      </c>
    </row>
    <row r="13">
      <c r="A13" s="16" t="s">
        <v>33</v>
      </c>
      <c r="B13" s="14"/>
      <c r="C13" s="14"/>
      <c r="D13" s="14"/>
      <c r="E13" s="14"/>
      <c r="F13" s="38"/>
      <c r="G13" s="39"/>
      <c r="H13" s="39"/>
      <c r="I13" s="39"/>
      <c r="J13" s="38"/>
      <c r="K13" s="38"/>
      <c r="L13" s="38"/>
      <c r="M13" s="38"/>
      <c r="N13" s="38"/>
    </row>
    <row r="14">
      <c r="A14" s="17">
        <v>6.0</v>
      </c>
      <c r="B14" s="95" t="s">
        <v>54</v>
      </c>
      <c r="C14" s="95" t="s">
        <v>569</v>
      </c>
      <c r="D14" s="100" t="s">
        <v>579</v>
      </c>
      <c r="E14" s="18"/>
      <c r="F14" s="101">
        <v>700.0</v>
      </c>
      <c r="G14" s="41">
        <v>0.0</v>
      </c>
      <c r="H14" s="69" t="s">
        <v>58</v>
      </c>
      <c r="I14" s="69" t="s">
        <v>580</v>
      </c>
      <c r="J14" s="101">
        <v>0.0</v>
      </c>
      <c r="K14" s="101">
        <v>0.0</v>
      </c>
      <c r="L14" s="101">
        <v>0.0</v>
      </c>
      <c r="M14" s="101">
        <v>0.0</v>
      </c>
      <c r="N14" s="101">
        <v>0.0</v>
      </c>
    </row>
    <row r="15">
      <c r="A15" s="17">
        <v>12.0</v>
      </c>
      <c r="B15" s="95" t="s">
        <v>54</v>
      </c>
      <c r="C15" s="95" t="s">
        <v>569</v>
      </c>
      <c r="D15" s="100" t="s">
        <v>340</v>
      </c>
      <c r="E15" s="18"/>
      <c r="F15" s="101">
        <v>600.0</v>
      </c>
      <c r="G15" s="41">
        <v>0.0</v>
      </c>
      <c r="H15" s="69" t="s">
        <v>58</v>
      </c>
      <c r="I15" s="34"/>
      <c r="J15" s="101">
        <v>0.0</v>
      </c>
      <c r="K15" s="101">
        <v>0.0</v>
      </c>
      <c r="L15" s="101">
        <v>0.0</v>
      </c>
      <c r="M15" s="101">
        <v>0.0</v>
      </c>
      <c r="N15" s="101">
        <v>0.0</v>
      </c>
    </row>
    <row r="16">
      <c r="A16" s="17">
        <v>20.0</v>
      </c>
      <c r="B16" s="95" t="s">
        <v>34</v>
      </c>
      <c r="C16" s="17" t="s">
        <v>35</v>
      </c>
      <c r="D16" s="17" t="s">
        <v>581</v>
      </c>
      <c r="E16" s="18"/>
      <c r="F16" s="41">
        <v>400.0</v>
      </c>
      <c r="G16" s="41">
        <v>400.0</v>
      </c>
      <c r="H16" s="69" t="s">
        <v>37</v>
      </c>
      <c r="I16" s="34"/>
      <c r="J16" s="101">
        <v>400.0</v>
      </c>
      <c r="K16" s="101">
        <v>400.0</v>
      </c>
      <c r="L16" s="101">
        <v>400.0</v>
      </c>
      <c r="M16" s="101">
        <v>400.0</v>
      </c>
      <c r="N16" s="101">
        <v>400.0</v>
      </c>
    </row>
    <row r="17">
      <c r="A17" s="17">
        <v>27.0</v>
      </c>
      <c r="B17" s="17" t="s">
        <v>34</v>
      </c>
      <c r="C17" s="17" t="s">
        <v>78</v>
      </c>
      <c r="D17" s="17" t="s">
        <v>582</v>
      </c>
      <c r="E17" s="17" t="s">
        <v>583</v>
      </c>
      <c r="F17" s="41">
        <v>2000.0</v>
      </c>
      <c r="G17" s="41">
        <v>2000.0</v>
      </c>
      <c r="H17" s="69" t="s">
        <v>58</v>
      </c>
      <c r="I17" s="34"/>
      <c r="J17" s="101">
        <v>2000.0</v>
      </c>
      <c r="K17" s="101">
        <v>2000.0</v>
      </c>
      <c r="L17" s="101">
        <v>2000.0</v>
      </c>
      <c r="M17" s="101">
        <v>2000.0</v>
      </c>
      <c r="N17" s="101">
        <v>2000.0</v>
      </c>
    </row>
    <row r="18">
      <c r="A18" s="16" t="s">
        <v>39</v>
      </c>
      <c r="B18" s="14"/>
      <c r="C18" s="14"/>
      <c r="D18" s="14"/>
      <c r="E18" s="14"/>
      <c r="F18" s="38"/>
      <c r="G18" s="39"/>
      <c r="H18" s="39"/>
      <c r="I18" s="39"/>
      <c r="J18" s="38"/>
      <c r="K18" s="38"/>
      <c r="L18" s="38"/>
      <c r="M18" s="38"/>
      <c r="N18" s="38"/>
    </row>
    <row r="19">
      <c r="A19" s="17">
        <v>3.0</v>
      </c>
      <c r="B19" s="17" t="s">
        <v>34</v>
      </c>
      <c r="C19" s="17" t="s">
        <v>35</v>
      </c>
      <c r="D19" s="17" t="s">
        <v>584</v>
      </c>
      <c r="E19" s="18"/>
      <c r="F19" s="41">
        <v>350.0</v>
      </c>
      <c r="G19" s="41">
        <v>350.0</v>
      </c>
      <c r="H19" s="69" t="s">
        <v>37</v>
      </c>
      <c r="I19" s="34"/>
      <c r="J19" s="101">
        <v>350.0</v>
      </c>
      <c r="K19" s="101">
        <v>350.0</v>
      </c>
      <c r="L19" s="101">
        <v>350.0</v>
      </c>
      <c r="M19" s="101">
        <v>350.0</v>
      </c>
      <c r="N19" s="101">
        <v>350.0</v>
      </c>
    </row>
    <row r="20">
      <c r="A20" s="17">
        <v>8.0</v>
      </c>
      <c r="B20" s="17" t="s">
        <v>34</v>
      </c>
      <c r="C20" s="17" t="s">
        <v>78</v>
      </c>
      <c r="D20" s="17" t="s">
        <v>585</v>
      </c>
      <c r="E20" s="34"/>
      <c r="F20" s="41">
        <v>2150.0</v>
      </c>
      <c r="G20" s="41">
        <v>0.0</v>
      </c>
      <c r="H20" s="69" t="s">
        <v>58</v>
      </c>
      <c r="I20" s="34"/>
      <c r="J20" s="101">
        <v>0.0</v>
      </c>
      <c r="K20" s="101">
        <v>0.0</v>
      </c>
      <c r="L20" s="101">
        <v>0.0</v>
      </c>
      <c r="M20" s="101">
        <v>0.0</v>
      </c>
      <c r="N20" s="101">
        <v>0.0</v>
      </c>
    </row>
    <row r="21">
      <c r="A21" s="17">
        <v>10.0</v>
      </c>
      <c r="B21" s="17" t="s">
        <v>34</v>
      </c>
      <c r="C21" s="17" t="s">
        <v>35</v>
      </c>
      <c r="D21" s="17" t="s">
        <v>45</v>
      </c>
      <c r="E21" s="34"/>
      <c r="F21" s="41">
        <v>500.0</v>
      </c>
      <c r="G21" s="41">
        <v>500.0</v>
      </c>
      <c r="H21" s="69" t="s">
        <v>37</v>
      </c>
      <c r="I21" s="34"/>
      <c r="J21" s="101">
        <v>500.0</v>
      </c>
      <c r="K21" s="101">
        <v>500.0</v>
      </c>
      <c r="L21" s="101">
        <v>500.0</v>
      </c>
      <c r="M21" s="101">
        <v>500.0</v>
      </c>
      <c r="N21" s="101">
        <v>500.0</v>
      </c>
    </row>
    <row r="22">
      <c r="A22" s="17">
        <v>17.0</v>
      </c>
      <c r="B22" s="17" t="s">
        <v>54</v>
      </c>
      <c r="C22" s="17" t="s">
        <v>569</v>
      </c>
      <c r="D22" s="17" t="s">
        <v>586</v>
      </c>
      <c r="E22" s="17" t="s">
        <v>587</v>
      </c>
      <c r="F22" s="41">
        <v>500.0</v>
      </c>
      <c r="G22" s="41">
        <v>500.0</v>
      </c>
      <c r="H22" s="69" t="s">
        <v>58</v>
      </c>
      <c r="I22" s="34"/>
      <c r="J22" s="101">
        <v>500.0</v>
      </c>
      <c r="K22" s="101">
        <v>500.0</v>
      </c>
      <c r="L22" s="101">
        <v>500.0</v>
      </c>
      <c r="M22" s="101">
        <v>500.0</v>
      </c>
      <c r="N22" s="101">
        <v>500.0</v>
      </c>
    </row>
    <row r="23">
      <c r="A23" s="17">
        <v>23.0</v>
      </c>
      <c r="B23" s="17" t="s">
        <v>54</v>
      </c>
      <c r="C23" s="68" t="s">
        <v>125</v>
      </c>
      <c r="D23" s="17" t="s">
        <v>588</v>
      </c>
      <c r="E23" s="17" t="s">
        <v>589</v>
      </c>
      <c r="F23" s="41">
        <v>750.0</v>
      </c>
      <c r="G23" s="41">
        <v>750.0</v>
      </c>
      <c r="H23" s="69" t="s">
        <v>58</v>
      </c>
      <c r="I23" s="34"/>
      <c r="J23" s="101">
        <v>750.0</v>
      </c>
      <c r="K23" s="101">
        <v>750.0</v>
      </c>
      <c r="L23" s="101">
        <v>750.0</v>
      </c>
      <c r="M23" s="101">
        <v>750.0</v>
      </c>
      <c r="N23" s="101">
        <v>0.0</v>
      </c>
    </row>
    <row r="24">
      <c r="A24" s="17">
        <v>25.0</v>
      </c>
      <c r="B24" s="17" t="s">
        <v>54</v>
      </c>
      <c r="C24" s="68" t="s">
        <v>569</v>
      </c>
      <c r="D24" s="17" t="s">
        <v>590</v>
      </c>
      <c r="E24" s="17" t="s">
        <v>591</v>
      </c>
      <c r="F24" s="101">
        <v>0.0</v>
      </c>
      <c r="G24" s="41">
        <v>0.0</v>
      </c>
      <c r="H24" s="69" t="s">
        <v>58</v>
      </c>
      <c r="I24" s="34"/>
      <c r="J24" s="101">
        <v>0.0</v>
      </c>
      <c r="K24" s="101">
        <v>0.0</v>
      </c>
      <c r="L24" s="101">
        <v>0.0</v>
      </c>
      <c r="M24" s="101">
        <v>0.0</v>
      </c>
      <c r="N24" s="101">
        <v>0.0</v>
      </c>
    </row>
    <row r="25">
      <c r="A25" s="16" t="s">
        <v>42</v>
      </c>
      <c r="B25" s="14"/>
      <c r="C25" s="14"/>
      <c r="D25" s="14"/>
      <c r="E25" s="14"/>
      <c r="F25" s="38"/>
      <c r="G25" s="39"/>
      <c r="H25" s="39"/>
      <c r="I25" s="39"/>
      <c r="J25" s="38"/>
      <c r="K25" s="38"/>
      <c r="L25" s="38"/>
      <c r="M25" s="38"/>
      <c r="N25" s="38"/>
    </row>
    <row r="26">
      <c r="A26" s="17">
        <v>1.0</v>
      </c>
      <c r="B26" s="17" t="s">
        <v>54</v>
      </c>
      <c r="C26" s="17" t="s">
        <v>569</v>
      </c>
      <c r="D26" s="17" t="s">
        <v>592</v>
      </c>
      <c r="E26" s="17" t="s">
        <v>593</v>
      </c>
      <c r="F26" s="41">
        <v>900.0</v>
      </c>
      <c r="G26" s="41">
        <v>900.0</v>
      </c>
      <c r="H26" s="69" t="s">
        <v>58</v>
      </c>
      <c r="I26" s="34"/>
      <c r="J26" s="101">
        <v>900.0</v>
      </c>
      <c r="K26" s="101">
        <v>900.0</v>
      </c>
      <c r="L26" s="101">
        <v>900.0</v>
      </c>
      <c r="M26" s="101">
        <v>900.0</v>
      </c>
      <c r="N26" s="101">
        <v>900.0</v>
      </c>
    </row>
    <row r="27">
      <c r="A27" s="17">
        <v>2.0</v>
      </c>
      <c r="B27" s="17" t="s">
        <v>34</v>
      </c>
      <c r="C27" s="17" t="s">
        <v>35</v>
      </c>
      <c r="D27" s="17" t="s">
        <v>594</v>
      </c>
      <c r="E27" s="18"/>
      <c r="F27" s="101">
        <v>400.0</v>
      </c>
      <c r="G27" s="41">
        <v>400.0</v>
      </c>
      <c r="H27" s="69" t="s">
        <v>37</v>
      </c>
      <c r="I27" s="34"/>
      <c r="J27" s="101">
        <v>400.0</v>
      </c>
      <c r="K27" s="101">
        <v>400.0</v>
      </c>
      <c r="L27" s="101">
        <v>400.0</v>
      </c>
      <c r="M27" s="101">
        <v>400.0</v>
      </c>
      <c r="N27" s="101">
        <v>400.0</v>
      </c>
    </row>
    <row r="28">
      <c r="A28" s="17">
        <v>8.0</v>
      </c>
      <c r="B28" s="17" t="s">
        <v>34</v>
      </c>
      <c r="C28" s="17" t="s">
        <v>595</v>
      </c>
      <c r="D28" s="17" t="s">
        <v>596</v>
      </c>
      <c r="E28" s="18"/>
      <c r="F28" s="101">
        <v>400.0</v>
      </c>
      <c r="G28" s="41">
        <v>400.0</v>
      </c>
      <c r="H28" s="69" t="s">
        <v>37</v>
      </c>
      <c r="I28" s="34"/>
      <c r="J28" s="107">
        <v>400.0</v>
      </c>
      <c r="K28" s="107">
        <v>400.0</v>
      </c>
      <c r="L28" s="107">
        <v>400.0</v>
      </c>
      <c r="M28" s="107">
        <v>400.0</v>
      </c>
      <c r="N28" s="107">
        <v>400.0</v>
      </c>
    </row>
    <row r="29">
      <c r="A29" s="17">
        <v>15.0</v>
      </c>
      <c r="B29" s="17" t="s">
        <v>54</v>
      </c>
      <c r="C29" s="17" t="s">
        <v>569</v>
      </c>
      <c r="D29" s="17" t="s">
        <v>65</v>
      </c>
      <c r="E29" s="17" t="s">
        <v>597</v>
      </c>
      <c r="F29" s="101">
        <v>800.0</v>
      </c>
      <c r="G29" s="41">
        <v>800.0</v>
      </c>
      <c r="H29" s="69" t="s">
        <v>58</v>
      </c>
      <c r="I29" s="34"/>
      <c r="J29" s="108">
        <v>800.0</v>
      </c>
      <c r="K29" s="108">
        <v>800.0</v>
      </c>
      <c r="L29" s="108">
        <v>800.0</v>
      </c>
      <c r="M29" s="108">
        <v>800.0</v>
      </c>
      <c r="N29" s="108">
        <v>800.0</v>
      </c>
    </row>
    <row r="30">
      <c r="A30" s="17">
        <v>15.0</v>
      </c>
      <c r="B30" s="17" t="s">
        <v>54</v>
      </c>
      <c r="C30" s="17" t="s">
        <v>569</v>
      </c>
      <c r="D30" s="17" t="s">
        <v>65</v>
      </c>
      <c r="E30" s="17" t="s">
        <v>598</v>
      </c>
      <c r="F30" s="101">
        <v>0.0</v>
      </c>
      <c r="G30" s="41">
        <v>0.0</v>
      </c>
      <c r="H30" s="69" t="s">
        <v>58</v>
      </c>
      <c r="I30" s="34"/>
      <c r="J30" s="108">
        <v>0.0</v>
      </c>
      <c r="K30" s="108">
        <v>0.0</v>
      </c>
      <c r="L30" s="108">
        <v>0.0</v>
      </c>
      <c r="M30" s="108">
        <v>0.0</v>
      </c>
      <c r="N30" s="108">
        <v>0.0</v>
      </c>
    </row>
    <row r="31">
      <c r="A31" s="17">
        <v>28.0</v>
      </c>
      <c r="B31" s="17" t="s">
        <v>34</v>
      </c>
      <c r="C31" s="17" t="s">
        <v>35</v>
      </c>
      <c r="D31" s="17" t="s">
        <v>45</v>
      </c>
      <c r="E31" s="18"/>
      <c r="F31" s="101">
        <v>350.0</v>
      </c>
      <c r="G31" s="101">
        <v>350.0</v>
      </c>
      <c r="H31" s="69" t="s">
        <v>37</v>
      </c>
      <c r="I31" s="34"/>
      <c r="J31" s="101">
        <v>350.0</v>
      </c>
      <c r="K31" s="101">
        <v>350.0</v>
      </c>
      <c r="L31" s="101">
        <v>350.0</v>
      </c>
      <c r="M31" s="101">
        <v>350.0</v>
      </c>
      <c r="N31" s="101">
        <v>350.0</v>
      </c>
    </row>
    <row r="32">
      <c r="A32" s="17">
        <v>29.0</v>
      </c>
      <c r="B32" s="17" t="s">
        <v>34</v>
      </c>
      <c r="C32" s="17" t="s">
        <v>35</v>
      </c>
      <c r="D32" s="17" t="s">
        <v>584</v>
      </c>
      <c r="E32" s="18"/>
      <c r="F32" s="101">
        <v>400.0</v>
      </c>
      <c r="G32" s="101">
        <v>400.0</v>
      </c>
      <c r="H32" s="69" t="s">
        <v>37</v>
      </c>
      <c r="I32" s="34"/>
      <c r="J32" s="101">
        <v>400.0</v>
      </c>
      <c r="K32" s="101">
        <v>400.0</v>
      </c>
      <c r="L32" s="101">
        <v>400.0</v>
      </c>
      <c r="M32" s="101">
        <v>400.0</v>
      </c>
      <c r="N32" s="101">
        <v>400.0</v>
      </c>
    </row>
    <row r="33">
      <c r="A33" s="16" t="s">
        <v>44</v>
      </c>
      <c r="B33" s="14"/>
      <c r="C33" s="14"/>
      <c r="D33" s="14"/>
      <c r="E33" s="14"/>
      <c r="F33" s="38"/>
      <c r="G33" s="39"/>
      <c r="H33" s="39"/>
      <c r="I33" s="39"/>
      <c r="J33" s="38"/>
      <c r="K33" s="38"/>
      <c r="L33" s="38"/>
      <c r="M33" s="38"/>
      <c r="N33" s="38"/>
    </row>
    <row r="34">
      <c r="A34" s="17">
        <v>2.0</v>
      </c>
      <c r="B34" s="17" t="s">
        <v>54</v>
      </c>
      <c r="C34" s="17" t="s">
        <v>569</v>
      </c>
      <c r="D34" s="17" t="s">
        <v>65</v>
      </c>
      <c r="E34" s="17" t="s">
        <v>599</v>
      </c>
      <c r="F34" s="101">
        <v>1200.0</v>
      </c>
      <c r="G34" s="41">
        <v>0.0</v>
      </c>
      <c r="H34" s="69" t="s">
        <v>58</v>
      </c>
      <c r="I34" s="34"/>
      <c r="J34" s="101">
        <v>0.0</v>
      </c>
      <c r="K34" s="101">
        <v>0.0</v>
      </c>
      <c r="L34" s="101">
        <v>0.0</v>
      </c>
      <c r="M34" s="101">
        <v>0.0</v>
      </c>
      <c r="N34" s="101">
        <v>0.0</v>
      </c>
    </row>
    <row r="35">
      <c r="A35" s="17">
        <v>5.0</v>
      </c>
      <c r="B35" s="17" t="s">
        <v>34</v>
      </c>
      <c r="C35" s="17" t="s">
        <v>595</v>
      </c>
      <c r="D35" s="17" t="s">
        <v>581</v>
      </c>
      <c r="E35" s="18"/>
      <c r="F35" s="101">
        <v>350.0</v>
      </c>
      <c r="G35" s="101">
        <v>350.0</v>
      </c>
      <c r="H35" s="69" t="s">
        <v>37</v>
      </c>
      <c r="I35" s="34"/>
      <c r="J35" s="101">
        <v>350.0</v>
      </c>
      <c r="K35" s="101">
        <v>350.0</v>
      </c>
      <c r="L35" s="101">
        <v>350.0</v>
      </c>
      <c r="M35" s="101">
        <v>350.0</v>
      </c>
      <c r="N35" s="101">
        <v>350.0</v>
      </c>
    </row>
    <row r="36">
      <c r="A36" s="17">
        <v>20.0</v>
      </c>
      <c r="B36" s="17" t="s">
        <v>34</v>
      </c>
      <c r="C36" s="17" t="s">
        <v>35</v>
      </c>
      <c r="D36" s="17" t="s">
        <v>45</v>
      </c>
      <c r="E36" s="18"/>
      <c r="F36" s="101">
        <v>400.0</v>
      </c>
      <c r="G36" s="41">
        <v>400.0</v>
      </c>
      <c r="H36" s="69" t="s">
        <v>37</v>
      </c>
      <c r="I36" s="34"/>
      <c r="J36" s="101">
        <v>400.0</v>
      </c>
      <c r="K36" s="101">
        <v>400.0</v>
      </c>
      <c r="L36" s="101">
        <v>400.0</v>
      </c>
      <c r="M36" s="101">
        <v>400.0</v>
      </c>
      <c r="N36" s="101">
        <v>400.0</v>
      </c>
    </row>
    <row r="37">
      <c r="A37" s="17">
        <v>26.0</v>
      </c>
      <c r="B37" s="17" t="s">
        <v>34</v>
      </c>
      <c r="C37" s="17" t="s">
        <v>35</v>
      </c>
      <c r="D37" s="17" t="s">
        <v>45</v>
      </c>
      <c r="E37" s="18"/>
      <c r="F37" s="101">
        <v>500.0</v>
      </c>
      <c r="G37" s="41">
        <v>500.0</v>
      </c>
      <c r="H37" s="69" t="s">
        <v>37</v>
      </c>
      <c r="I37" s="34"/>
      <c r="J37" s="101">
        <v>500.0</v>
      </c>
      <c r="K37" s="101">
        <v>500.0</v>
      </c>
      <c r="L37" s="101">
        <v>500.0</v>
      </c>
      <c r="M37" s="101">
        <v>500.0</v>
      </c>
      <c r="N37" s="101">
        <v>500.0</v>
      </c>
    </row>
    <row r="38">
      <c r="A38" s="17">
        <v>26.0</v>
      </c>
      <c r="B38" s="17" t="s">
        <v>34</v>
      </c>
      <c r="C38" s="17" t="s">
        <v>78</v>
      </c>
      <c r="D38" s="17" t="s">
        <v>80</v>
      </c>
      <c r="E38" s="18"/>
      <c r="F38" s="101">
        <v>2000.0</v>
      </c>
      <c r="G38" s="41">
        <v>2000.0</v>
      </c>
      <c r="H38" s="69" t="s">
        <v>58</v>
      </c>
      <c r="I38" s="34"/>
      <c r="J38" s="101">
        <v>2000.0</v>
      </c>
      <c r="K38" s="101">
        <v>2000.0</v>
      </c>
      <c r="L38" s="101">
        <v>2000.0</v>
      </c>
      <c r="M38" s="101">
        <v>2000.0</v>
      </c>
      <c r="N38" s="101">
        <v>2000.0</v>
      </c>
    </row>
    <row r="39">
      <c r="A39" s="16" t="s">
        <v>47</v>
      </c>
      <c r="B39" s="14"/>
      <c r="C39" s="14"/>
      <c r="D39" s="14"/>
      <c r="E39" s="14"/>
      <c r="F39" s="38"/>
      <c r="G39" s="39"/>
      <c r="H39" s="39"/>
      <c r="I39" s="39"/>
      <c r="J39" s="38"/>
      <c r="K39" s="38"/>
      <c r="L39" s="38"/>
      <c r="M39" s="38"/>
      <c r="N39" s="38"/>
    </row>
    <row r="40">
      <c r="A40" s="17">
        <v>8.0</v>
      </c>
      <c r="B40" s="17" t="s">
        <v>54</v>
      </c>
      <c r="C40" s="17" t="s">
        <v>569</v>
      </c>
      <c r="D40" s="17" t="s">
        <v>600</v>
      </c>
      <c r="E40" s="17" t="s">
        <v>601</v>
      </c>
      <c r="F40" s="101">
        <v>700.0</v>
      </c>
      <c r="G40" s="41">
        <v>0.0</v>
      </c>
      <c r="H40" s="69" t="s">
        <v>58</v>
      </c>
      <c r="I40" s="34"/>
      <c r="J40" s="101">
        <v>0.0</v>
      </c>
      <c r="K40" s="101">
        <v>0.0</v>
      </c>
      <c r="L40" s="101">
        <v>0.0</v>
      </c>
      <c r="M40" s="101">
        <v>0.0</v>
      </c>
      <c r="N40" s="101">
        <v>0.0</v>
      </c>
    </row>
    <row r="41">
      <c r="A41" s="17">
        <v>9.0</v>
      </c>
      <c r="B41" s="17" t="s">
        <v>34</v>
      </c>
      <c r="C41" s="17" t="s">
        <v>35</v>
      </c>
      <c r="D41" s="17" t="s">
        <v>602</v>
      </c>
      <c r="E41" s="18"/>
      <c r="F41" s="101">
        <v>250.0</v>
      </c>
      <c r="G41" s="41">
        <v>250.0</v>
      </c>
      <c r="H41" s="69" t="s">
        <v>37</v>
      </c>
      <c r="I41" s="34"/>
      <c r="J41" s="101">
        <v>250.0</v>
      </c>
      <c r="K41" s="101">
        <v>250.0</v>
      </c>
      <c r="L41" s="101">
        <v>250.0</v>
      </c>
      <c r="M41" s="101">
        <v>250.0</v>
      </c>
      <c r="N41" s="101">
        <v>250.0</v>
      </c>
    </row>
    <row r="42">
      <c r="A42" s="17">
        <v>10.0</v>
      </c>
      <c r="B42" s="17" t="s">
        <v>54</v>
      </c>
      <c r="C42" s="17" t="s">
        <v>569</v>
      </c>
      <c r="D42" s="17" t="s">
        <v>89</v>
      </c>
      <c r="E42" s="17" t="s">
        <v>116</v>
      </c>
      <c r="F42" s="101">
        <v>1000.0</v>
      </c>
      <c r="G42" s="41">
        <v>1000.0</v>
      </c>
      <c r="H42" s="69" t="s">
        <v>58</v>
      </c>
      <c r="I42" s="34"/>
      <c r="J42" s="101">
        <v>1000.0</v>
      </c>
      <c r="K42" s="101">
        <v>1000.0</v>
      </c>
      <c r="L42" s="101">
        <v>1000.0</v>
      </c>
      <c r="M42" s="101">
        <v>1000.0</v>
      </c>
      <c r="N42" s="101">
        <v>1000.0</v>
      </c>
    </row>
    <row r="43">
      <c r="A43" s="17">
        <v>15.0</v>
      </c>
      <c r="B43" s="17" t="s">
        <v>34</v>
      </c>
      <c r="C43" s="17" t="s">
        <v>78</v>
      </c>
      <c r="D43" s="17" t="s">
        <v>603</v>
      </c>
      <c r="E43" s="18"/>
      <c r="F43" s="101">
        <v>1500.0</v>
      </c>
      <c r="G43" s="41">
        <v>1500.0</v>
      </c>
      <c r="H43" s="69" t="s">
        <v>58</v>
      </c>
      <c r="I43" s="34"/>
      <c r="J43" s="101">
        <v>1500.0</v>
      </c>
      <c r="K43" s="101">
        <v>1500.0</v>
      </c>
      <c r="L43" s="101">
        <v>1500.0</v>
      </c>
      <c r="M43" s="101">
        <v>1500.0</v>
      </c>
      <c r="N43" s="101">
        <v>1500.0</v>
      </c>
    </row>
    <row r="44">
      <c r="A44" s="17">
        <v>17.0</v>
      </c>
      <c r="B44" s="17" t="s">
        <v>34</v>
      </c>
      <c r="C44" s="17" t="s">
        <v>35</v>
      </c>
      <c r="D44" s="17" t="s">
        <v>602</v>
      </c>
      <c r="E44" s="18"/>
      <c r="F44" s="101">
        <v>300.0</v>
      </c>
      <c r="G44" s="41">
        <v>300.0</v>
      </c>
      <c r="H44" s="69" t="s">
        <v>37</v>
      </c>
      <c r="I44" s="34"/>
      <c r="J44" s="101">
        <v>300.0</v>
      </c>
      <c r="K44" s="101">
        <v>300.0</v>
      </c>
      <c r="L44" s="101">
        <v>300.0</v>
      </c>
      <c r="M44" s="101">
        <v>300.0</v>
      </c>
      <c r="N44" s="101">
        <v>300.0</v>
      </c>
    </row>
    <row r="45">
      <c r="A45" s="69">
        <v>23.0</v>
      </c>
      <c r="B45" s="17" t="s">
        <v>34</v>
      </c>
      <c r="C45" s="17" t="s">
        <v>35</v>
      </c>
      <c r="D45" s="17" t="s">
        <v>318</v>
      </c>
      <c r="E45" s="18"/>
      <c r="F45" s="101">
        <v>400.0</v>
      </c>
      <c r="G45" s="41">
        <v>400.0</v>
      </c>
      <c r="H45" s="69" t="s">
        <v>37</v>
      </c>
      <c r="I45" s="34"/>
      <c r="J45" s="101">
        <v>400.0</v>
      </c>
      <c r="K45" s="101">
        <v>400.0</v>
      </c>
      <c r="L45" s="101">
        <v>400.0</v>
      </c>
      <c r="M45" s="101">
        <v>400.0</v>
      </c>
      <c r="N45" s="101">
        <v>400.0</v>
      </c>
    </row>
    <row r="46">
      <c r="A46" s="16" t="s">
        <v>50</v>
      </c>
      <c r="B46" s="14"/>
      <c r="C46" s="14"/>
      <c r="D46" s="14"/>
      <c r="E46" s="14"/>
      <c r="F46" s="38"/>
      <c r="G46" s="39"/>
      <c r="H46" s="39"/>
      <c r="I46" s="39"/>
      <c r="J46" s="38"/>
      <c r="K46" s="38"/>
      <c r="L46" s="38"/>
      <c r="M46" s="38"/>
      <c r="N46" s="38"/>
    </row>
    <row r="47">
      <c r="A47" s="17">
        <v>7.0</v>
      </c>
      <c r="B47" s="17" t="s">
        <v>34</v>
      </c>
      <c r="C47" s="17" t="s">
        <v>35</v>
      </c>
      <c r="D47" s="17" t="s">
        <v>604</v>
      </c>
      <c r="E47" s="18"/>
      <c r="F47" s="101">
        <v>2500.0</v>
      </c>
      <c r="G47" s="41">
        <v>2500.0</v>
      </c>
      <c r="H47" s="69" t="s">
        <v>58</v>
      </c>
      <c r="I47" s="34"/>
      <c r="J47" s="101">
        <v>2500.0</v>
      </c>
      <c r="K47" s="101">
        <v>2500.0</v>
      </c>
      <c r="L47" s="101">
        <v>2500.0</v>
      </c>
      <c r="M47" s="101">
        <v>2500.0</v>
      </c>
      <c r="N47" s="101">
        <v>2500.0</v>
      </c>
    </row>
    <row r="48">
      <c r="A48" s="17">
        <v>20.0</v>
      </c>
      <c r="B48" s="17" t="s">
        <v>54</v>
      </c>
      <c r="C48" s="68" t="s">
        <v>569</v>
      </c>
      <c r="D48" s="17" t="s">
        <v>605</v>
      </c>
      <c r="E48" s="17" t="s">
        <v>606</v>
      </c>
      <c r="F48" s="101">
        <v>650.0</v>
      </c>
      <c r="G48" s="41">
        <v>450.0</v>
      </c>
      <c r="H48" s="69" t="s">
        <v>58</v>
      </c>
      <c r="I48" s="34"/>
      <c r="J48" s="101">
        <v>450.0</v>
      </c>
      <c r="K48" s="101">
        <v>450.0</v>
      </c>
      <c r="L48" s="101">
        <v>450.0</v>
      </c>
      <c r="M48" s="101">
        <v>450.0</v>
      </c>
      <c r="N48" s="101">
        <v>450.0</v>
      </c>
    </row>
    <row r="49">
      <c r="A49" s="17">
        <v>24.0</v>
      </c>
      <c r="B49" s="17" t="s">
        <v>54</v>
      </c>
      <c r="C49" s="68" t="s">
        <v>569</v>
      </c>
      <c r="D49" s="17" t="s">
        <v>605</v>
      </c>
      <c r="E49" s="17" t="s">
        <v>606</v>
      </c>
      <c r="F49" s="101">
        <v>650.0</v>
      </c>
      <c r="G49" s="41">
        <v>450.0</v>
      </c>
      <c r="H49" s="69" t="s">
        <v>58</v>
      </c>
      <c r="I49" s="34"/>
      <c r="J49" s="101">
        <v>450.0</v>
      </c>
      <c r="K49" s="101">
        <v>450.0</v>
      </c>
      <c r="L49" s="101">
        <v>450.0</v>
      </c>
      <c r="M49" s="101">
        <v>450.0</v>
      </c>
      <c r="N49" s="101">
        <v>450.0</v>
      </c>
    </row>
    <row r="50">
      <c r="A50" s="17">
        <v>28.0</v>
      </c>
      <c r="B50" s="17" t="s">
        <v>34</v>
      </c>
      <c r="C50" s="17" t="s">
        <v>35</v>
      </c>
      <c r="D50" s="17" t="s">
        <v>45</v>
      </c>
      <c r="E50" s="18"/>
      <c r="F50" s="101">
        <v>450.0</v>
      </c>
      <c r="G50" s="41">
        <v>450.0</v>
      </c>
      <c r="H50" s="69" t="s">
        <v>37</v>
      </c>
      <c r="I50" s="34"/>
      <c r="J50" s="41">
        <v>450.0</v>
      </c>
      <c r="K50" s="41">
        <v>450.0</v>
      </c>
      <c r="L50" s="41">
        <v>450.0</v>
      </c>
      <c r="M50" s="41">
        <v>450.0</v>
      </c>
      <c r="N50" s="41">
        <v>450.0</v>
      </c>
    </row>
    <row r="51">
      <c r="A51" s="16" t="s">
        <v>97</v>
      </c>
      <c r="B51" s="14"/>
      <c r="C51" s="14"/>
      <c r="D51" s="14"/>
      <c r="E51" s="14"/>
      <c r="F51" s="38"/>
      <c r="G51" s="39"/>
      <c r="H51" s="39"/>
      <c r="I51" s="39"/>
      <c r="J51" s="38"/>
      <c r="K51" s="38"/>
      <c r="L51" s="38"/>
      <c r="M51" s="38"/>
      <c r="N51" s="38"/>
    </row>
    <row r="52">
      <c r="A52" s="16" t="s">
        <v>52</v>
      </c>
      <c r="B52" s="14"/>
      <c r="C52" s="14"/>
      <c r="D52" s="14"/>
      <c r="E52" s="14"/>
      <c r="F52" s="38"/>
      <c r="G52" s="39"/>
      <c r="H52" s="39"/>
      <c r="I52" s="39"/>
      <c r="J52" s="38"/>
      <c r="K52" s="38"/>
      <c r="L52" s="38"/>
      <c r="M52" s="38"/>
      <c r="N52" s="38"/>
    </row>
    <row r="53">
      <c r="A53" s="69">
        <v>9.0</v>
      </c>
      <c r="B53" s="17" t="s">
        <v>54</v>
      </c>
      <c r="C53" s="68" t="s">
        <v>55</v>
      </c>
      <c r="D53" s="17" t="s">
        <v>607</v>
      </c>
      <c r="E53" s="17" t="s">
        <v>608</v>
      </c>
      <c r="F53" s="35">
        <v>550.0</v>
      </c>
      <c r="G53" s="41">
        <v>550.0</v>
      </c>
      <c r="H53" s="69" t="s">
        <v>58</v>
      </c>
      <c r="I53" s="34"/>
      <c r="J53" s="101">
        <v>550.0</v>
      </c>
      <c r="K53" s="101">
        <v>550.0</v>
      </c>
      <c r="L53" s="101">
        <v>550.0</v>
      </c>
      <c r="M53" s="101">
        <v>550.0</v>
      </c>
      <c r="N53" s="101">
        <v>550.0</v>
      </c>
    </row>
    <row r="54">
      <c r="A54" s="69">
        <v>9.0</v>
      </c>
      <c r="B54" s="17" t="s">
        <v>34</v>
      </c>
      <c r="C54" s="17" t="s">
        <v>78</v>
      </c>
      <c r="D54" s="17" t="s">
        <v>609</v>
      </c>
      <c r="E54" s="17" t="s">
        <v>610</v>
      </c>
      <c r="F54" s="35">
        <v>1300.0</v>
      </c>
      <c r="G54" s="41">
        <v>1300.0</v>
      </c>
      <c r="H54" s="69" t="s">
        <v>58</v>
      </c>
      <c r="I54" s="34"/>
      <c r="J54" s="101">
        <v>1300.0</v>
      </c>
      <c r="K54" s="101">
        <v>1300.0</v>
      </c>
      <c r="L54" s="101">
        <v>1300.0</v>
      </c>
      <c r="M54" s="101">
        <v>1300.0</v>
      </c>
      <c r="N54" s="101">
        <v>1300.0</v>
      </c>
    </row>
    <row r="55">
      <c r="A55" s="17">
        <v>15.0</v>
      </c>
      <c r="B55" s="17" t="s">
        <v>54</v>
      </c>
      <c r="C55" s="84" t="s">
        <v>55</v>
      </c>
      <c r="D55" s="109" t="s">
        <v>340</v>
      </c>
      <c r="E55" s="17"/>
      <c r="F55" s="35">
        <v>850.0</v>
      </c>
      <c r="G55" s="41">
        <v>850.0</v>
      </c>
      <c r="H55" s="69" t="s">
        <v>58</v>
      </c>
      <c r="I55" s="34"/>
      <c r="J55" s="101">
        <v>850.0</v>
      </c>
      <c r="K55" s="101">
        <v>850.0</v>
      </c>
      <c r="L55" s="101">
        <v>850.0</v>
      </c>
      <c r="M55" s="101">
        <v>850.0</v>
      </c>
      <c r="N55" s="101">
        <v>850.0</v>
      </c>
    </row>
    <row r="56">
      <c r="A56" s="17">
        <v>16.0</v>
      </c>
      <c r="B56" s="17" t="s">
        <v>34</v>
      </c>
      <c r="C56" s="17" t="s">
        <v>78</v>
      </c>
      <c r="D56" s="17" t="s">
        <v>83</v>
      </c>
      <c r="E56" s="17" t="s">
        <v>611</v>
      </c>
      <c r="F56" s="35">
        <v>1250.0</v>
      </c>
      <c r="G56" s="41">
        <v>1250.0</v>
      </c>
      <c r="H56" s="69" t="s">
        <v>58</v>
      </c>
      <c r="I56" s="34"/>
      <c r="J56" s="101">
        <v>1250.0</v>
      </c>
      <c r="K56" s="101">
        <v>1250.0</v>
      </c>
      <c r="L56" s="101">
        <v>1250.0</v>
      </c>
      <c r="M56" s="101">
        <v>1250.0</v>
      </c>
      <c r="N56" s="101">
        <v>1250.0</v>
      </c>
    </row>
    <row r="57">
      <c r="A57" s="17">
        <v>16.0</v>
      </c>
      <c r="B57" s="17" t="s">
        <v>34</v>
      </c>
      <c r="C57" s="17" t="s">
        <v>78</v>
      </c>
      <c r="D57" s="17" t="s">
        <v>612</v>
      </c>
      <c r="E57" s="17" t="s">
        <v>611</v>
      </c>
      <c r="F57" s="35">
        <v>1250.0</v>
      </c>
      <c r="G57" s="41">
        <v>1250.0</v>
      </c>
      <c r="H57" s="69" t="s">
        <v>58</v>
      </c>
      <c r="I57" s="34"/>
      <c r="J57" s="101">
        <v>1250.0</v>
      </c>
      <c r="K57" s="101">
        <v>1250.0</v>
      </c>
      <c r="L57" s="101">
        <v>1250.0</v>
      </c>
      <c r="M57" s="101">
        <v>1250.0</v>
      </c>
      <c r="N57" s="101">
        <v>1250.0</v>
      </c>
    </row>
    <row r="58">
      <c r="A58" s="17">
        <v>16.0</v>
      </c>
      <c r="B58" s="17" t="s">
        <v>34</v>
      </c>
      <c r="C58" s="17" t="s">
        <v>78</v>
      </c>
      <c r="D58" s="17" t="s">
        <v>99</v>
      </c>
      <c r="E58" s="17" t="s">
        <v>613</v>
      </c>
      <c r="F58" s="35">
        <v>1150.0</v>
      </c>
      <c r="G58" s="41">
        <v>1150.0</v>
      </c>
      <c r="H58" s="69" t="s">
        <v>58</v>
      </c>
      <c r="I58" s="34"/>
      <c r="J58" s="101">
        <v>1150.0</v>
      </c>
      <c r="K58" s="101">
        <v>1150.0</v>
      </c>
      <c r="L58" s="101">
        <v>1150.0</v>
      </c>
      <c r="M58" s="101">
        <v>1150.0</v>
      </c>
      <c r="N58" s="101">
        <v>1150.0</v>
      </c>
    </row>
    <row r="59">
      <c r="A59" s="17">
        <v>17.0</v>
      </c>
      <c r="B59" s="17" t="s">
        <v>54</v>
      </c>
      <c r="C59" s="68" t="s">
        <v>125</v>
      </c>
      <c r="D59" s="17" t="s">
        <v>614</v>
      </c>
      <c r="E59" s="17" t="s">
        <v>615</v>
      </c>
      <c r="F59" s="35">
        <v>0.0</v>
      </c>
      <c r="G59" s="41">
        <v>0.0</v>
      </c>
      <c r="H59" s="69" t="s">
        <v>58</v>
      </c>
      <c r="I59" s="34"/>
      <c r="J59" s="101">
        <v>0.0</v>
      </c>
      <c r="K59" s="101">
        <v>0.0</v>
      </c>
      <c r="L59" s="101">
        <v>0.0</v>
      </c>
      <c r="M59" s="101">
        <v>0.0</v>
      </c>
      <c r="N59" s="101">
        <v>0.0</v>
      </c>
    </row>
    <row r="60">
      <c r="A60" s="17">
        <v>17.0</v>
      </c>
      <c r="B60" s="17" t="s">
        <v>54</v>
      </c>
      <c r="C60" s="68" t="s">
        <v>125</v>
      </c>
      <c r="D60" s="17" t="s">
        <v>616</v>
      </c>
      <c r="E60" s="17" t="s">
        <v>615</v>
      </c>
      <c r="F60" s="35">
        <v>0.0</v>
      </c>
      <c r="G60" s="41">
        <v>0.0</v>
      </c>
      <c r="H60" s="69" t="s">
        <v>58</v>
      </c>
      <c r="I60" s="34"/>
      <c r="J60" s="107">
        <v>0.0</v>
      </c>
      <c r="K60" s="107">
        <v>0.0</v>
      </c>
      <c r="L60" s="107">
        <v>0.0</v>
      </c>
      <c r="M60" s="107">
        <v>0.0</v>
      </c>
      <c r="N60" s="107">
        <v>0.0</v>
      </c>
    </row>
    <row r="61">
      <c r="A61" s="17">
        <v>31.0</v>
      </c>
      <c r="B61" s="17" t="s">
        <v>54</v>
      </c>
      <c r="C61" s="68" t="s">
        <v>125</v>
      </c>
      <c r="D61" s="17" t="s">
        <v>617</v>
      </c>
      <c r="E61" s="17"/>
      <c r="F61" s="35">
        <v>1500.0</v>
      </c>
      <c r="G61" s="41">
        <v>1500.0</v>
      </c>
      <c r="H61" s="69" t="s">
        <v>58</v>
      </c>
      <c r="I61" s="34"/>
      <c r="J61" s="101">
        <v>1500.0</v>
      </c>
      <c r="K61" s="101">
        <v>1500.0</v>
      </c>
      <c r="L61" s="101">
        <v>1500.0</v>
      </c>
      <c r="M61" s="101">
        <v>1500.0</v>
      </c>
      <c r="N61" s="101">
        <v>1500.0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0"/>
  <cols>
    <col customWidth="1" min="1" max="1" width="5.5"/>
    <col customWidth="1" min="2" max="2" width="6.75"/>
    <col customWidth="1" min="3" max="3" width="10.38"/>
    <col customWidth="1" min="4" max="4" width="15.5"/>
    <col customWidth="1" min="6" max="6" width="5.25"/>
    <col customWidth="1" min="7" max="7" width="7.13"/>
    <col customWidth="1" min="8" max="8" width="5.38"/>
    <col customWidth="1" min="9" max="9" width="6.5"/>
    <col customWidth="1" min="10" max="10" width="5.38"/>
    <col customWidth="1" min="11" max="11" width="4.88"/>
    <col customWidth="1" min="12" max="14" width="8.5"/>
    <col customWidth="1" min="15" max="15" width="7.5"/>
    <col customWidth="1" min="16" max="16" width="6.63"/>
    <col customWidth="1" min="17" max="17" width="6.88"/>
    <col customWidth="1" min="18" max="18" width="6.0"/>
    <col customWidth="1" min="19" max="22" width="8.5"/>
    <col customWidth="1" min="23" max="23" width="6.63"/>
    <col customWidth="1" min="24" max="24" width="2.75"/>
    <col customWidth="1" min="25" max="25" width="28.13"/>
    <col customWidth="1" min="26" max="26" width="2.63"/>
    <col customWidth="1" min="27" max="27" width="9.38"/>
    <col customWidth="1" min="28" max="28" width="6.75"/>
    <col customWidth="1" min="29" max="29" width="9.38"/>
    <col customWidth="1" min="30" max="30" width="6.75"/>
    <col customWidth="1" min="31" max="31" width="9.38"/>
    <col customWidth="1" min="32" max="32" width="6.75"/>
    <col customWidth="1" min="33" max="33" width="9.38"/>
    <col customWidth="1" min="34" max="34" width="6.75"/>
    <col customWidth="1" min="35" max="35" width="9.38"/>
    <col customWidth="1" min="36" max="36" width="6.75"/>
    <col customWidth="1" min="37" max="37" width="9.38"/>
    <col customWidth="1" min="38" max="38" width="6.75"/>
  </cols>
  <sheetData>
    <row r="1">
      <c r="G1" s="1"/>
      <c r="H1" s="1"/>
      <c r="I1" s="1"/>
      <c r="J1" s="1"/>
      <c r="N1" s="1"/>
      <c r="O1" s="2"/>
      <c r="P1" s="1"/>
      <c r="Q1" s="1"/>
      <c r="R1" s="2"/>
      <c r="S1" s="1"/>
      <c r="T1" s="3"/>
      <c r="U1" s="4"/>
      <c r="V1" s="1"/>
      <c r="W1" s="1"/>
      <c r="AA1" s="3" t="s">
        <v>0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5" t="s">
        <v>7</v>
      </c>
      <c r="H2" s="5" t="s">
        <v>8</v>
      </c>
      <c r="I2" s="5" t="s">
        <v>9</v>
      </c>
      <c r="J2" s="5" t="s">
        <v>8</v>
      </c>
      <c r="K2" s="6">
        <v>0.01</v>
      </c>
      <c r="L2" s="3" t="s">
        <v>10</v>
      </c>
      <c r="M2" s="3" t="s">
        <v>11</v>
      </c>
      <c r="N2" s="5" t="s">
        <v>12</v>
      </c>
      <c r="O2" s="7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8</v>
      </c>
      <c r="X2" s="8"/>
      <c r="Y2" s="3" t="s">
        <v>21</v>
      </c>
      <c r="Z2" s="8"/>
      <c r="AA2" s="5" t="s">
        <v>22</v>
      </c>
      <c r="AB2" s="5" t="s">
        <v>23</v>
      </c>
      <c r="AC2" s="5" t="s">
        <v>24</v>
      </c>
      <c r="AD2" s="5" t="s">
        <v>23</v>
      </c>
      <c r="AE2" s="5" t="s">
        <v>25</v>
      </c>
      <c r="AF2" s="5" t="s">
        <v>23</v>
      </c>
      <c r="AG2" s="5" t="s">
        <v>26</v>
      </c>
      <c r="AH2" s="5" t="s">
        <v>23</v>
      </c>
      <c r="AI2" s="5" t="s">
        <v>27</v>
      </c>
      <c r="AJ2" s="5" t="s">
        <v>23</v>
      </c>
      <c r="AK2" s="5" t="s">
        <v>28</v>
      </c>
      <c r="AL2" s="5" t="s">
        <v>23</v>
      </c>
    </row>
    <row r="3">
      <c r="A3" s="9" t="s">
        <v>29</v>
      </c>
      <c r="B3" s="10"/>
      <c r="C3" s="10"/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2"/>
      <c r="P3" s="11"/>
      <c r="Q3" s="11"/>
      <c r="R3" s="12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</row>
    <row r="4">
      <c r="A4" s="13" t="s">
        <v>30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1"/>
      <c r="Q4" s="11"/>
      <c r="R4" s="12"/>
      <c r="S4" s="11"/>
      <c r="T4" s="11"/>
      <c r="U4" s="11"/>
      <c r="V4" s="11"/>
      <c r="W4" s="11"/>
      <c r="X4" s="14"/>
      <c r="Y4" s="11"/>
      <c r="Z4" s="14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>
      <c r="A5" s="17">
        <v>17.0</v>
      </c>
      <c r="B5" s="95" t="s">
        <v>54</v>
      </c>
      <c r="C5" s="68" t="s">
        <v>55</v>
      </c>
      <c r="D5" s="100" t="s">
        <v>340</v>
      </c>
      <c r="E5" s="18"/>
      <c r="F5" s="17" t="s">
        <v>618</v>
      </c>
      <c r="G5" s="31">
        <v>5500.0</v>
      </c>
      <c r="H5" s="17" t="s">
        <v>58</v>
      </c>
      <c r="I5" s="31">
        <v>0.0</v>
      </c>
      <c r="J5" s="17" t="s">
        <v>58</v>
      </c>
      <c r="K5" s="20">
        <f t="shared" ref="K5:K6" si="1">round(G5*1%,0)</f>
        <v>55</v>
      </c>
      <c r="L5" s="31">
        <f t="shared" ref="L5:L6" si="2">sum(AB5+AD5+AF5+AH5+AJ5+AL5)</f>
        <v>1700</v>
      </c>
      <c r="M5" s="18">
        <f t="shared" ref="M5:M6" si="3">G5-K5-L5</f>
        <v>3745</v>
      </c>
      <c r="N5" s="18">
        <f>round(O5*M5+I5,0)</f>
        <v>3745</v>
      </c>
      <c r="O5" s="21">
        <v>1.0</v>
      </c>
      <c r="P5" s="18">
        <f>round(R5*(M5-N5),0)</f>
        <v>0</v>
      </c>
      <c r="Q5" s="18">
        <f>round(R5*AD5,0)</f>
        <v>80</v>
      </c>
      <c r="R5" s="21">
        <v>0.1</v>
      </c>
      <c r="S5" s="18">
        <f>round(M5-N5-P5-Q5,0)</f>
        <v>-80</v>
      </c>
      <c r="T5" s="18">
        <f>S5/5</f>
        <v>-16</v>
      </c>
      <c r="U5" s="31">
        <f>round(T5,-2)</f>
        <v>0</v>
      </c>
      <c r="V5" s="18">
        <f t="shared" ref="V5:V6" si="4">5*(T5-U5)</f>
        <v>-80</v>
      </c>
      <c r="W5" s="17" t="s">
        <v>58</v>
      </c>
      <c r="X5" s="23"/>
      <c r="Y5" s="18"/>
      <c r="Z5" s="23"/>
      <c r="AA5" s="17" t="s">
        <v>38</v>
      </c>
      <c r="AB5" s="31">
        <v>900.0</v>
      </c>
      <c r="AC5" s="17" t="s">
        <v>619</v>
      </c>
      <c r="AD5" s="31">
        <v>800.0</v>
      </c>
      <c r="AE5" s="18"/>
      <c r="AF5" s="18"/>
      <c r="AG5" s="18"/>
      <c r="AH5" s="18"/>
      <c r="AI5" s="18"/>
      <c r="AJ5" s="18"/>
      <c r="AK5" s="18"/>
      <c r="AL5" s="18"/>
    </row>
    <row r="6">
      <c r="A6" s="17">
        <v>28.0</v>
      </c>
      <c r="B6" s="95" t="s">
        <v>54</v>
      </c>
      <c r="C6" s="68" t="s">
        <v>125</v>
      </c>
      <c r="D6" s="69" t="s">
        <v>571</v>
      </c>
      <c r="E6" s="102" t="s">
        <v>572</v>
      </c>
      <c r="F6" s="18"/>
      <c r="G6" s="31">
        <v>0.0</v>
      </c>
      <c r="H6" s="17" t="s">
        <v>58</v>
      </c>
      <c r="I6" s="31">
        <v>0.0</v>
      </c>
      <c r="J6" s="17" t="s">
        <v>58</v>
      </c>
      <c r="K6" s="20">
        <f t="shared" si="1"/>
        <v>0</v>
      </c>
      <c r="L6" s="31">
        <f t="shared" si="2"/>
        <v>2100</v>
      </c>
      <c r="M6" s="18">
        <f t="shared" si="3"/>
        <v>-2100</v>
      </c>
      <c r="N6" s="18">
        <f>0*M6+I6</f>
        <v>0</v>
      </c>
      <c r="O6" s="29"/>
      <c r="P6" s="18">
        <f>0*(M6-N6)</f>
        <v>0</v>
      </c>
      <c r="Q6" s="18"/>
      <c r="R6" s="29"/>
      <c r="S6" s="17">
        <v>0.0</v>
      </c>
      <c r="T6" s="17">
        <v>0.0</v>
      </c>
      <c r="U6" s="31">
        <v>0.0</v>
      </c>
      <c r="V6" s="18">
        <f t="shared" si="4"/>
        <v>0</v>
      </c>
      <c r="W6" s="17" t="s">
        <v>58</v>
      </c>
      <c r="X6" s="23"/>
      <c r="Y6" s="18"/>
      <c r="Z6" s="23"/>
      <c r="AA6" s="17" t="s">
        <v>38</v>
      </c>
      <c r="AB6" s="31">
        <v>700.0</v>
      </c>
      <c r="AC6" s="17" t="s">
        <v>619</v>
      </c>
      <c r="AD6" s="31">
        <v>1000.0</v>
      </c>
      <c r="AE6" s="17" t="s">
        <v>362</v>
      </c>
      <c r="AF6" s="31">
        <v>200.0</v>
      </c>
      <c r="AG6" s="18"/>
      <c r="AH6" s="18"/>
      <c r="AI6" s="18"/>
      <c r="AJ6" s="18"/>
      <c r="AK6" s="17" t="s">
        <v>297</v>
      </c>
      <c r="AL6" s="31">
        <v>200.0</v>
      </c>
    </row>
    <row r="7">
      <c r="A7" s="13" t="s">
        <v>31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5"/>
      <c r="P7" s="14"/>
      <c r="Q7" s="14"/>
      <c r="R7" s="15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</row>
    <row r="8">
      <c r="A8" s="50">
        <v>1.0</v>
      </c>
      <c r="B8" s="95" t="s">
        <v>54</v>
      </c>
      <c r="C8" s="68" t="s">
        <v>125</v>
      </c>
      <c r="D8" s="69" t="s">
        <v>574</v>
      </c>
      <c r="E8" s="102" t="s">
        <v>575</v>
      </c>
      <c r="G8" s="31">
        <v>0.0</v>
      </c>
      <c r="H8" s="17" t="s">
        <v>58</v>
      </c>
      <c r="I8" s="31">
        <v>0.0</v>
      </c>
      <c r="J8" s="17" t="s">
        <v>58</v>
      </c>
      <c r="K8" s="20">
        <f>round(G8*1%,0)</f>
        <v>0</v>
      </c>
      <c r="L8" s="31">
        <f>sum(AB8+AD8+AF8+AH8+AJ8+AL8)</f>
        <v>1700</v>
      </c>
      <c r="M8" s="18">
        <f>G8-K8-L8</f>
        <v>-1700</v>
      </c>
      <c r="N8" s="18">
        <f>0*M8+I8</f>
        <v>0</v>
      </c>
      <c r="O8" s="29"/>
      <c r="P8" s="18">
        <f>0*(M8-N8)</f>
        <v>0</v>
      </c>
      <c r="Q8" s="18"/>
      <c r="R8" s="29"/>
      <c r="S8" s="17">
        <v>0.0</v>
      </c>
      <c r="T8" s="17">
        <v>0.0</v>
      </c>
      <c r="U8" s="31">
        <v>0.0</v>
      </c>
      <c r="V8" s="18">
        <f>5*(T8-U8)</f>
        <v>0</v>
      </c>
      <c r="W8" s="17" t="s">
        <v>58</v>
      </c>
      <c r="X8" s="23"/>
      <c r="Y8" s="18"/>
      <c r="Z8" s="23"/>
      <c r="AA8" s="17" t="s">
        <v>38</v>
      </c>
      <c r="AB8" s="31">
        <v>700.0</v>
      </c>
      <c r="AC8" s="17" t="s">
        <v>619</v>
      </c>
      <c r="AD8" s="31">
        <v>800.0</v>
      </c>
      <c r="AE8" s="17"/>
      <c r="AF8" s="17"/>
      <c r="AG8" s="18"/>
      <c r="AH8" s="18"/>
      <c r="AI8" s="18"/>
      <c r="AJ8" s="18"/>
      <c r="AK8" s="17" t="s">
        <v>297</v>
      </c>
      <c r="AL8" s="31">
        <v>200.0</v>
      </c>
    </row>
    <row r="9">
      <c r="A9" s="16" t="s">
        <v>32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5"/>
      <c r="P9" s="14"/>
      <c r="Q9" s="14"/>
      <c r="R9" s="15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</row>
    <row r="10">
      <c r="A10" s="17">
        <v>21.0</v>
      </c>
      <c r="B10" s="17" t="s">
        <v>54</v>
      </c>
      <c r="C10" s="68" t="s">
        <v>125</v>
      </c>
      <c r="D10" s="69" t="s">
        <v>576</v>
      </c>
      <c r="E10" s="17" t="s">
        <v>577</v>
      </c>
      <c r="F10" s="17">
        <v>169.0</v>
      </c>
      <c r="G10" s="31">
        <v>7500.0</v>
      </c>
      <c r="H10" s="17" t="s">
        <v>58</v>
      </c>
      <c r="I10" s="31">
        <v>0.0</v>
      </c>
      <c r="J10" s="17" t="s">
        <v>58</v>
      </c>
      <c r="K10" s="20">
        <f>round(G10*1%,0)</f>
        <v>75</v>
      </c>
      <c r="L10" s="31">
        <f t="shared" ref="L10:L12" si="5">sum(AB10+AD10+AF10+AH10+AJ10+AL10)</f>
        <v>3900</v>
      </c>
      <c r="M10" s="18">
        <f t="shared" ref="M10:M12" si="6">G10-K10-L10</f>
        <v>3525</v>
      </c>
      <c r="N10" s="18">
        <f t="shared" ref="N10:N12" si="7">round(O10*M10+I10,0)</f>
        <v>3525</v>
      </c>
      <c r="O10" s="21">
        <v>1.0</v>
      </c>
      <c r="P10" s="18">
        <f t="shared" ref="P10:P12" si="8">round(R10*(M10-N10),0)</f>
        <v>0</v>
      </c>
      <c r="Q10" s="18">
        <f t="shared" ref="Q10:Q12" si="9">round(R10*AD10,0)</f>
        <v>105</v>
      </c>
      <c r="R10" s="21">
        <v>0.1</v>
      </c>
      <c r="S10" s="18">
        <f t="shared" ref="S10:S12" si="10">round(M10-N10-P10-Q10,0)</f>
        <v>-105</v>
      </c>
      <c r="T10" s="18">
        <f t="shared" ref="T10:T11" si="11">S10/5</f>
        <v>-21</v>
      </c>
      <c r="U10" s="31">
        <f>round(T10,-2)</f>
        <v>0</v>
      </c>
      <c r="V10" s="18">
        <f t="shared" ref="V10:V12" si="12">5*(T10-U10)</f>
        <v>-105</v>
      </c>
      <c r="W10" s="17" t="s">
        <v>58</v>
      </c>
      <c r="X10" s="23"/>
      <c r="Y10" s="18"/>
      <c r="Z10" s="23"/>
      <c r="AA10" s="17" t="s">
        <v>38</v>
      </c>
      <c r="AB10" s="31">
        <v>1000.0</v>
      </c>
      <c r="AC10" s="17" t="s">
        <v>620</v>
      </c>
      <c r="AD10" s="31">
        <v>1050.0</v>
      </c>
      <c r="AE10" s="17" t="s">
        <v>621</v>
      </c>
      <c r="AF10" s="31">
        <v>1550.0</v>
      </c>
      <c r="AG10" s="18"/>
      <c r="AH10" s="18"/>
      <c r="AI10" s="18"/>
      <c r="AJ10" s="18"/>
      <c r="AK10" s="17" t="s">
        <v>297</v>
      </c>
      <c r="AL10" s="31">
        <v>300.0</v>
      </c>
    </row>
    <row r="11">
      <c r="A11" s="17">
        <v>28.0</v>
      </c>
      <c r="B11" s="95" t="s">
        <v>34</v>
      </c>
      <c r="C11" s="95" t="s">
        <v>130</v>
      </c>
      <c r="D11" s="100" t="s">
        <v>99</v>
      </c>
      <c r="E11" s="100"/>
      <c r="F11" s="17">
        <v>167.0</v>
      </c>
      <c r="G11" s="31">
        <v>14167.0</v>
      </c>
      <c r="H11" s="17" t="s">
        <v>58</v>
      </c>
      <c r="I11" s="31">
        <v>1467.0</v>
      </c>
      <c r="J11" s="17" t="s">
        <v>58</v>
      </c>
      <c r="K11" s="20">
        <f t="shared" ref="K11:K12" si="13">round(I11*1%,0)</f>
        <v>15</v>
      </c>
      <c r="L11" s="31">
        <f t="shared" si="5"/>
        <v>2700</v>
      </c>
      <c r="M11" s="18">
        <f t="shared" si="6"/>
        <v>11452</v>
      </c>
      <c r="N11" s="18">
        <f t="shared" si="7"/>
        <v>1925</v>
      </c>
      <c r="O11" s="21">
        <v>0.04</v>
      </c>
      <c r="P11" s="18">
        <f t="shared" si="8"/>
        <v>0</v>
      </c>
      <c r="Q11" s="18">
        <f t="shared" si="9"/>
        <v>0</v>
      </c>
      <c r="R11" s="21">
        <v>0.0</v>
      </c>
      <c r="S11" s="18">
        <f t="shared" si="10"/>
        <v>9527</v>
      </c>
      <c r="T11" s="18">
        <f t="shared" si="11"/>
        <v>1905.4</v>
      </c>
      <c r="U11" s="31">
        <v>1950.0</v>
      </c>
      <c r="V11" s="18">
        <f t="shared" si="12"/>
        <v>-223</v>
      </c>
      <c r="W11" s="17" t="s">
        <v>58</v>
      </c>
      <c r="X11" s="23"/>
      <c r="Y11" s="17"/>
      <c r="Z11" s="23"/>
      <c r="AA11" s="17" t="s">
        <v>285</v>
      </c>
      <c r="AB11" s="31">
        <v>1950.0</v>
      </c>
      <c r="AC11" s="17" t="s">
        <v>619</v>
      </c>
      <c r="AD11" s="31">
        <v>750.0</v>
      </c>
      <c r="AE11" s="18"/>
      <c r="AF11" s="18"/>
      <c r="AG11" s="18"/>
      <c r="AH11" s="18"/>
      <c r="AI11" s="18"/>
      <c r="AJ11" s="18"/>
      <c r="AK11" s="18"/>
      <c r="AL11" s="18"/>
    </row>
    <row r="12">
      <c r="A12" s="17">
        <v>30.0</v>
      </c>
      <c r="B12" s="95" t="s">
        <v>34</v>
      </c>
      <c r="C12" s="17" t="s">
        <v>35</v>
      </c>
      <c r="D12" s="100" t="s">
        <v>578</v>
      </c>
      <c r="E12" s="34"/>
      <c r="F12" s="110">
        <v>157.0</v>
      </c>
      <c r="G12" s="31">
        <v>4100.0</v>
      </c>
      <c r="H12" s="17" t="s">
        <v>37</v>
      </c>
      <c r="I12" s="31">
        <v>300.0</v>
      </c>
      <c r="J12" s="17" t="s">
        <v>37</v>
      </c>
      <c r="K12" s="20">
        <f t="shared" si="13"/>
        <v>3</v>
      </c>
      <c r="L12" s="31">
        <f t="shared" si="5"/>
        <v>1600</v>
      </c>
      <c r="M12" s="18">
        <f t="shared" si="6"/>
        <v>2497</v>
      </c>
      <c r="N12" s="18">
        <f t="shared" si="7"/>
        <v>425</v>
      </c>
      <c r="O12" s="21">
        <v>0.05</v>
      </c>
      <c r="P12" s="18">
        <f t="shared" si="8"/>
        <v>0</v>
      </c>
      <c r="Q12" s="18">
        <f t="shared" si="9"/>
        <v>0</v>
      </c>
      <c r="R12" s="21">
        <v>0.0</v>
      </c>
      <c r="S12" s="18">
        <f t="shared" si="10"/>
        <v>2072</v>
      </c>
      <c r="T12" s="18">
        <f>S12/4</f>
        <v>518</v>
      </c>
      <c r="U12" s="31">
        <v>550.0</v>
      </c>
      <c r="V12" s="18">
        <f t="shared" si="12"/>
        <v>-160</v>
      </c>
      <c r="W12" s="17" t="s">
        <v>37</v>
      </c>
      <c r="X12" s="23"/>
      <c r="Y12" s="17"/>
      <c r="Z12" s="23"/>
      <c r="AA12" s="17" t="s">
        <v>285</v>
      </c>
      <c r="AB12" s="31">
        <v>400.0</v>
      </c>
      <c r="AC12" s="17" t="s">
        <v>622</v>
      </c>
      <c r="AD12" s="31">
        <v>200.0</v>
      </c>
      <c r="AE12" s="17" t="s">
        <v>362</v>
      </c>
      <c r="AF12" s="31">
        <v>50.0</v>
      </c>
      <c r="AG12" s="17" t="s">
        <v>623</v>
      </c>
      <c r="AH12" s="31">
        <v>500.0</v>
      </c>
      <c r="AI12" s="17" t="s">
        <v>623</v>
      </c>
      <c r="AJ12" s="31">
        <v>450.0</v>
      </c>
      <c r="AK12" s="18"/>
      <c r="AL12" s="18"/>
    </row>
    <row r="13">
      <c r="A13" s="16" t="s">
        <v>33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5"/>
      <c r="P13" s="14"/>
      <c r="Q13" s="14"/>
      <c r="R13" s="15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</row>
    <row r="14">
      <c r="A14" s="17">
        <v>6.0</v>
      </c>
      <c r="B14" s="95" t="s">
        <v>54</v>
      </c>
      <c r="C14" s="68" t="s">
        <v>55</v>
      </c>
      <c r="D14" s="100" t="s">
        <v>579</v>
      </c>
      <c r="E14" s="18"/>
      <c r="F14" s="18"/>
      <c r="G14" s="31">
        <v>0.0</v>
      </c>
      <c r="H14" s="17" t="s">
        <v>58</v>
      </c>
      <c r="I14" s="31">
        <v>0.0</v>
      </c>
      <c r="J14" s="17" t="s">
        <v>58</v>
      </c>
      <c r="K14" s="20">
        <f t="shared" ref="K14:K15" si="14">round(G14*1%,0)</f>
        <v>0</v>
      </c>
      <c r="L14" s="31">
        <f t="shared" ref="L14:L17" si="15">sum(AB14+AD14+AF14+AH14+AJ14+AL14)</f>
        <v>2000</v>
      </c>
      <c r="M14" s="18">
        <f t="shared" ref="M14:M17" si="16">G14-K14-L14</f>
        <v>-2000</v>
      </c>
      <c r="N14" s="18">
        <f>0*M14+I14</f>
        <v>0</v>
      </c>
      <c r="O14" s="29"/>
      <c r="P14" s="18">
        <f>round(10%*(M14-N14),0)+round(10%*AD14,0)</f>
        <v>-120</v>
      </c>
      <c r="Q14" s="18"/>
      <c r="R14" s="29"/>
      <c r="S14" s="17">
        <v>0.0</v>
      </c>
      <c r="T14" s="17">
        <v>0.0</v>
      </c>
      <c r="U14" s="31">
        <v>0.0</v>
      </c>
      <c r="V14" s="18">
        <f t="shared" ref="V14:V17" si="17">5*(T14-U14)</f>
        <v>0</v>
      </c>
      <c r="W14" s="17" t="s">
        <v>58</v>
      </c>
      <c r="X14" s="23"/>
      <c r="Y14" s="17" t="s">
        <v>624</v>
      </c>
      <c r="Z14" s="23"/>
      <c r="AA14" s="17" t="s">
        <v>38</v>
      </c>
      <c r="AB14" s="31">
        <v>1200.0</v>
      </c>
      <c r="AC14" s="17" t="s">
        <v>619</v>
      </c>
      <c r="AD14" s="31">
        <v>800.0</v>
      </c>
      <c r="AE14" s="17"/>
      <c r="AF14" s="17"/>
      <c r="AG14" s="18"/>
      <c r="AH14" s="18"/>
      <c r="AI14" s="18"/>
      <c r="AJ14" s="18"/>
      <c r="AK14" s="18"/>
      <c r="AL14" s="18"/>
    </row>
    <row r="15">
      <c r="A15" s="17">
        <v>12.0</v>
      </c>
      <c r="B15" s="95" t="s">
        <v>54</v>
      </c>
      <c r="C15" s="68" t="s">
        <v>55</v>
      </c>
      <c r="D15" s="100" t="s">
        <v>340</v>
      </c>
      <c r="E15" s="18"/>
      <c r="F15" s="17" t="s">
        <v>618</v>
      </c>
      <c r="G15" s="31">
        <v>5500.0</v>
      </c>
      <c r="H15" s="17" t="s">
        <v>58</v>
      </c>
      <c r="I15" s="31">
        <v>0.0</v>
      </c>
      <c r="J15" s="17" t="s">
        <v>58</v>
      </c>
      <c r="K15" s="20">
        <f t="shared" si="14"/>
        <v>55</v>
      </c>
      <c r="L15" s="31">
        <f t="shared" si="15"/>
        <v>1700</v>
      </c>
      <c r="M15" s="18">
        <f t="shared" si="16"/>
        <v>3745</v>
      </c>
      <c r="N15" s="18">
        <f t="shared" ref="N15:N17" si="18">round(O15*M15+I15,0)</f>
        <v>3745</v>
      </c>
      <c r="O15" s="21">
        <v>1.0</v>
      </c>
      <c r="P15" s="18">
        <f t="shared" ref="P15:P17" si="19">round(R15*(M15-N15),0)</f>
        <v>0</v>
      </c>
      <c r="Q15" s="18">
        <f t="shared" ref="Q15:Q17" si="20">round(R15*AD15,0)</f>
        <v>80</v>
      </c>
      <c r="R15" s="21">
        <v>0.1</v>
      </c>
      <c r="S15" s="18">
        <f t="shared" ref="S15:S17" si="21">round(M15-N15-P15-Q15,0)</f>
        <v>-80</v>
      </c>
      <c r="T15" s="18">
        <f t="shared" ref="T15:T17" si="22">S15/5</f>
        <v>-16</v>
      </c>
      <c r="U15" s="31">
        <f>round(T15,-2)</f>
        <v>0</v>
      </c>
      <c r="V15" s="18">
        <f t="shared" si="17"/>
        <v>-80</v>
      </c>
      <c r="W15" s="17" t="s">
        <v>58</v>
      </c>
      <c r="X15" s="23"/>
      <c r="Y15" s="18"/>
      <c r="Z15" s="23"/>
      <c r="AA15" s="17" t="s">
        <v>38</v>
      </c>
      <c r="AB15" s="31">
        <v>900.0</v>
      </c>
      <c r="AC15" s="17" t="s">
        <v>625</v>
      </c>
      <c r="AD15" s="31">
        <v>800.0</v>
      </c>
      <c r="AE15" s="18"/>
      <c r="AF15" s="18"/>
      <c r="AG15" s="18"/>
      <c r="AH15" s="18"/>
      <c r="AI15" s="18"/>
      <c r="AJ15" s="18"/>
      <c r="AK15" s="18"/>
      <c r="AL15" s="18"/>
    </row>
    <row r="16">
      <c r="A16" s="17">
        <v>20.0</v>
      </c>
      <c r="B16" s="95" t="s">
        <v>34</v>
      </c>
      <c r="C16" s="17" t="s">
        <v>35</v>
      </c>
      <c r="D16" s="17" t="s">
        <v>581</v>
      </c>
      <c r="E16" s="18"/>
      <c r="F16" s="17">
        <v>161.0</v>
      </c>
      <c r="G16" s="31">
        <v>3300.0</v>
      </c>
      <c r="H16" s="17" t="s">
        <v>37</v>
      </c>
      <c r="I16" s="31">
        <v>300.0</v>
      </c>
      <c r="J16" s="17" t="s">
        <v>37</v>
      </c>
      <c r="K16" s="20">
        <f>round(I16*1%,0)</f>
        <v>3</v>
      </c>
      <c r="L16" s="31">
        <f t="shared" si="15"/>
        <v>1000</v>
      </c>
      <c r="M16" s="18">
        <f t="shared" si="16"/>
        <v>2297</v>
      </c>
      <c r="N16" s="18">
        <f t="shared" si="18"/>
        <v>300</v>
      </c>
      <c r="O16" s="21">
        <v>0.0</v>
      </c>
      <c r="P16" s="18">
        <f t="shared" si="19"/>
        <v>0</v>
      </c>
      <c r="Q16" s="18">
        <f t="shared" si="20"/>
        <v>0</v>
      </c>
      <c r="R16" s="21">
        <v>0.0</v>
      </c>
      <c r="S16" s="18">
        <f t="shared" si="21"/>
        <v>1997</v>
      </c>
      <c r="T16" s="18">
        <f t="shared" si="22"/>
        <v>399.4</v>
      </c>
      <c r="U16" s="31">
        <f t="shared" ref="U16:U17" si="23">round(T16,-1)</f>
        <v>400</v>
      </c>
      <c r="V16" s="18">
        <f t="shared" si="17"/>
        <v>-3</v>
      </c>
      <c r="W16" s="17" t="s">
        <v>37</v>
      </c>
      <c r="X16" s="23"/>
      <c r="Y16" s="18"/>
      <c r="Z16" s="23"/>
      <c r="AA16" s="17" t="s">
        <v>285</v>
      </c>
      <c r="AB16" s="31">
        <v>350.0</v>
      </c>
      <c r="AC16" s="17" t="s">
        <v>619</v>
      </c>
      <c r="AD16" s="31">
        <v>200.0</v>
      </c>
      <c r="AE16" s="17" t="s">
        <v>362</v>
      </c>
      <c r="AF16" s="31">
        <v>50.0</v>
      </c>
      <c r="AG16" s="17" t="s">
        <v>623</v>
      </c>
      <c r="AH16" s="31">
        <v>400.0</v>
      </c>
      <c r="AI16" s="18"/>
      <c r="AJ16" s="18"/>
      <c r="AK16" s="18"/>
      <c r="AL16" s="18"/>
    </row>
    <row r="17">
      <c r="A17" s="17">
        <v>27.0</v>
      </c>
      <c r="B17" s="17" t="s">
        <v>34</v>
      </c>
      <c r="C17" s="17" t="s">
        <v>78</v>
      </c>
      <c r="D17" s="17" t="s">
        <v>582</v>
      </c>
      <c r="E17" s="17" t="s">
        <v>583</v>
      </c>
      <c r="F17" s="18"/>
      <c r="G17" s="31">
        <v>14626.0</v>
      </c>
      <c r="H17" s="17" t="s">
        <v>58</v>
      </c>
      <c r="I17" s="31">
        <v>0.0</v>
      </c>
      <c r="J17" s="17" t="s">
        <v>58</v>
      </c>
      <c r="K17" s="20">
        <f>round(G17*1%,0)</f>
        <v>146</v>
      </c>
      <c r="L17" s="31">
        <f t="shared" si="15"/>
        <v>2250</v>
      </c>
      <c r="M17" s="18">
        <f t="shared" si="16"/>
        <v>12230</v>
      </c>
      <c r="N17" s="18">
        <f t="shared" si="18"/>
        <v>1003</v>
      </c>
      <c r="O17" s="21">
        <v>0.082</v>
      </c>
      <c r="P17" s="18">
        <f t="shared" si="19"/>
        <v>1123</v>
      </c>
      <c r="Q17" s="18">
        <f t="shared" si="20"/>
        <v>100</v>
      </c>
      <c r="R17" s="21">
        <v>0.1</v>
      </c>
      <c r="S17" s="18">
        <f t="shared" si="21"/>
        <v>10004</v>
      </c>
      <c r="T17" s="18">
        <f t="shared" si="22"/>
        <v>2000.8</v>
      </c>
      <c r="U17" s="31">
        <f t="shared" si="23"/>
        <v>2000</v>
      </c>
      <c r="V17" s="18">
        <f t="shared" si="17"/>
        <v>4</v>
      </c>
      <c r="W17" s="17" t="s">
        <v>58</v>
      </c>
      <c r="X17" s="23"/>
      <c r="Y17" s="18"/>
      <c r="Z17" s="23"/>
      <c r="AA17" s="17" t="s">
        <v>38</v>
      </c>
      <c r="AB17" s="31">
        <v>1000.0</v>
      </c>
      <c r="AC17" s="17" t="s">
        <v>619</v>
      </c>
      <c r="AD17" s="31">
        <v>1000.0</v>
      </c>
      <c r="AE17" s="17" t="s">
        <v>362</v>
      </c>
      <c r="AF17" s="31">
        <v>250.0</v>
      </c>
      <c r="AG17" s="17"/>
      <c r="AH17" s="17"/>
      <c r="AI17" s="18"/>
      <c r="AJ17" s="18"/>
      <c r="AK17" s="18"/>
      <c r="AL17" s="18"/>
    </row>
    <row r="18">
      <c r="A18" s="16" t="s">
        <v>39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5"/>
      <c r="P18" s="14"/>
      <c r="Q18" s="14"/>
      <c r="R18" s="15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</row>
    <row r="19">
      <c r="A19" s="17">
        <v>3.0</v>
      </c>
      <c r="B19" s="17" t="s">
        <v>34</v>
      </c>
      <c r="C19" s="17" t="s">
        <v>35</v>
      </c>
      <c r="D19" s="17" t="s">
        <v>584</v>
      </c>
      <c r="E19" s="18"/>
      <c r="F19" s="17">
        <v>166.0</v>
      </c>
      <c r="G19" s="31">
        <v>2700.0</v>
      </c>
      <c r="H19" s="17" t="s">
        <v>37</v>
      </c>
      <c r="I19" s="31">
        <v>300.0</v>
      </c>
      <c r="J19" s="17" t="s">
        <v>37</v>
      </c>
      <c r="K19" s="20">
        <f>round(I19*1%,0)</f>
        <v>3</v>
      </c>
      <c r="L19" s="31">
        <f t="shared" ref="L19:L24" si="24">sum(AB19+AD19+AF19+AH19+AJ19+AL19)</f>
        <v>363</v>
      </c>
      <c r="M19" s="18">
        <f t="shared" ref="M19:M24" si="25">G19-K19-L19</f>
        <v>2334</v>
      </c>
      <c r="N19" s="18">
        <f t="shared" ref="N19:N24" si="26">round(O19*M19+I19,0)</f>
        <v>557</v>
      </c>
      <c r="O19" s="21">
        <v>0.11</v>
      </c>
      <c r="P19" s="18">
        <f t="shared" ref="P19:P24" si="27">round(R19*(M19-N19),0)</f>
        <v>0</v>
      </c>
      <c r="Q19" s="18">
        <f>round(R62*AD19,0)</f>
        <v>16</v>
      </c>
      <c r="R19" s="21">
        <v>0.0</v>
      </c>
      <c r="S19" s="18">
        <f t="shared" ref="S19:S24" si="28">round(M19-N19-P19-Q19,0)</f>
        <v>1761</v>
      </c>
      <c r="T19" s="18">
        <f t="shared" ref="T19:T22" si="29">S19/5</f>
        <v>352.2</v>
      </c>
      <c r="U19" s="31">
        <f t="shared" ref="U19:U24" si="30">round(T19,-1)</f>
        <v>350</v>
      </c>
      <c r="V19" s="18">
        <f t="shared" ref="V19:V24" si="31">5*(T19-U19)</f>
        <v>11</v>
      </c>
      <c r="W19" s="17" t="s">
        <v>37</v>
      </c>
      <c r="X19" s="23"/>
      <c r="Y19" s="17"/>
      <c r="Z19" s="23"/>
      <c r="AA19" s="17" t="s">
        <v>38</v>
      </c>
      <c r="AB19" s="31">
        <v>200.0</v>
      </c>
      <c r="AC19" s="17" t="s">
        <v>619</v>
      </c>
      <c r="AD19" s="31">
        <v>163.0</v>
      </c>
      <c r="AE19" s="18"/>
      <c r="AF19" s="18"/>
      <c r="AG19" s="18"/>
      <c r="AH19" s="18"/>
      <c r="AI19" s="18"/>
      <c r="AJ19" s="18"/>
      <c r="AK19" s="18"/>
      <c r="AL19" s="18"/>
    </row>
    <row r="20">
      <c r="A20" s="17">
        <v>8.0</v>
      </c>
      <c r="B20" s="17" t="s">
        <v>34</v>
      </c>
      <c r="C20" s="17" t="s">
        <v>78</v>
      </c>
      <c r="D20" s="17" t="s">
        <v>585</v>
      </c>
      <c r="E20" s="45" t="s">
        <v>626</v>
      </c>
      <c r="F20" s="17"/>
      <c r="G20" s="31">
        <v>13872.0</v>
      </c>
      <c r="H20" s="17" t="s">
        <v>58</v>
      </c>
      <c r="I20" s="31">
        <v>0.0</v>
      </c>
      <c r="J20" s="17" t="s">
        <v>58</v>
      </c>
      <c r="K20" s="20">
        <f>round(G20*1%,0)</f>
        <v>139</v>
      </c>
      <c r="L20" s="31">
        <f t="shared" si="24"/>
        <v>1800</v>
      </c>
      <c r="M20" s="18">
        <f t="shared" si="25"/>
        <v>11933</v>
      </c>
      <c r="N20" s="18">
        <f t="shared" si="26"/>
        <v>11933</v>
      </c>
      <c r="O20" s="21">
        <v>1.0</v>
      </c>
      <c r="P20" s="18">
        <f t="shared" si="27"/>
        <v>0</v>
      </c>
      <c r="Q20" s="18">
        <f>round(R20*AD20,0)</f>
        <v>0</v>
      </c>
      <c r="R20" s="21">
        <v>0.0</v>
      </c>
      <c r="S20" s="18">
        <f t="shared" si="28"/>
        <v>0</v>
      </c>
      <c r="T20" s="18">
        <f t="shared" si="29"/>
        <v>0</v>
      </c>
      <c r="U20" s="31">
        <f t="shared" si="30"/>
        <v>0</v>
      </c>
      <c r="V20" s="18">
        <f t="shared" si="31"/>
        <v>0</v>
      </c>
      <c r="W20" s="17" t="s">
        <v>58</v>
      </c>
      <c r="X20" s="23"/>
      <c r="Y20" s="18"/>
      <c r="Z20" s="23"/>
      <c r="AA20" s="17" t="s">
        <v>38</v>
      </c>
      <c r="AB20" s="31">
        <v>1000.0</v>
      </c>
      <c r="AC20" s="17" t="s">
        <v>625</v>
      </c>
      <c r="AD20" s="31">
        <v>800.0</v>
      </c>
      <c r="AE20" s="18"/>
      <c r="AF20" s="18"/>
      <c r="AG20" s="18"/>
      <c r="AH20" s="18"/>
      <c r="AI20" s="18"/>
      <c r="AJ20" s="18"/>
      <c r="AK20" s="18"/>
      <c r="AL20" s="18"/>
    </row>
    <row r="21">
      <c r="A21" s="17">
        <v>10.0</v>
      </c>
      <c r="B21" s="17" t="s">
        <v>34</v>
      </c>
      <c r="C21" s="17" t="s">
        <v>35</v>
      </c>
      <c r="D21" s="17" t="s">
        <v>45</v>
      </c>
      <c r="E21" s="50" t="s">
        <v>627</v>
      </c>
      <c r="F21" s="17">
        <v>134.0</v>
      </c>
      <c r="G21" s="31">
        <v>4150.0</v>
      </c>
      <c r="H21" s="17" t="s">
        <v>37</v>
      </c>
      <c r="I21" s="31">
        <v>300.0</v>
      </c>
      <c r="J21" s="17" t="s">
        <v>37</v>
      </c>
      <c r="K21" s="20">
        <f>round(I21*1%,0)</f>
        <v>3</v>
      </c>
      <c r="L21" s="31">
        <f t="shared" si="24"/>
        <v>1100</v>
      </c>
      <c r="M21" s="18">
        <f t="shared" si="25"/>
        <v>3047</v>
      </c>
      <c r="N21" s="18">
        <f t="shared" si="26"/>
        <v>513</v>
      </c>
      <c r="O21" s="21">
        <v>0.07</v>
      </c>
      <c r="P21" s="18">
        <f t="shared" si="27"/>
        <v>0</v>
      </c>
      <c r="Q21" s="18">
        <f>round(R62*AD21,0)</f>
        <v>20</v>
      </c>
      <c r="R21" s="21">
        <v>0.0</v>
      </c>
      <c r="S21" s="18">
        <f t="shared" si="28"/>
        <v>2514</v>
      </c>
      <c r="T21" s="18">
        <f t="shared" si="29"/>
        <v>502.8</v>
      </c>
      <c r="U21" s="31">
        <f t="shared" si="30"/>
        <v>500</v>
      </c>
      <c r="V21" s="18">
        <f t="shared" si="31"/>
        <v>14</v>
      </c>
      <c r="W21" s="17" t="s">
        <v>37</v>
      </c>
      <c r="X21" s="23"/>
      <c r="Y21" s="18"/>
      <c r="Z21" s="23"/>
      <c r="AA21" s="17" t="s">
        <v>285</v>
      </c>
      <c r="AB21" s="31">
        <v>200.0</v>
      </c>
      <c r="AC21" s="17" t="s">
        <v>619</v>
      </c>
      <c r="AD21" s="31">
        <v>200.0</v>
      </c>
      <c r="AE21" s="17" t="s">
        <v>362</v>
      </c>
      <c r="AF21" s="31">
        <v>50.0</v>
      </c>
      <c r="AG21" s="17" t="s">
        <v>628</v>
      </c>
      <c r="AH21" s="31">
        <v>500.0</v>
      </c>
      <c r="AI21" s="18"/>
      <c r="AJ21" s="18"/>
      <c r="AK21" s="17" t="s">
        <v>629</v>
      </c>
      <c r="AL21" s="31">
        <v>150.0</v>
      </c>
    </row>
    <row r="22">
      <c r="A22" s="17">
        <v>17.0</v>
      </c>
      <c r="B22" s="17" t="s">
        <v>54</v>
      </c>
      <c r="C22" s="68" t="s">
        <v>125</v>
      </c>
      <c r="D22" s="17" t="s">
        <v>586</v>
      </c>
      <c r="E22" s="17" t="s">
        <v>587</v>
      </c>
      <c r="F22" s="17">
        <v>174.0</v>
      </c>
      <c r="G22" s="31">
        <v>4955.0</v>
      </c>
      <c r="H22" s="17" t="s">
        <v>58</v>
      </c>
      <c r="I22" s="31">
        <v>0.0</v>
      </c>
      <c r="J22" s="17" t="s">
        <v>58</v>
      </c>
      <c r="K22" s="20">
        <f t="shared" ref="K22:K23" si="32">round(G22*1%,0)</f>
        <v>50</v>
      </c>
      <c r="L22" s="31">
        <f t="shared" si="24"/>
        <v>1800</v>
      </c>
      <c r="M22" s="18">
        <f t="shared" si="25"/>
        <v>3105</v>
      </c>
      <c r="N22" s="18">
        <f t="shared" si="26"/>
        <v>248</v>
      </c>
      <c r="O22" s="21">
        <v>0.08</v>
      </c>
      <c r="P22" s="18">
        <f t="shared" si="27"/>
        <v>286</v>
      </c>
      <c r="Q22" s="18">
        <f t="shared" ref="Q22:Q24" si="33">round(R22*AD22,0)</f>
        <v>80</v>
      </c>
      <c r="R22" s="21">
        <v>0.1</v>
      </c>
      <c r="S22" s="18">
        <f t="shared" si="28"/>
        <v>2491</v>
      </c>
      <c r="T22" s="18">
        <f t="shared" si="29"/>
        <v>498.2</v>
      </c>
      <c r="U22" s="31">
        <f t="shared" si="30"/>
        <v>500</v>
      </c>
      <c r="V22" s="18">
        <f t="shared" si="31"/>
        <v>-9</v>
      </c>
      <c r="W22" s="17" t="s">
        <v>58</v>
      </c>
      <c r="X22" s="23"/>
      <c r="Y22" s="18"/>
      <c r="Z22" s="23"/>
      <c r="AA22" s="17" t="s">
        <v>38</v>
      </c>
      <c r="AB22" s="31">
        <v>1000.0</v>
      </c>
      <c r="AC22" s="17" t="s">
        <v>630</v>
      </c>
      <c r="AD22" s="31">
        <v>800.0</v>
      </c>
      <c r="AE22" s="18"/>
      <c r="AF22" s="18"/>
      <c r="AG22" s="18"/>
      <c r="AH22" s="18"/>
      <c r="AI22" s="18"/>
      <c r="AJ22" s="18"/>
      <c r="AK22" s="18"/>
      <c r="AL22" s="18"/>
    </row>
    <row r="23">
      <c r="A23" s="17">
        <v>23.0</v>
      </c>
      <c r="B23" s="17" t="s">
        <v>54</v>
      </c>
      <c r="C23" s="68" t="s">
        <v>125</v>
      </c>
      <c r="D23" s="17" t="s">
        <v>588</v>
      </c>
      <c r="E23" s="17" t="s">
        <v>589</v>
      </c>
      <c r="F23" s="17"/>
      <c r="G23" s="31">
        <v>6000.0</v>
      </c>
      <c r="H23" s="17" t="s">
        <v>58</v>
      </c>
      <c r="I23" s="31">
        <v>0.0</v>
      </c>
      <c r="J23" s="17" t="s">
        <v>58</v>
      </c>
      <c r="K23" s="20">
        <f t="shared" si="32"/>
        <v>60</v>
      </c>
      <c r="L23" s="31">
        <f t="shared" si="24"/>
        <v>1800</v>
      </c>
      <c r="M23" s="18">
        <f t="shared" si="25"/>
        <v>4140</v>
      </c>
      <c r="N23" s="18">
        <f t="shared" si="26"/>
        <v>704</v>
      </c>
      <c r="O23" s="21">
        <v>0.17</v>
      </c>
      <c r="P23" s="18">
        <f t="shared" si="27"/>
        <v>344</v>
      </c>
      <c r="Q23" s="18">
        <f t="shared" si="33"/>
        <v>80</v>
      </c>
      <c r="R23" s="21">
        <v>0.1</v>
      </c>
      <c r="S23" s="18">
        <f t="shared" si="28"/>
        <v>3012</v>
      </c>
      <c r="T23" s="18">
        <f t="shared" ref="T23:T24" si="34">S23/4</f>
        <v>753</v>
      </c>
      <c r="U23" s="31">
        <f t="shared" si="30"/>
        <v>750</v>
      </c>
      <c r="V23" s="18">
        <f t="shared" si="31"/>
        <v>15</v>
      </c>
      <c r="W23" s="17" t="s">
        <v>58</v>
      </c>
      <c r="X23" s="23"/>
      <c r="Y23" s="18"/>
      <c r="Z23" s="23"/>
      <c r="AA23" s="17" t="s">
        <v>38</v>
      </c>
      <c r="AB23" s="31">
        <v>1000.0</v>
      </c>
      <c r="AC23" s="17" t="s">
        <v>631</v>
      </c>
      <c r="AD23" s="31">
        <v>800.0</v>
      </c>
      <c r="AE23" s="18"/>
      <c r="AF23" s="18"/>
      <c r="AG23" s="18"/>
      <c r="AH23" s="18"/>
      <c r="AI23" s="18"/>
      <c r="AJ23" s="18"/>
      <c r="AK23" s="18"/>
      <c r="AL23" s="18"/>
    </row>
    <row r="24">
      <c r="A24" s="17">
        <v>25.0</v>
      </c>
      <c r="B24" s="17" t="s">
        <v>54</v>
      </c>
      <c r="C24" s="68" t="s">
        <v>125</v>
      </c>
      <c r="D24" s="17" t="s">
        <v>590</v>
      </c>
      <c r="E24" s="17" t="s">
        <v>591</v>
      </c>
      <c r="F24" s="17"/>
      <c r="G24" s="31">
        <v>3100.0</v>
      </c>
      <c r="H24" s="17" t="s">
        <v>58</v>
      </c>
      <c r="I24" s="31">
        <v>0.0</v>
      </c>
      <c r="J24" s="17" t="s">
        <v>58</v>
      </c>
      <c r="K24" s="32">
        <v>0.0</v>
      </c>
      <c r="L24" s="31">
        <f t="shared" si="24"/>
        <v>3100</v>
      </c>
      <c r="M24" s="18">
        <f t="shared" si="25"/>
        <v>0</v>
      </c>
      <c r="N24" s="18">
        <f t="shared" si="26"/>
        <v>0</v>
      </c>
      <c r="O24" s="21">
        <v>0.0</v>
      </c>
      <c r="P24" s="18">
        <f t="shared" si="27"/>
        <v>0</v>
      </c>
      <c r="Q24" s="18">
        <f t="shared" si="33"/>
        <v>0</v>
      </c>
      <c r="R24" s="21">
        <v>0.0</v>
      </c>
      <c r="S24" s="18">
        <f t="shared" si="28"/>
        <v>0</v>
      </c>
      <c r="T24" s="18">
        <f t="shared" si="34"/>
        <v>0</v>
      </c>
      <c r="U24" s="31">
        <f t="shared" si="30"/>
        <v>0</v>
      </c>
      <c r="V24" s="18">
        <f t="shared" si="31"/>
        <v>0</v>
      </c>
      <c r="W24" s="17" t="s">
        <v>58</v>
      </c>
      <c r="X24" s="23"/>
      <c r="Y24" s="18"/>
      <c r="Z24" s="23"/>
      <c r="AA24" s="17" t="s">
        <v>38</v>
      </c>
      <c r="AB24" s="31">
        <v>1500.0</v>
      </c>
      <c r="AC24" s="17" t="s">
        <v>632</v>
      </c>
      <c r="AD24" s="31">
        <v>1000.0</v>
      </c>
      <c r="AE24" s="18"/>
      <c r="AF24" s="31">
        <v>300.0</v>
      </c>
      <c r="AG24" s="18"/>
      <c r="AH24" s="18"/>
      <c r="AI24" s="18"/>
      <c r="AJ24" s="18"/>
      <c r="AK24" s="17" t="s">
        <v>633</v>
      </c>
      <c r="AL24" s="31">
        <v>300.0</v>
      </c>
    </row>
    <row r="25">
      <c r="A25" s="24" t="s">
        <v>42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6"/>
      <c r="P25" s="25"/>
      <c r="Q25" s="25"/>
      <c r="R25" s="26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</row>
    <row r="26">
      <c r="A26" s="17">
        <v>1.0</v>
      </c>
      <c r="B26" s="17" t="s">
        <v>54</v>
      </c>
      <c r="C26" s="68" t="s">
        <v>125</v>
      </c>
      <c r="D26" s="17" t="s">
        <v>592</v>
      </c>
      <c r="E26" s="17" t="s">
        <v>593</v>
      </c>
      <c r="F26" s="17">
        <v>172.0</v>
      </c>
      <c r="G26" s="31">
        <v>7693.0</v>
      </c>
      <c r="H26" s="17" t="s">
        <v>58</v>
      </c>
      <c r="I26" s="31">
        <v>0.0</v>
      </c>
      <c r="J26" s="17" t="s">
        <v>58</v>
      </c>
      <c r="K26" s="20">
        <f>round(G26*1%,0)</f>
        <v>77</v>
      </c>
      <c r="L26" s="31">
        <f t="shared" ref="L26:L32" si="35">sum(AB26+AD26+AF26+AH26+AJ26+AL26)</f>
        <v>2400</v>
      </c>
      <c r="M26" s="18">
        <f t="shared" ref="M26:M32" si="36">G26-K26-L26</f>
        <v>5216</v>
      </c>
      <c r="N26" s="18">
        <f t="shared" ref="N26:N32" si="37">round(O26*M26+I26,0)</f>
        <v>104</v>
      </c>
      <c r="O26" s="21">
        <v>0.02</v>
      </c>
      <c r="P26" s="18">
        <f t="shared" ref="P26:P32" si="38">round(R26*(M26-N26),0)</f>
        <v>511</v>
      </c>
      <c r="Q26" s="18">
        <f t="shared" ref="Q26:Q32" si="39">round(R26*AD26,0)</f>
        <v>100</v>
      </c>
      <c r="R26" s="21">
        <v>0.1</v>
      </c>
      <c r="S26" s="18">
        <f t="shared" ref="S26:S32" si="40">round(M26-N26-P26-Q26,0)</f>
        <v>4501</v>
      </c>
      <c r="T26" s="18">
        <f t="shared" ref="T26:T32" si="41">S26/5</f>
        <v>900.2</v>
      </c>
      <c r="U26" s="31">
        <f>round(T26,-1)</f>
        <v>900</v>
      </c>
      <c r="V26" s="18">
        <f t="shared" ref="V26:V32" si="42">5*(T26-U26)</f>
        <v>1</v>
      </c>
      <c r="W26" s="17" t="s">
        <v>58</v>
      </c>
      <c r="X26" s="23"/>
      <c r="Y26" s="18"/>
      <c r="Z26" s="23"/>
      <c r="AA26" s="17" t="s">
        <v>38</v>
      </c>
      <c r="AB26" s="31">
        <v>1000.0</v>
      </c>
      <c r="AC26" s="17" t="s">
        <v>632</v>
      </c>
      <c r="AD26" s="31">
        <v>1000.0</v>
      </c>
      <c r="AE26" s="17" t="s">
        <v>634</v>
      </c>
      <c r="AF26" s="31">
        <v>400.0</v>
      </c>
      <c r="AG26" s="18"/>
      <c r="AH26" s="18"/>
      <c r="AI26" s="18"/>
      <c r="AJ26" s="18"/>
      <c r="AK26" s="18"/>
      <c r="AL26" s="18"/>
    </row>
    <row r="27">
      <c r="A27" s="17">
        <v>2.0</v>
      </c>
      <c r="B27" s="17" t="s">
        <v>34</v>
      </c>
      <c r="C27" s="17" t="s">
        <v>35</v>
      </c>
      <c r="D27" s="17" t="s">
        <v>594</v>
      </c>
      <c r="E27" s="18"/>
      <c r="F27" s="17">
        <v>146.0</v>
      </c>
      <c r="G27" s="31">
        <v>3350.0</v>
      </c>
      <c r="H27" s="17" t="s">
        <v>37</v>
      </c>
      <c r="I27" s="31">
        <v>300.0</v>
      </c>
      <c r="J27" s="17" t="s">
        <v>37</v>
      </c>
      <c r="K27" s="20">
        <f t="shared" ref="K27:K28" si="43">round(I27*1%,0)</f>
        <v>3</v>
      </c>
      <c r="L27" s="31">
        <f t="shared" si="35"/>
        <v>1063</v>
      </c>
      <c r="M27" s="18">
        <f t="shared" si="36"/>
        <v>2284</v>
      </c>
      <c r="N27" s="18">
        <f t="shared" si="37"/>
        <v>300</v>
      </c>
      <c r="O27" s="21">
        <v>0.0</v>
      </c>
      <c r="P27" s="18">
        <f t="shared" si="38"/>
        <v>0</v>
      </c>
      <c r="Q27" s="18">
        <f t="shared" si="39"/>
        <v>0</v>
      </c>
      <c r="R27" s="21">
        <v>0.0</v>
      </c>
      <c r="S27" s="18">
        <f t="shared" si="40"/>
        <v>1984</v>
      </c>
      <c r="T27" s="18">
        <f t="shared" si="41"/>
        <v>396.8</v>
      </c>
      <c r="U27" s="31">
        <v>400.0</v>
      </c>
      <c r="V27" s="18">
        <f t="shared" si="42"/>
        <v>-16</v>
      </c>
      <c r="W27" s="17" t="s">
        <v>37</v>
      </c>
      <c r="X27" s="23"/>
      <c r="Y27" s="18"/>
      <c r="Z27" s="23"/>
      <c r="AA27" s="17" t="s">
        <v>285</v>
      </c>
      <c r="AB27" s="31">
        <v>350.0</v>
      </c>
      <c r="AC27" s="17" t="s">
        <v>632</v>
      </c>
      <c r="AD27" s="31">
        <v>163.0</v>
      </c>
      <c r="AE27" s="17" t="s">
        <v>362</v>
      </c>
      <c r="AF27" s="31">
        <v>50.0</v>
      </c>
      <c r="AG27" s="17" t="s">
        <v>623</v>
      </c>
      <c r="AH27" s="31">
        <v>500.0</v>
      </c>
      <c r="AI27" s="18"/>
      <c r="AJ27" s="18"/>
      <c r="AK27" s="18"/>
      <c r="AL27" s="18"/>
    </row>
    <row r="28">
      <c r="A28" s="17">
        <v>8.0</v>
      </c>
      <c r="B28" s="17" t="s">
        <v>34</v>
      </c>
      <c r="C28" s="17" t="s">
        <v>35</v>
      </c>
      <c r="D28" s="17" t="s">
        <v>596</v>
      </c>
      <c r="E28" s="18"/>
      <c r="F28" s="17">
        <v>132.0</v>
      </c>
      <c r="G28" s="31">
        <v>2800.0</v>
      </c>
      <c r="H28" s="17" t="s">
        <v>37</v>
      </c>
      <c r="I28" s="31">
        <v>300.0</v>
      </c>
      <c r="J28" s="17" t="s">
        <v>37</v>
      </c>
      <c r="K28" s="20">
        <f t="shared" si="43"/>
        <v>3</v>
      </c>
      <c r="L28" s="31">
        <f t="shared" si="35"/>
        <v>363</v>
      </c>
      <c r="M28" s="18">
        <f t="shared" si="36"/>
        <v>2434</v>
      </c>
      <c r="N28" s="18">
        <f t="shared" si="37"/>
        <v>422</v>
      </c>
      <c r="O28" s="21">
        <v>0.05</v>
      </c>
      <c r="P28" s="18">
        <f t="shared" si="38"/>
        <v>0</v>
      </c>
      <c r="Q28" s="18">
        <f t="shared" si="39"/>
        <v>0</v>
      </c>
      <c r="R28" s="21">
        <v>0.0</v>
      </c>
      <c r="S28" s="18">
        <f t="shared" si="40"/>
        <v>2012</v>
      </c>
      <c r="T28" s="18">
        <f t="shared" si="41"/>
        <v>402.4</v>
      </c>
      <c r="U28" s="31">
        <f t="shared" ref="U28:U30" si="44">round(T28,-1)</f>
        <v>400</v>
      </c>
      <c r="V28" s="18">
        <f t="shared" si="42"/>
        <v>12</v>
      </c>
      <c r="W28" s="17" t="s">
        <v>37</v>
      </c>
      <c r="X28" s="23"/>
      <c r="Y28" s="18"/>
      <c r="Z28" s="23"/>
      <c r="AA28" s="17" t="s">
        <v>38</v>
      </c>
      <c r="AB28" s="31">
        <v>200.0</v>
      </c>
      <c r="AC28" s="17" t="s">
        <v>632</v>
      </c>
      <c r="AD28" s="31">
        <v>163.0</v>
      </c>
      <c r="AE28" s="18"/>
      <c r="AF28" s="18"/>
      <c r="AG28" s="18"/>
      <c r="AH28" s="18"/>
      <c r="AI28" s="18"/>
      <c r="AJ28" s="18"/>
      <c r="AK28" s="18"/>
      <c r="AL28" s="18"/>
    </row>
    <row r="29">
      <c r="A29" s="17">
        <v>15.0</v>
      </c>
      <c r="B29" s="17" t="s">
        <v>54</v>
      </c>
      <c r="C29" s="68" t="s">
        <v>55</v>
      </c>
      <c r="D29" s="17" t="s">
        <v>635</v>
      </c>
      <c r="E29" s="17" t="s">
        <v>597</v>
      </c>
      <c r="F29" s="17"/>
      <c r="G29" s="31">
        <v>5000.0</v>
      </c>
      <c r="H29" s="17" t="s">
        <v>58</v>
      </c>
      <c r="I29" s="31">
        <v>0.0</v>
      </c>
      <c r="J29" s="17" t="s">
        <v>58</v>
      </c>
      <c r="K29" s="32">
        <v>0.0</v>
      </c>
      <c r="L29" s="31">
        <f t="shared" si="35"/>
        <v>1000</v>
      </c>
      <c r="M29" s="18">
        <f t="shared" si="36"/>
        <v>4000</v>
      </c>
      <c r="N29" s="18">
        <f t="shared" si="37"/>
        <v>0</v>
      </c>
      <c r="O29" s="21">
        <v>0.0</v>
      </c>
      <c r="P29" s="18">
        <f t="shared" si="38"/>
        <v>0</v>
      </c>
      <c r="Q29" s="18">
        <f t="shared" si="39"/>
        <v>0</v>
      </c>
      <c r="R29" s="17">
        <v>0.0</v>
      </c>
      <c r="S29" s="18">
        <f t="shared" si="40"/>
        <v>4000</v>
      </c>
      <c r="T29" s="18">
        <f t="shared" si="41"/>
        <v>800</v>
      </c>
      <c r="U29" s="31">
        <f t="shared" si="44"/>
        <v>800</v>
      </c>
      <c r="V29" s="18">
        <f t="shared" si="42"/>
        <v>0</v>
      </c>
      <c r="W29" s="17" t="s">
        <v>58</v>
      </c>
      <c r="X29" s="23"/>
      <c r="Y29" s="18"/>
      <c r="Z29" s="23"/>
      <c r="AA29" s="17" t="s">
        <v>38</v>
      </c>
      <c r="AB29" s="31">
        <v>1000.0</v>
      </c>
      <c r="AC29" s="17" t="s">
        <v>636</v>
      </c>
      <c r="AD29" s="31">
        <v>0.0</v>
      </c>
      <c r="AE29" s="18"/>
      <c r="AF29" s="18"/>
      <c r="AG29" s="18"/>
      <c r="AH29" s="18"/>
      <c r="AI29" s="18"/>
      <c r="AJ29" s="18"/>
      <c r="AK29" s="18"/>
      <c r="AL29" s="18"/>
    </row>
    <row r="30">
      <c r="A30" s="17">
        <v>15.0</v>
      </c>
      <c r="B30" s="17" t="s">
        <v>54</v>
      </c>
      <c r="C30" s="68" t="s">
        <v>55</v>
      </c>
      <c r="D30" s="17" t="s">
        <v>637</v>
      </c>
      <c r="E30" s="17" t="s">
        <v>638</v>
      </c>
      <c r="F30" s="17"/>
      <c r="G30" s="31">
        <v>2500.0</v>
      </c>
      <c r="H30" s="17" t="s">
        <v>58</v>
      </c>
      <c r="I30" s="31">
        <v>0.0</v>
      </c>
      <c r="J30" s="17" t="s">
        <v>58</v>
      </c>
      <c r="K30" s="20">
        <f t="shared" ref="K30:K32" si="45">round(I30*1%,0)</f>
        <v>0</v>
      </c>
      <c r="L30" s="31">
        <f t="shared" si="35"/>
        <v>2200</v>
      </c>
      <c r="M30" s="18">
        <f t="shared" si="36"/>
        <v>300</v>
      </c>
      <c r="N30" s="18">
        <f t="shared" si="37"/>
        <v>300</v>
      </c>
      <c r="O30" s="21">
        <v>1.0</v>
      </c>
      <c r="P30" s="18">
        <f t="shared" si="38"/>
        <v>0</v>
      </c>
      <c r="Q30" s="18">
        <f t="shared" si="39"/>
        <v>0</v>
      </c>
      <c r="R30" s="21">
        <v>0.0</v>
      </c>
      <c r="S30" s="18">
        <f t="shared" si="40"/>
        <v>0</v>
      </c>
      <c r="T30" s="18">
        <f t="shared" si="41"/>
        <v>0</v>
      </c>
      <c r="U30" s="31">
        <f t="shared" si="44"/>
        <v>0</v>
      </c>
      <c r="V30" s="18">
        <f t="shared" si="42"/>
        <v>0</v>
      </c>
      <c r="W30" s="17" t="s">
        <v>58</v>
      </c>
      <c r="X30" s="23"/>
      <c r="Y30" s="18"/>
      <c r="Z30" s="23"/>
      <c r="AA30" s="17" t="s">
        <v>38</v>
      </c>
      <c r="AB30" s="31">
        <v>1000.0</v>
      </c>
      <c r="AC30" s="17" t="s">
        <v>636</v>
      </c>
      <c r="AD30" s="31">
        <v>1200.0</v>
      </c>
      <c r="AE30" s="18"/>
      <c r="AF30" s="18"/>
      <c r="AG30" s="18"/>
      <c r="AH30" s="18"/>
      <c r="AI30" s="18"/>
      <c r="AJ30" s="18"/>
      <c r="AK30" s="18"/>
      <c r="AL30" s="18"/>
    </row>
    <row r="31">
      <c r="A31" s="17">
        <v>28.0</v>
      </c>
      <c r="B31" s="17" t="s">
        <v>34</v>
      </c>
      <c r="C31" s="17" t="s">
        <v>35</v>
      </c>
      <c r="D31" s="17" t="s">
        <v>45</v>
      </c>
      <c r="E31" s="18"/>
      <c r="F31" s="17">
        <v>168.0</v>
      </c>
      <c r="G31" s="31">
        <v>2450.0</v>
      </c>
      <c r="H31" s="17" t="s">
        <v>37</v>
      </c>
      <c r="I31" s="31">
        <v>300.0</v>
      </c>
      <c r="J31" s="17" t="s">
        <v>37</v>
      </c>
      <c r="K31" s="20">
        <f t="shared" si="45"/>
        <v>3</v>
      </c>
      <c r="L31" s="31">
        <f t="shared" si="35"/>
        <v>350</v>
      </c>
      <c r="M31" s="18">
        <f t="shared" si="36"/>
        <v>2097</v>
      </c>
      <c r="N31" s="18">
        <f t="shared" si="37"/>
        <v>300</v>
      </c>
      <c r="O31" s="21">
        <v>0.0</v>
      </c>
      <c r="P31" s="18">
        <f t="shared" si="38"/>
        <v>0</v>
      </c>
      <c r="Q31" s="18">
        <f t="shared" si="39"/>
        <v>0</v>
      </c>
      <c r="R31" s="21">
        <v>0.0</v>
      </c>
      <c r="S31" s="18">
        <f t="shared" si="40"/>
        <v>1797</v>
      </c>
      <c r="T31" s="18">
        <f t="shared" si="41"/>
        <v>359.4</v>
      </c>
      <c r="U31" s="31">
        <v>350.0</v>
      </c>
      <c r="V31" s="18">
        <f t="shared" si="42"/>
        <v>47</v>
      </c>
      <c r="W31" s="17" t="s">
        <v>37</v>
      </c>
      <c r="X31" s="23"/>
      <c r="Y31" s="18"/>
      <c r="Z31" s="23"/>
      <c r="AA31" s="17" t="s">
        <v>38</v>
      </c>
      <c r="AB31" s="31">
        <v>200.0</v>
      </c>
      <c r="AC31" s="17" t="s">
        <v>499</v>
      </c>
      <c r="AD31" s="31">
        <v>100.0</v>
      </c>
      <c r="AE31" s="17" t="s">
        <v>362</v>
      </c>
      <c r="AF31" s="31">
        <v>50.0</v>
      </c>
      <c r="AG31" s="18"/>
      <c r="AH31" s="18"/>
      <c r="AI31" s="18"/>
      <c r="AJ31" s="18"/>
      <c r="AK31" s="18"/>
      <c r="AL31" s="18"/>
    </row>
    <row r="32">
      <c r="A32" s="17">
        <v>29.0</v>
      </c>
      <c r="B32" s="17" t="s">
        <v>34</v>
      </c>
      <c r="C32" s="17" t="s">
        <v>35</v>
      </c>
      <c r="D32" s="17" t="s">
        <v>584</v>
      </c>
      <c r="E32" s="18"/>
      <c r="F32" s="17">
        <v>149.0</v>
      </c>
      <c r="G32" s="31">
        <v>2700.0</v>
      </c>
      <c r="H32" s="17" t="s">
        <v>37</v>
      </c>
      <c r="I32" s="31">
        <v>300.0</v>
      </c>
      <c r="J32" s="17" t="s">
        <v>37</v>
      </c>
      <c r="K32" s="20">
        <f t="shared" si="45"/>
        <v>3</v>
      </c>
      <c r="L32" s="31">
        <f t="shared" si="35"/>
        <v>363</v>
      </c>
      <c r="M32" s="18">
        <f t="shared" si="36"/>
        <v>2334</v>
      </c>
      <c r="N32" s="18">
        <f t="shared" si="37"/>
        <v>300</v>
      </c>
      <c r="O32" s="21">
        <v>0.0</v>
      </c>
      <c r="P32" s="18">
        <f t="shared" si="38"/>
        <v>0</v>
      </c>
      <c r="Q32" s="18">
        <f t="shared" si="39"/>
        <v>0</v>
      </c>
      <c r="R32" s="21">
        <v>0.0</v>
      </c>
      <c r="S32" s="18">
        <f t="shared" si="40"/>
        <v>2034</v>
      </c>
      <c r="T32" s="18">
        <f t="shared" si="41"/>
        <v>406.8</v>
      </c>
      <c r="U32" s="31">
        <f>round(T32,-1)</f>
        <v>410</v>
      </c>
      <c r="V32" s="18">
        <f t="shared" si="42"/>
        <v>-16</v>
      </c>
      <c r="W32" s="17" t="s">
        <v>37</v>
      </c>
      <c r="X32" s="23"/>
      <c r="Y32" s="17"/>
      <c r="Z32" s="23"/>
      <c r="AA32" s="17" t="s">
        <v>38</v>
      </c>
      <c r="AB32" s="31">
        <v>200.0</v>
      </c>
      <c r="AC32" s="17" t="s">
        <v>632</v>
      </c>
      <c r="AD32" s="31">
        <v>163.0</v>
      </c>
      <c r="AE32" s="18"/>
      <c r="AF32" s="18"/>
      <c r="AG32" s="18"/>
      <c r="AH32" s="18"/>
      <c r="AI32" s="18"/>
      <c r="AJ32" s="18"/>
      <c r="AK32" s="18"/>
      <c r="AL32" s="18"/>
    </row>
    <row r="33">
      <c r="A33" s="27" t="s">
        <v>44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5"/>
      <c r="P33" s="14"/>
      <c r="Q33" s="14"/>
      <c r="R33" s="15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</row>
    <row r="34">
      <c r="A34" s="111">
        <v>2.0</v>
      </c>
      <c r="B34" s="17" t="s">
        <v>54</v>
      </c>
      <c r="C34" s="68" t="s">
        <v>125</v>
      </c>
      <c r="D34" s="17" t="s">
        <v>65</v>
      </c>
      <c r="E34" s="17" t="s">
        <v>639</v>
      </c>
      <c r="F34" s="17"/>
      <c r="G34" s="31">
        <v>10000.0</v>
      </c>
      <c r="H34" s="17" t="s">
        <v>58</v>
      </c>
      <c r="I34" s="31">
        <v>0.0</v>
      </c>
      <c r="J34" s="17" t="s">
        <v>58</v>
      </c>
      <c r="K34" s="20">
        <f>round(G34*1%,0)</f>
        <v>100</v>
      </c>
      <c r="L34" s="31">
        <f t="shared" ref="L34:L38" si="46">sum(AB34+AD34+AF34+AH34+AJ34+AL34)</f>
        <v>1800</v>
      </c>
      <c r="M34" s="18">
        <f t="shared" ref="M34:M38" si="47">G34-K34-L34</f>
        <v>8100</v>
      </c>
      <c r="N34" s="18">
        <f t="shared" ref="N34:N38" si="48">round(O34*M34+I34,0)</f>
        <v>8100</v>
      </c>
      <c r="O34" s="21">
        <v>1.0</v>
      </c>
      <c r="P34" s="18">
        <f t="shared" ref="P34:P38" si="49">round(R34*(M34-N34),0)</f>
        <v>0</v>
      </c>
      <c r="Q34" s="18">
        <f t="shared" ref="Q34:Q38" si="50">round(R34*AD34,0)</f>
        <v>0</v>
      </c>
      <c r="R34" s="21">
        <v>0.0</v>
      </c>
      <c r="S34" s="18">
        <f t="shared" ref="S34:S38" si="51">round(M34-N34-P34-Q34,0)</f>
        <v>0</v>
      </c>
      <c r="T34" s="18">
        <f t="shared" ref="T34:T38" si="52">S34/5</f>
        <v>0</v>
      </c>
      <c r="U34" s="31">
        <f t="shared" ref="U34:U36" si="53">round(T34,-1)</f>
        <v>0</v>
      </c>
      <c r="V34" s="18">
        <f t="shared" ref="V34:V38" si="54">5*(T34-U34)</f>
        <v>0</v>
      </c>
      <c r="W34" s="17" t="s">
        <v>58</v>
      </c>
      <c r="X34" s="23"/>
      <c r="Y34" s="18"/>
      <c r="Z34" s="23"/>
      <c r="AA34" s="17" t="s">
        <v>38</v>
      </c>
      <c r="AB34" s="31">
        <v>1000.0</v>
      </c>
      <c r="AC34" s="17" t="s">
        <v>632</v>
      </c>
      <c r="AD34" s="31">
        <v>800.0</v>
      </c>
      <c r="AE34" s="17"/>
      <c r="AF34" s="17"/>
      <c r="AG34" s="17"/>
      <c r="AH34" s="17"/>
      <c r="AI34" s="18"/>
      <c r="AJ34" s="18"/>
      <c r="AK34" s="18"/>
      <c r="AL34" s="18"/>
    </row>
    <row r="35">
      <c r="A35" s="111">
        <v>5.0</v>
      </c>
      <c r="B35" s="17" t="s">
        <v>34</v>
      </c>
      <c r="C35" s="17" t="s">
        <v>35</v>
      </c>
      <c r="D35" s="17" t="s">
        <v>581</v>
      </c>
      <c r="E35" s="18"/>
      <c r="F35" s="17">
        <v>160.0</v>
      </c>
      <c r="G35" s="31">
        <v>3000.0</v>
      </c>
      <c r="H35" s="17" t="s">
        <v>37</v>
      </c>
      <c r="I35" s="31">
        <v>300.0</v>
      </c>
      <c r="J35" s="17" t="s">
        <v>37</v>
      </c>
      <c r="K35" s="20">
        <f t="shared" ref="K35:K37" si="55">round(I35*1%,0)</f>
        <v>3</v>
      </c>
      <c r="L35" s="31">
        <f t="shared" si="46"/>
        <v>800</v>
      </c>
      <c r="M35" s="18">
        <f t="shared" si="47"/>
        <v>2197</v>
      </c>
      <c r="N35" s="18">
        <f t="shared" si="48"/>
        <v>410</v>
      </c>
      <c r="O35" s="21">
        <v>0.05</v>
      </c>
      <c r="P35" s="18">
        <f t="shared" si="49"/>
        <v>0</v>
      </c>
      <c r="Q35" s="18">
        <f t="shared" si="50"/>
        <v>0</v>
      </c>
      <c r="R35" s="21">
        <v>0.0</v>
      </c>
      <c r="S35" s="18">
        <f t="shared" si="51"/>
        <v>1787</v>
      </c>
      <c r="T35" s="18">
        <f t="shared" si="52"/>
        <v>357.4</v>
      </c>
      <c r="U35" s="31">
        <f t="shared" si="53"/>
        <v>360</v>
      </c>
      <c r="V35" s="18">
        <f t="shared" si="54"/>
        <v>-13</v>
      </c>
      <c r="W35" s="17" t="s">
        <v>37</v>
      </c>
      <c r="X35" s="23"/>
      <c r="Y35" s="18"/>
      <c r="Z35" s="23"/>
      <c r="AA35" s="17" t="s">
        <v>285</v>
      </c>
      <c r="AB35" s="31">
        <v>350.0</v>
      </c>
      <c r="AC35" s="17" t="s">
        <v>499</v>
      </c>
      <c r="AD35" s="31">
        <v>100.0</v>
      </c>
      <c r="AE35" s="17" t="s">
        <v>362</v>
      </c>
      <c r="AF35" s="31">
        <v>50.0</v>
      </c>
      <c r="AG35" s="17" t="s">
        <v>623</v>
      </c>
      <c r="AH35" s="31">
        <v>300.0</v>
      </c>
      <c r="AI35" s="18"/>
      <c r="AJ35" s="18"/>
      <c r="AK35" s="18"/>
      <c r="AL35" s="18"/>
    </row>
    <row r="36">
      <c r="A36" s="17">
        <v>20.0</v>
      </c>
      <c r="B36" s="17" t="s">
        <v>34</v>
      </c>
      <c r="C36" s="17" t="s">
        <v>35</v>
      </c>
      <c r="D36" s="17" t="s">
        <v>45</v>
      </c>
      <c r="E36" s="18"/>
      <c r="F36" s="17">
        <v>154.0</v>
      </c>
      <c r="G36" s="112">
        <v>2850.0</v>
      </c>
      <c r="H36" s="17" t="s">
        <v>37</v>
      </c>
      <c r="I36" s="31">
        <v>300.0</v>
      </c>
      <c r="J36" s="17" t="s">
        <v>37</v>
      </c>
      <c r="K36" s="20">
        <f t="shared" si="55"/>
        <v>3</v>
      </c>
      <c r="L36" s="31">
        <f t="shared" si="46"/>
        <v>450</v>
      </c>
      <c r="M36" s="18">
        <f t="shared" si="47"/>
        <v>2397</v>
      </c>
      <c r="N36" s="18">
        <f t="shared" si="48"/>
        <v>372</v>
      </c>
      <c r="O36" s="21">
        <v>0.03</v>
      </c>
      <c r="P36" s="18">
        <f t="shared" si="49"/>
        <v>0</v>
      </c>
      <c r="Q36" s="18">
        <f t="shared" si="50"/>
        <v>0</v>
      </c>
      <c r="R36" s="21">
        <v>0.0</v>
      </c>
      <c r="S36" s="18">
        <f t="shared" si="51"/>
        <v>2025</v>
      </c>
      <c r="T36" s="18">
        <f t="shared" si="52"/>
        <v>405</v>
      </c>
      <c r="U36" s="31">
        <f t="shared" si="53"/>
        <v>410</v>
      </c>
      <c r="V36" s="18">
        <f t="shared" si="54"/>
        <v>-25</v>
      </c>
      <c r="W36" s="17" t="s">
        <v>37</v>
      </c>
      <c r="X36" s="23"/>
      <c r="Y36" s="18"/>
      <c r="Z36" s="23"/>
      <c r="AA36" s="17" t="s">
        <v>38</v>
      </c>
      <c r="AB36" s="31">
        <v>200.0</v>
      </c>
      <c r="AC36" s="17"/>
      <c r="AD36" s="31">
        <v>200.0</v>
      </c>
      <c r="AE36" s="17" t="s">
        <v>362</v>
      </c>
      <c r="AF36" s="31">
        <v>50.0</v>
      </c>
      <c r="AG36" s="18"/>
      <c r="AH36" s="18"/>
      <c r="AI36" s="18"/>
      <c r="AJ36" s="18"/>
      <c r="AK36" s="18"/>
      <c r="AL36" s="18"/>
    </row>
    <row r="37">
      <c r="A37" s="17">
        <v>26.0</v>
      </c>
      <c r="B37" s="17" t="s">
        <v>34</v>
      </c>
      <c r="C37" s="17" t="s">
        <v>35</v>
      </c>
      <c r="D37" s="17" t="s">
        <v>45</v>
      </c>
      <c r="E37" s="18"/>
      <c r="F37" s="17">
        <v>136.0</v>
      </c>
      <c r="G37" s="31">
        <v>3450.0</v>
      </c>
      <c r="H37" s="17" t="s">
        <v>37</v>
      </c>
      <c r="I37" s="31">
        <v>300.0</v>
      </c>
      <c r="J37" s="17" t="s">
        <v>37</v>
      </c>
      <c r="K37" s="20">
        <f t="shared" si="55"/>
        <v>3</v>
      </c>
      <c r="L37" s="31">
        <f t="shared" si="46"/>
        <v>500</v>
      </c>
      <c r="M37" s="18">
        <f t="shared" si="47"/>
        <v>2947</v>
      </c>
      <c r="N37" s="18">
        <f t="shared" si="48"/>
        <v>418</v>
      </c>
      <c r="O37" s="21">
        <v>0.04</v>
      </c>
      <c r="P37" s="18">
        <f t="shared" si="49"/>
        <v>0</v>
      </c>
      <c r="Q37" s="18">
        <f t="shared" si="50"/>
        <v>0</v>
      </c>
      <c r="R37" s="21">
        <v>0.0</v>
      </c>
      <c r="S37" s="18">
        <f t="shared" si="51"/>
        <v>2529</v>
      </c>
      <c r="T37" s="18">
        <f t="shared" si="52"/>
        <v>505.8</v>
      </c>
      <c r="U37" s="31">
        <v>500.0</v>
      </c>
      <c r="V37" s="18">
        <f t="shared" si="54"/>
        <v>29</v>
      </c>
      <c r="W37" s="17" t="s">
        <v>37</v>
      </c>
      <c r="X37" s="23"/>
      <c r="Y37" s="18"/>
      <c r="Z37" s="23"/>
      <c r="AA37" s="95" t="s">
        <v>38</v>
      </c>
      <c r="AB37" s="113">
        <v>350.0</v>
      </c>
      <c r="AC37" s="95"/>
      <c r="AD37" s="113">
        <v>100.0</v>
      </c>
      <c r="AE37" s="95" t="s">
        <v>362</v>
      </c>
      <c r="AF37" s="114">
        <v>50.0</v>
      </c>
      <c r="AG37" s="18"/>
      <c r="AH37" s="18"/>
      <c r="AI37" s="18"/>
      <c r="AJ37" s="18"/>
      <c r="AK37" s="18"/>
      <c r="AL37" s="18"/>
    </row>
    <row r="38">
      <c r="A38" s="17">
        <v>26.0</v>
      </c>
      <c r="B38" s="17" t="s">
        <v>34</v>
      </c>
      <c r="C38" s="17" t="s">
        <v>78</v>
      </c>
      <c r="D38" s="17" t="s">
        <v>80</v>
      </c>
      <c r="E38" s="18"/>
      <c r="F38" s="17">
        <v>136.0</v>
      </c>
      <c r="G38" s="31">
        <v>14076.0</v>
      </c>
      <c r="H38" s="17" t="s">
        <v>58</v>
      </c>
      <c r="I38" s="31">
        <v>0.0</v>
      </c>
      <c r="J38" s="17" t="s">
        <v>58</v>
      </c>
      <c r="K38" s="20">
        <f>round(G38*1%,0)</f>
        <v>141</v>
      </c>
      <c r="L38" s="31">
        <f t="shared" si="46"/>
        <v>1800</v>
      </c>
      <c r="M38" s="18">
        <f t="shared" si="47"/>
        <v>12135</v>
      </c>
      <c r="N38" s="18">
        <f t="shared" si="48"/>
        <v>910</v>
      </c>
      <c r="O38" s="21">
        <v>0.075</v>
      </c>
      <c r="P38" s="18">
        <f t="shared" si="49"/>
        <v>1123</v>
      </c>
      <c r="Q38" s="18">
        <f t="shared" si="50"/>
        <v>80</v>
      </c>
      <c r="R38" s="21">
        <v>0.1</v>
      </c>
      <c r="S38" s="18">
        <f t="shared" si="51"/>
        <v>10022</v>
      </c>
      <c r="T38" s="18">
        <f t="shared" si="52"/>
        <v>2004.4</v>
      </c>
      <c r="U38" s="31">
        <f>round(T38,-1)</f>
        <v>2000</v>
      </c>
      <c r="V38" s="18">
        <f t="shared" si="54"/>
        <v>22</v>
      </c>
      <c r="W38" s="17" t="s">
        <v>58</v>
      </c>
      <c r="X38" s="23"/>
      <c r="Y38" s="18"/>
      <c r="Z38" s="23"/>
      <c r="AA38" s="95" t="s">
        <v>38</v>
      </c>
      <c r="AB38" s="113">
        <v>1000.0</v>
      </c>
      <c r="AC38" s="68" t="s">
        <v>292</v>
      </c>
      <c r="AD38" s="31">
        <v>800.0</v>
      </c>
      <c r="AE38" s="95"/>
      <c r="AF38" s="115"/>
      <c r="AG38" s="18"/>
      <c r="AH38" s="18"/>
      <c r="AI38" s="18"/>
      <c r="AJ38" s="18"/>
      <c r="AK38" s="18"/>
      <c r="AL38" s="18"/>
    </row>
    <row r="39">
      <c r="A39" s="27" t="s">
        <v>47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5"/>
      <c r="P39" s="14"/>
      <c r="Q39" s="14"/>
      <c r="R39" s="15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</row>
    <row r="40">
      <c r="A40" s="17">
        <v>8.0</v>
      </c>
      <c r="B40" s="17" t="s">
        <v>54</v>
      </c>
      <c r="C40" s="68" t="s">
        <v>125</v>
      </c>
      <c r="D40" s="17" t="s">
        <v>600</v>
      </c>
      <c r="E40" s="18"/>
      <c r="F40" s="17"/>
      <c r="G40" s="31">
        <v>6452.0</v>
      </c>
      <c r="H40" s="17" t="s">
        <v>58</v>
      </c>
      <c r="I40" s="31">
        <v>0.0</v>
      </c>
      <c r="J40" s="17" t="s">
        <v>58</v>
      </c>
      <c r="K40" s="20">
        <f>round(G40*1%,0)</f>
        <v>65</v>
      </c>
      <c r="L40" s="31">
        <f t="shared" ref="L40:L45" si="56">sum(AB40+AD40+AF40+AH40+AJ40+AL40)</f>
        <v>2200</v>
      </c>
      <c r="M40" s="18">
        <f t="shared" ref="M40:M45" si="57">G40-K40-L40</f>
        <v>4187</v>
      </c>
      <c r="N40" s="18">
        <f t="shared" ref="N40:N45" si="58">round(O40*M40+I40,0)</f>
        <v>4187</v>
      </c>
      <c r="O40" s="21">
        <v>1.0</v>
      </c>
      <c r="P40" s="18">
        <f t="shared" ref="P40:P45" si="59">round(R40*(M40-N40),0)</f>
        <v>0</v>
      </c>
      <c r="Q40" s="18">
        <f t="shared" ref="Q40:Q45" si="60">round(R40*AD40,0)</f>
        <v>0</v>
      </c>
      <c r="R40" s="21">
        <v>0.0</v>
      </c>
      <c r="S40" s="18">
        <f t="shared" ref="S40:S45" si="61">round(M40-N40-P40-Q40,0)</f>
        <v>0</v>
      </c>
      <c r="T40" s="18">
        <f t="shared" ref="T40:T45" si="62">S40/5</f>
        <v>0</v>
      </c>
      <c r="U40" s="31">
        <f t="shared" ref="U40:U43" si="63">round(T40,-1)</f>
        <v>0</v>
      </c>
      <c r="V40" s="18">
        <f t="shared" ref="V40:V45" si="64">5*(T40-U40)</f>
        <v>0</v>
      </c>
      <c r="W40" s="17" t="s">
        <v>58</v>
      </c>
      <c r="X40" s="23"/>
      <c r="Y40" s="18"/>
      <c r="Z40" s="23"/>
      <c r="AA40" s="95" t="s">
        <v>38</v>
      </c>
      <c r="AB40" s="113">
        <v>1000.0</v>
      </c>
      <c r="AC40" s="95"/>
      <c r="AD40" s="113">
        <v>1000.0</v>
      </c>
      <c r="AE40" s="95" t="s">
        <v>362</v>
      </c>
      <c r="AF40" s="113">
        <v>200.0</v>
      </c>
      <c r="AG40" s="18"/>
      <c r="AH40" s="18"/>
      <c r="AI40" s="18"/>
      <c r="AJ40" s="18"/>
      <c r="AK40" s="18"/>
      <c r="AL40" s="18"/>
    </row>
    <row r="41">
      <c r="A41" s="17">
        <v>9.0</v>
      </c>
      <c r="B41" s="17" t="s">
        <v>34</v>
      </c>
      <c r="C41" s="17" t="s">
        <v>35</v>
      </c>
      <c r="D41" s="17" t="s">
        <v>602</v>
      </c>
      <c r="E41" s="18"/>
      <c r="F41" s="17">
        <v>176.0</v>
      </c>
      <c r="G41" s="31">
        <v>2000.0</v>
      </c>
      <c r="H41" s="17" t="s">
        <v>37</v>
      </c>
      <c r="I41" s="31">
        <v>300.0</v>
      </c>
      <c r="J41" s="17" t="s">
        <v>37</v>
      </c>
      <c r="K41" s="20">
        <f>round(I41*1%,0)</f>
        <v>3</v>
      </c>
      <c r="L41" s="31">
        <f t="shared" si="56"/>
        <v>363</v>
      </c>
      <c r="M41" s="18">
        <f t="shared" si="57"/>
        <v>1634</v>
      </c>
      <c r="N41" s="18">
        <f t="shared" si="58"/>
        <v>349</v>
      </c>
      <c r="O41" s="21">
        <v>0.03</v>
      </c>
      <c r="P41" s="18">
        <f t="shared" si="59"/>
        <v>0</v>
      </c>
      <c r="Q41" s="18">
        <f t="shared" si="60"/>
        <v>0</v>
      </c>
      <c r="R41" s="21">
        <v>0.0</v>
      </c>
      <c r="S41" s="18">
        <f t="shared" si="61"/>
        <v>1285</v>
      </c>
      <c r="T41" s="18">
        <f t="shared" si="62"/>
        <v>257</v>
      </c>
      <c r="U41" s="31">
        <f t="shared" si="63"/>
        <v>260</v>
      </c>
      <c r="V41" s="18">
        <f t="shared" si="64"/>
        <v>-15</v>
      </c>
      <c r="W41" s="17" t="s">
        <v>37</v>
      </c>
      <c r="X41" s="23"/>
      <c r="Y41" s="18"/>
      <c r="Z41" s="23"/>
      <c r="AA41" s="95" t="s">
        <v>38</v>
      </c>
      <c r="AB41" s="113">
        <v>200.0</v>
      </c>
      <c r="AC41" s="95"/>
      <c r="AD41" s="113">
        <v>163.0</v>
      </c>
      <c r="AE41" s="95"/>
      <c r="AF41" s="116"/>
      <c r="AG41" s="18"/>
      <c r="AH41" s="18"/>
      <c r="AI41" s="18"/>
      <c r="AJ41" s="18"/>
      <c r="AK41" s="18"/>
      <c r="AL41" s="18"/>
    </row>
    <row r="42">
      <c r="A42" s="17">
        <v>10.0</v>
      </c>
      <c r="B42" s="17" t="s">
        <v>54</v>
      </c>
      <c r="C42" s="68" t="s">
        <v>125</v>
      </c>
      <c r="D42" s="17" t="s">
        <v>89</v>
      </c>
      <c r="E42" s="17" t="s">
        <v>116</v>
      </c>
      <c r="F42" s="17"/>
      <c r="G42" s="31">
        <v>7453.0</v>
      </c>
      <c r="H42" s="17" t="s">
        <v>58</v>
      </c>
      <c r="I42" s="31">
        <v>0.0</v>
      </c>
      <c r="J42" s="17" t="s">
        <v>58</v>
      </c>
      <c r="K42" s="20">
        <f t="shared" ref="K42:K43" si="65">round(G42*1%,0)</f>
        <v>75</v>
      </c>
      <c r="L42" s="31">
        <f t="shared" si="56"/>
        <v>2100</v>
      </c>
      <c r="M42" s="18">
        <f t="shared" si="57"/>
        <v>5278</v>
      </c>
      <c r="N42" s="18">
        <f t="shared" si="58"/>
        <v>5278</v>
      </c>
      <c r="O42" s="21">
        <v>1.0</v>
      </c>
      <c r="P42" s="18">
        <f t="shared" si="59"/>
        <v>0</v>
      </c>
      <c r="Q42" s="18">
        <f t="shared" si="60"/>
        <v>0</v>
      </c>
      <c r="R42" s="21">
        <v>0.0</v>
      </c>
      <c r="S42" s="18">
        <f t="shared" si="61"/>
        <v>0</v>
      </c>
      <c r="T42" s="18">
        <f t="shared" si="62"/>
        <v>0</v>
      </c>
      <c r="U42" s="31">
        <f t="shared" si="63"/>
        <v>0</v>
      </c>
      <c r="V42" s="18">
        <f t="shared" si="64"/>
        <v>0</v>
      </c>
      <c r="W42" s="17" t="s">
        <v>58</v>
      </c>
      <c r="X42" s="23"/>
      <c r="Y42" s="18"/>
      <c r="Z42" s="23"/>
      <c r="AA42" s="95" t="s">
        <v>38</v>
      </c>
      <c r="AB42" s="113">
        <v>1000.0</v>
      </c>
      <c r="AC42" s="95"/>
      <c r="AD42" s="113">
        <v>1000.0</v>
      </c>
      <c r="AE42" s="95" t="s">
        <v>362</v>
      </c>
      <c r="AF42" s="113">
        <v>100.0</v>
      </c>
      <c r="AG42" s="18"/>
      <c r="AH42" s="18"/>
      <c r="AI42" s="18"/>
      <c r="AJ42" s="18"/>
      <c r="AK42" s="18"/>
      <c r="AL42" s="18"/>
    </row>
    <row r="43">
      <c r="A43" s="17">
        <v>15.0</v>
      </c>
      <c r="B43" s="17" t="s">
        <v>34</v>
      </c>
      <c r="C43" s="17" t="s">
        <v>78</v>
      </c>
      <c r="D43" s="17" t="s">
        <v>640</v>
      </c>
      <c r="E43" s="18"/>
      <c r="F43" s="17"/>
      <c r="G43" s="31">
        <v>11117.0</v>
      </c>
      <c r="H43" s="17" t="s">
        <v>58</v>
      </c>
      <c r="I43" s="31">
        <v>0.0</v>
      </c>
      <c r="J43" s="17" t="s">
        <v>58</v>
      </c>
      <c r="K43" s="20">
        <f t="shared" si="65"/>
        <v>111</v>
      </c>
      <c r="L43" s="31">
        <f t="shared" si="56"/>
        <v>1900</v>
      </c>
      <c r="M43" s="18">
        <f t="shared" si="57"/>
        <v>9106</v>
      </c>
      <c r="N43" s="18">
        <f t="shared" si="58"/>
        <v>683</v>
      </c>
      <c r="O43" s="21">
        <v>0.075</v>
      </c>
      <c r="P43" s="18">
        <f t="shared" si="59"/>
        <v>842</v>
      </c>
      <c r="Q43" s="18">
        <f t="shared" si="60"/>
        <v>80</v>
      </c>
      <c r="R43" s="21">
        <v>0.1</v>
      </c>
      <c r="S43" s="18">
        <f t="shared" si="61"/>
        <v>7501</v>
      </c>
      <c r="T43" s="18">
        <f t="shared" si="62"/>
        <v>1500.2</v>
      </c>
      <c r="U43" s="31">
        <f t="shared" si="63"/>
        <v>1500</v>
      </c>
      <c r="V43" s="18">
        <f t="shared" si="64"/>
        <v>1</v>
      </c>
      <c r="W43" s="17" t="s">
        <v>58</v>
      </c>
      <c r="X43" s="23"/>
      <c r="Y43" s="18"/>
      <c r="Z43" s="23"/>
      <c r="AA43" s="95" t="s">
        <v>38</v>
      </c>
      <c r="AB43" s="113">
        <v>1000.0</v>
      </c>
      <c r="AC43" s="95"/>
      <c r="AD43" s="113">
        <v>800.0</v>
      </c>
      <c r="AE43" s="95" t="s">
        <v>362</v>
      </c>
      <c r="AF43" s="113">
        <v>100.0</v>
      </c>
      <c r="AG43" s="18"/>
      <c r="AH43" s="18"/>
      <c r="AI43" s="18"/>
      <c r="AJ43" s="18"/>
      <c r="AK43" s="18"/>
      <c r="AL43" s="18"/>
    </row>
    <row r="44">
      <c r="A44" s="17">
        <v>17.0</v>
      </c>
      <c r="B44" s="17" t="s">
        <v>34</v>
      </c>
      <c r="C44" s="17" t="s">
        <v>35</v>
      </c>
      <c r="D44" s="17" t="s">
        <v>602</v>
      </c>
      <c r="E44" s="18"/>
      <c r="F44" s="17">
        <v>169.0</v>
      </c>
      <c r="G44" s="31">
        <v>2400.0</v>
      </c>
      <c r="H44" s="17" t="s">
        <v>37</v>
      </c>
      <c r="I44" s="31">
        <v>300.0</v>
      </c>
      <c r="J44" s="17" t="s">
        <v>37</v>
      </c>
      <c r="K44" s="20">
        <f t="shared" ref="K44:K45" si="66">round(I44*1%,0)</f>
        <v>3</v>
      </c>
      <c r="L44" s="31">
        <f t="shared" si="56"/>
        <v>363</v>
      </c>
      <c r="M44" s="18">
        <f t="shared" si="57"/>
        <v>2034</v>
      </c>
      <c r="N44" s="18">
        <f t="shared" si="58"/>
        <v>503</v>
      </c>
      <c r="O44" s="21">
        <v>0.1</v>
      </c>
      <c r="P44" s="18">
        <f t="shared" si="59"/>
        <v>0</v>
      </c>
      <c r="Q44" s="18">
        <f t="shared" si="60"/>
        <v>0</v>
      </c>
      <c r="R44" s="21">
        <v>0.0</v>
      </c>
      <c r="S44" s="18">
        <f t="shared" si="61"/>
        <v>1531</v>
      </c>
      <c r="T44" s="18">
        <f t="shared" si="62"/>
        <v>306.2</v>
      </c>
      <c r="U44" s="31">
        <f t="shared" ref="U44:U45" si="67">round(T44,-2)</f>
        <v>300</v>
      </c>
      <c r="V44" s="18">
        <f t="shared" si="64"/>
        <v>31</v>
      </c>
      <c r="W44" s="17" t="s">
        <v>37</v>
      </c>
      <c r="X44" s="23"/>
      <c r="Y44" s="18"/>
      <c r="Z44" s="23"/>
      <c r="AA44" s="95" t="s">
        <v>38</v>
      </c>
      <c r="AB44" s="113">
        <v>200.0</v>
      </c>
      <c r="AC44" s="95"/>
      <c r="AD44" s="113">
        <v>163.0</v>
      </c>
      <c r="AE44" s="95"/>
      <c r="AF44" s="115"/>
      <c r="AG44" s="18"/>
      <c r="AH44" s="18"/>
      <c r="AI44" s="18"/>
      <c r="AJ44" s="18"/>
      <c r="AK44" s="18"/>
      <c r="AL44" s="18"/>
    </row>
    <row r="45">
      <c r="A45" s="50">
        <v>23.0</v>
      </c>
      <c r="B45" s="17" t="s">
        <v>34</v>
      </c>
      <c r="C45" s="17" t="s">
        <v>35</v>
      </c>
      <c r="D45" s="17" t="s">
        <v>318</v>
      </c>
      <c r="E45" s="18"/>
      <c r="F45" s="17">
        <v>165.0</v>
      </c>
      <c r="G45" s="31">
        <v>2700.0</v>
      </c>
      <c r="H45" s="17" t="s">
        <v>37</v>
      </c>
      <c r="I45" s="31">
        <v>300.0</v>
      </c>
      <c r="J45" s="17" t="s">
        <v>37</v>
      </c>
      <c r="K45" s="20">
        <f t="shared" si="66"/>
        <v>3</v>
      </c>
      <c r="L45" s="31">
        <f t="shared" si="56"/>
        <v>363</v>
      </c>
      <c r="M45" s="18">
        <f t="shared" si="57"/>
        <v>2334</v>
      </c>
      <c r="N45" s="18">
        <f t="shared" si="58"/>
        <v>300</v>
      </c>
      <c r="O45" s="21">
        <v>0.0</v>
      </c>
      <c r="P45" s="18">
        <f t="shared" si="59"/>
        <v>0</v>
      </c>
      <c r="Q45" s="18">
        <f t="shared" si="60"/>
        <v>0</v>
      </c>
      <c r="R45" s="21">
        <v>0.0</v>
      </c>
      <c r="S45" s="18">
        <f t="shared" si="61"/>
        <v>2034</v>
      </c>
      <c r="T45" s="18">
        <f t="shared" si="62"/>
        <v>406.8</v>
      </c>
      <c r="U45" s="31">
        <f t="shared" si="67"/>
        <v>400</v>
      </c>
      <c r="V45" s="18">
        <f t="shared" si="64"/>
        <v>34</v>
      </c>
      <c r="W45" s="17" t="s">
        <v>37</v>
      </c>
      <c r="X45" s="23"/>
      <c r="Y45" s="17"/>
      <c r="Z45" s="23"/>
      <c r="AA45" s="17" t="s">
        <v>38</v>
      </c>
      <c r="AB45" s="31">
        <v>200.0</v>
      </c>
      <c r="AC45" s="17"/>
      <c r="AD45" s="31">
        <v>163.0</v>
      </c>
      <c r="AE45" s="18"/>
      <c r="AF45" s="18"/>
      <c r="AG45" s="18"/>
      <c r="AH45" s="18"/>
      <c r="AI45" s="18"/>
      <c r="AJ45" s="18"/>
      <c r="AK45" s="18"/>
      <c r="AL45" s="18"/>
    </row>
    <row r="46">
      <c r="A46" s="28" t="s">
        <v>50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6"/>
      <c r="P46" s="25"/>
      <c r="Q46" s="25"/>
      <c r="R46" s="26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</row>
    <row r="47">
      <c r="A47" s="17">
        <v>7.0</v>
      </c>
      <c r="B47" s="17" t="s">
        <v>34</v>
      </c>
      <c r="C47" s="17" t="s">
        <v>35</v>
      </c>
      <c r="D47" s="17" t="s">
        <v>604</v>
      </c>
      <c r="E47" s="18"/>
      <c r="F47" s="17">
        <v>148.0</v>
      </c>
      <c r="G47" s="31">
        <v>22472.0</v>
      </c>
      <c r="H47" s="17" t="s">
        <v>58</v>
      </c>
      <c r="I47" s="31">
        <v>1480.0</v>
      </c>
      <c r="J47" s="17" t="s">
        <v>58</v>
      </c>
      <c r="K47" s="20">
        <f>round(I47*1%,0)</f>
        <v>15</v>
      </c>
      <c r="L47" s="31">
        <f t="shared" ref="L47:L50" si="68">sum(AB47+AD47+AF47+AH47+AJ47+AL47)</f>
        <v>8700</v>
      </c>
      <c r="M47" s="18">
        <f t="shared" ref="M47:M50" si="69">G47-K47-L47</f>
        <v>13757</v>
      </c>
      <c r="N47" s="18">
        <f t="shared" ref="N47:N50" si="70">round(O47*M47+I47,0)</f>
        <v>1480</v>
      </c>
      <c r="O47" s="21">
        <v>0.0</v>
      </c>
      <c r="P47" s="18">
        <f t="shared" ref="P47:P50" si="71">round(R47*(M47-N47),0)</f>
        <v>0</v>
      </c>
      <c r="Q47" s="18">
        <f t="shared" ref="Q47:Q50" si="72">round(R47*AD47,0)</f>
        <v>0</v>
      </c>
      <c r="R47" s="21">
        <v>0.0</v>
      </c>
      <c r="S47" s="18">
        <f t="shared" ref="S47:S50" si="73">round(M47-N47-P47-Q47,0)</f>
        <v>12277</v>
      </c>
      <c r="T47" s="18">
        <f t="shared" ref="T47:T50" si="74">S47/5</f>
        <v>2455.4</v>
      </c>
      <c r="U47" s="31">
        <v>2500.0</v>
      </c>
      <c r="V47" s="18">
        <f t="shared" ref="V47:V50" si="75">5*(T47-U47)</f>
        <v>-223</v>
      </c>
      <c r="W47" s="17" t="s">
        <v>58</v>
      </c>
      <c r="X47" s="23"/>
      <c r="Y47" s="18"/>
      <c r="Z47" s="23"/>
      <c r="AA47" s="17" t="s">
        <v>285</v>
      </c>
      <c r="AB47" s="31">
        <v>2000.0</v>
      </c>
      <c r="AC47" s="18"/>
      <c r="AD47" s="31">
        <v>1250.0</v>
      </c>
      <c r="AE47" s="17" t="s">
        <v>621</v>
      </c>
      <c r="AF47" s="31">
        <v>2000.0</v>
      </c>
      <c r="AG47" s="17" t="s">
        <v>623</v>
      </c>
      <c r="AH47" s="31">
        <v>2450.0</v>
      </c>
      <c r="AI47" s="17" t="s">
        <v>623</v>
      </c>
      <c r="AJ47" s="31">
        <v>500.0</v>
      </c>
      <c r="AK47" s="17" t="s">
        <v>85</v>
      </c>
      <c r="AL47" s="31">
        <v>500.0</v>
      </c>
    </row>
    <row r="48">
      <c r="A48" s="17">
        <v>20.0</v>
      </c>
      <c r="B48" s="17" t="s">
        <v>54</v>
      </c>
      <c r="C48" s="68" t="s">
        <v>55</v>
      </c>
      <c r="D48" s="17" t="s">
        <v>605</v>
      </c>
      <c r="E48" s="17" t="s">
        <v>606</v>
      </c>
      <c r="F48" s="17"/>
      <c r="G48" s="31">
        <v>4500.0</v>
      </c>
      <c r="H48" s="17" t="s">
        <v>58</v>
      </c>
      <c r="I48" s="31">
        <v>0.0</v>
      </c>
      <c r="J48" s="17" t="s">
        <v>58</v>
      </c>
      <c r="K48" s="20">
        <f t="shared" ref="K48:K49" si="76">round(G48*1%,0)</f>
        <v>45</v>
      </c>
      <c r="L48" s="31">
        <f t="shared" si="68"/>
        <v>1200</v>
      </c>
      <c r="M48" s="18">
        <f t="shared" si="69"/>
        <v>3255</v>
      </c>
      <c r="N48" s="18">
        <f t="shared" si="70"/>
        <v>3255</v>
      </c>
      <c r="O48" s="21">
        <v>1.0</v>
      </c>
      <c r="P48" s="18">
        <f t="shared" si="71"/>
        <v>0</v>
      </c>
      <c r="Q48" s="18">
        <f t="shared" si="72"/>
        <v>0</v>
      </c>
      <c r="R48" s="21">
        <v>0.0</v>
      </c>
      <c r="S48" s="18">
        <f t="shared" si="73"/>
        <v>0</v>
      </c>
      <c r="T48" s="18">
        <f t="shared" si="74"/>
        <v>0</v>
      </c>
      <c r="U48" s="31">
        <f t="shared" ref="U48:U50" si="77">round(T48,-1)</f>
        <v>0</v>
      </c>
      <c r="V48" s="18">
        <f t="shared" si="75"/>
        <v>0</v>
      </c>
      <c r="W48" s="17" t="s">
        <v>58</v>
      </c>
      <c r="X48" s="23"/>
      <c r="Y48" s="18"/>
      <c r="Z48" s="23"/>
      <c r="AA48" s="17" t="s">
        <v>38</v>
      </c>
      <c r="AB48" s="31">
        <v>1000.0</v>
      </c>
      <c r="AC48" s="18"/>
      <c r="AD48" s="31">
        <v>200.0</v>
      </c>
      <c r="AE48" s="18"/>
      <c r="AF48" s="18"/>
      <c r="AG48" s="18"/>
      <c r="AH48" s="18"/>
      <c r="AI48" s="18"/>
      <c r="AJ48" s="18"/>
      <c r="AK48" s="18"/>
      <c r="AL48" s="18"/>
    </row>
    <row r="49">
      <c r="A49" s="17">
        <v>24.0</v>
      </c>
      <c r="B49" s="17" t="s">
        <v>54</v>
      </c>
      <c r="C49" s="68" t="s">
        <v>55</v>
      </c>
      <c r="D49" s="17" t="s">
        <v>605</v>
      </c>
      <c r="E49" s="17" t="s">
        <v>606</v>
      </c>
      <c r="F49" s="17"/>
      <c r="G49" s="31">
        <v>4500.0</v>
      </c>
      <c r="H49" s="17" t="s">
        <v>58</v>
      </c>
      <c r="I49" s="31">
        <v>0.0</v>
      </c>
      <c r="J49" s="17" t="s">
        <v>58</v>
      </c>
      <c r="K49" s="20">
        <f t="shared" si="76"/>
        <v>45</v>
      </c>
      <c r="L49" s="31">
        <f t="shared" si="68"/>
        <v>1200</v>
      </c>
      <c r="M49" s="18">
        <f t="shared" si="69"/>
        <v>3255</v>
      </c>
      <c r="N49" s="18">
        <f t="shared" si="70"/>
        <v>3255</v>
      </c>
      <c r="O49" s="21">
        <v>1.0</v>
      </c>
      <c r="P49" s="18">
        <f t="shared" si="71"/>
        <v>0</v>
      </c>
      <c r="Q49" s="18">
        <f t="shared" si="72"/>
        <v>0</v>
      </c>
      <c r="R49" s="21">
        <v>0.0</v>
      </c>
      <c r="S49" s="18">
        <f t="shared" si="73"/>
        <v>0</v>
      </c>
      <c r="T49" s="18">
        <f t="shared" si="74"/>
        <v>0</v>
      </c>
      <c r="U49" s="31">
        <f t="shared" si="77"/>
        <v>0</v>
      </c>
      <c r="V49" s="18">
        <f t="shared" si="75"/>
        <v>0</v>
      </c>
      <c r="W49" s="17" t="s">
        <v>58</v>
      </c>
      <c r="X49" s="23"/>
      <c r="Y49" s="18"/>
      <c r="Z49" s="23"/>
      <c r="AA49" s="17" t="s">
        <v>38</v>
      </c>
      <c r="AB49" s="31">
        <v>1000.0</v>
      </c>
      <c r="AC49" s="18"/>
      <c r="AD49" s="31">
        <v>200.0</v>
      </c>
      <c r="AE49" s="18"/>
      <c r="AF49" s="18"/>
      <c r="AG49" s="18"/>
      <c r="AH49" s="18"/>
      <c r="AI49" s="18"/>
      <c r="AJ49" s="18"/>
      <c r="AK49" s="18"/>
      <c r="AL49" s="18"/>
    </row>
    <row r="50">
      <c r="A50" s="17">
        <v>28.0</v>
      </c>
      <c r="B50" s="17" t="s">
        <v>34</v>
      </c>
      <c r="C50" s="17" t="s">
        <v>35</v>
      </c>
      <c r="D50" s="17" t="s">
        <v>45</v>
      </c>
      <c r="E50" s="18"/>
      <c r="F50" s="17"/>
      <c r="G50" s="31">
        <v>3100.0</v>
      </c>
      <c r="H50" s="17" t="s">
        <v>37</v>
      </c>
      <c r="I50" s="31">
        <v>300.0</v>
      </c>
      <c r="J50" s="17" t="s">
        <v>37</v>
      </c>
      <c r="K50" s="20">
        <f>round(I50*1%,0)</f>
        <v>3</v>
      </c>
      <c r="L50" s="31">
        <f t="shared" si="68"/>
        <v>450</v>
      </c>
      <c r="M50" s="18">
        <f t="shared" si="69"/>
        <v>2647</v>
      </c>
      <c r="N50" s="18">
        <f t="shared" si="70"/>
        <v>379</v>
      </c>
      <c r="O50" s="21">
        <v>0.03</v>
      </c>
      <c r="P50" s="18">
        <f t="shared" si="71"/>
        <v>0</v>
      </c>
      <c r="Q50" s="18">
        <f t="shared" si="72"/>
        <v>0</v>
      </c>
      <c r="R50" s="21">
        <v>0.0</v>
      </c>
      <c r="S50" s="18">
        <f t="shared" si="73"/>
        <v>2268</v>
      </c>
      <c r="T50" s="18">
        <f t="shared" si="74"/>
        <v>453.6</v>
      </c>
      <c r="U50" s="31">
        <f t="shared" si="77"/>
        <v>450</v>
      </c>
      <c r="V50" s="18">
        <f t="shared" si="75"/>
        <v>18</v>
      </c>
      <c r="W50" s="17" t="s">
        <v>37</v>
      </c>
      <c r="X50" s="23"/>
      <c r="Y50" s="18"/>
      <c r="Z50" s="23"/>
      <c r="AA50" s="17" t="s">
        <v>38</v>
      </c>
      <c r="AB50" s="31">
        <v>200.0</v>
      </c>
      <c r="AC50" s="18"/>
      <c r="AD50" s="31">
        <v>200.0</v>
      </c>
      <c r="AE50" s="95" t="s">
        <v>362</v>
      </c>
      <c r="AF50" s="31">
        <v>50.0</v>
      </c>
      <c r="AG50" s="17"/>
      <c r="AH50" s="17"/>
      <c r="AI50" s="18"/>
      <c r="AJ50" s="18"/>
      <c r="AK50" s="17"/>
      <c r="AL50" s="17"/>
    </row>
    <row r="51">
      <c r="A51" s="28" t="s">
        <v>52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6"/>
      <c r="P51" s="25"/>
      <c r="Q51" s="25"/>
      <c r="R51" s="26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</row>
    <row r="52">
      <c r="A52" s="17">
        <v>9.0</v>
      </c>
      <c r="B52" s="17" t="s">
        <v>54</v>
      </c>
      <c r="C52" s="68" t="s">
        <v>55</v>
      </c>
      <c r="D52" s="17" t="s">
        <v>607</v>
      </c>
      <c r="E52" s="17" t="s">
        <v>608</v>
      </c>
      <c r="F52" s="17"/>
      <c r="G52" s="31">
        <v>5000.0</v>
      </c>
      <c r="H52" s="17" t="s">
        <v>58</v>
      </c>
      <c r="I52" s="31">
        <v>0.0</v>
      </c>
      <c r="J52" s="17" t="s">
        <v>58</v>
      </c>
      <c r="K52" s="20">
        <f t="shared" ref="K52:K60" si="78">round(G52*1%,0)</f>
        <v>50</v>
      </c>
      <c r="L52" s="31">
        <f t="shared" ref="L52:L60" si="79">sum(AB52+AD52+AF52+AH52+AJ52+AL52)</f>
        <v>1550</v>
      </c>
      <c r="M52" s="18">
        <f t="shared" ref="M52:M60" si="80">G52-K52-L52</f>
        <v>3400</v>
      </c>
      <c r="N52" s="18">
        <f t="shared" ref="N52:N60" si="81">round(O52*M52+I52,0)</f>
        <v>272</v>
      </c>
      <c r="O52" s="21">
        <v>0.08</v>
      </c>
      <c r="P52" s="18">
        <f t="shared" ref="P52:P60" si="82">round(R52*(M52-N52),0)</f>
        <v>313</v>
      </c>
      <c r="Q52" s="18">
        <f t="shared" ref="Q52:Q60" si="83">round(R52*AD52,0)</f>
        <v>50</v>
      </c>
      <c r="R52" s="21">
        <v>0.1</v>
      </c>
      <c r="S52" s="18">
        <f t="shared" ref="S52:S60" si="84">round(M52-N52-P52-Q52,0)</f>
        <v>2765</v>
      </c>
      <c r="T52" s="18">
        <f t="shared" ref="T52:T60" si="85">S52/5</f>
        <v>553</v>
      </c>
      <c r="U52" s="31">
        <f t="shared" ref="U52:U57" si="86">round(T52,-1)</f>
        <v>550</v>
      </c>
      <c r="V52" s="18">
        <f t="shared" ref="V52:V60" si="87">5*(T52-U52)</f>
        <v>15</v>
      </c>
      <c r="W52" s="18"/>
      <c r="X52" s="23"/>
      <c r="Y52" s="18"/>
      <c r="Z52" s="23"/>
      <c r="AA52" s="17" t="s">
        <v>38</v>
      </c>
      <c r="AB52" s="31">
        <v>800.0</v>
      </c>
      <c r="AC52" s="18"/>
      <c r="AD52" s="31">
        <v>500.0</v>
      </c>
      <c r="AE52" s="18"/>
      <c r="AF52" s="31">
        <v>250.0</v>
      </c>
      <c r="AG52" s="18"/>
      <c r="AH52" s="18"/>
      <c r="AI52" s="18"/>
      <c r="AJ52" s="18"/>
      <c r="AK52" s="18"/>
      <c r="AL52" s="18"/>
    </row>
    <row r="53">
      <c r="A53" s="17">
        <v>9.0</v>
      </c>
      <c r="B53" s="17" t="s">
        <v>34</v>
      </c>
      <c r="C53" s="17" t="s">
        <v>78</v>
      </c>
      <c r="D53" s="17" t="s">
        <v>609</v>
      </c>
      <c r="E53" s="17" t="s">
        <v>610</v>
      </c>
      <c r="F53" s="17"/>
      <c r="G53" s="31">
        <v>9935.0</v>
      </c>
      <c r="H53" s="17" t="s">
        <v>58</v>
      </c>
      <c r="I53" s="31">
        <v>0.0</v>
      </c>
      <c r="J53" s="17" t="s">
        <v>58</v>
      </c>
      <c r="K53" s="20">
        <f t="shared" si="78"/>
        <v>99</v>
      </c>
      <c r="L53" s="31">
        <f t="shared" si="79"/>
        <v>1750</v>
      </c>
      <c r="M53" s="18">
        <f t="shared" si="80"/>
        <v>8086</v>
      </c>
      <c r="N53" s="18">
        <f t="shared" si="81"/>
        <v>809</v>
      </c>
      <c r="O53" s="21">
        <v>0.1</v>
      </c>
      <c r="P53" s="18">
        <f t="shared" si="82"/>
        <v>728</v>
      </c>
      <c r="Q53" s="18">
        <f t="shared" si="83"/>
        <v>50</v>
      </c>
      <c r="R53" s="21">
        <v>0.1</v>
      </c>
      <c r="S53" s="18">
        <f t="shared" si="84"/>
        <v>6499</v>
      </c>
      <c r="T53" s="18">
        <f t="shared" si="85"/>
        <v>1299.8</v>
      </c>
      <c r="U53" s="31">
        <f t="shared" si="86"/>
        <v>1300</v>
      </c>
      <c r="V53" s="18">
        <f t="shared" si="87"/>
        <v>-1</v>
      </c>
      <c r="W53" s="18"/>
      <c r="X53" s="23"/>
      <c r="Y53" s="18"/>
      <c r="Z53" s="23"/>
      <c r="AA53" s="17" t="s">
        <v>38</v>
      </c>
      <c r="AB53" s="31">
        <v>1000.0</v>
      </c>
      <c r="AC53" s="18"/>
      <c r="AD53" s="31">
        <v>500.0</v>
      </c>
      <c r="AE53" s="18"/>
      <c r="AF53" s="31">
        <v>250.0</v>
      </c>
      <c r="AG53" s="18"/>
      <c r="AH53" s="18"/>
      <c r="AI53" s="18"/>
      <c r="AJ53" s="18"/>
      <c r="AK53" s="18"/>
      <c r="AL53" s="18"/>
    </row>
    <row r="54">
      <c r="A54" s="17">
        <v>15.0</v>
      </c>
      <c r="B54" s="17" t="s">
        <v>54</v>
      </c>
      <c r="C54" s="84" t="s">
        <v>55</v>
      </c>
      <c r="D54" s="109" t="s">
        <v>340</v>
      </c>
      <c r="E54" s="17"/>
      <c r="F54" s="17"/>
      <c r="G54" s="31">
        <v>6000.0</v>
      </c>
      <c r="H54" s="17" t="s">
        <v>58</v>
      </c>
      <c r="I54" s="31">
        <v>0.0</v>
      </c>
      <c r="J54" s="17" t="s">
        <v>58</v>
      </c>
      <c r="K54" s="20">
        <f t="shared" si="78"/>
        <v>60</v>
      </c>
      <c r="L54" s="31">
        <f t="shared" si="79"/>
        <v>1000</v>
      </c>
      <c r="M54" s="18">
        <f t="shared" si="80"/>
        <v>4940</v>
      </c>
      <c r="N54" s="18">
        <f t="shared" si="81"/>
        <v>198</v>
      </c>
      <c r="O54" s="21">
        <v>0.04</v>
      </c>
      <c r="P54" s="18">
        <f t="shared" si="82"/>
        <v>474</v>
      </c>
      <c r="Q54" s="18">
        <f t="shared" si="83"/>
        <v>0</v>
      </c>
      <c r="R54" s="21">
        <v>0.1</v>
      </c>
      <c r="S54" s="18">
        <f t="shared" si="84"/>
        <v>4268</v>
      </c>
      <c r="T54" s="18">
        <f t="shared" si="85"/>
        <v>853.6</v>
      </c>
      <c r="U54" s="31">
        <f t="shared" si="86"/>
        <v>850</v>
      </c>
      <c r="V54" s="18">
        <f t="shared" si="87"/>
        <v>18</v>
      </c>
      <c r="W54" s="18"/>
      <c r="X54" s="23"/>
      <c r="Y54" s="18"/>
      <c r="Z54" s="23"/>
      <c r="AA54" s="17" t="s">
        <v>38</v>
      </c>
      <c r="AB54" s="31">
        <v>1000.0</v>
      </c>
      <c r="AC54" s="18"/>
      <c r="AD54" s="31">
        <v>0.0</v>
      </c>
      <c r="AE54" s="18"/>
      <c r="AF54" s="31"/>
      <c r="AG54" s="18"/>
      <c r="AH54" s="18"/>
      <c r="AI54" s="18"/>
      <c r="AJ54" s="18"/>
      <c r="AK54" s="18"/>
      <c r="AL54" s="18"/>
    </row>
    <row r="55">
      <c r="A55" s="17">
        <v>16.0</v>
      </c>
      <c r="B55" s="17" t="s">
        <v>34</v>
      </c>
      <c r="C55" s="17" t="s">
        <v>78</v>
      </c>
      <c r="D55" s="17" t="s">
        <v>83</v>
      </c>
      <c r="E55" s="17" t="s">
        <v>611</v>
      </c>
      <c r="F55" s="17"/>
      <c r="G55" s="31">
        <v>9196.0</v>
      </c>
      <c r="H55" s="17" t="s">
        <v>58</v>
      </c>
      <c r="I55" s="31">
        <v>0.0</v>
      </c>
      <c r="J55" s="17" t="s">
        <v>58</v>
      </c>
      <c r="K55" s="20">
        <f t="shared" si="78"/>
        <v>92</v>
      </c>
      <c r="L55" s="31">
        <f t="shared" si="79"/>
        <v>1650</v>
      </c>
      <c r="M55" s="18">
        <f t="shared" si="80"/>
        <v>7454</v>
      </c>
      <c r="N55" s="18">
        <f t="shared" si="81"/>
        <v>447</v>
      </c>
      <c r="O55" s="21">
        <v>0.06</v>
      </c>
      <c r="P55" s="18">
        <f t="shared" si="82"/>
        <v>701</v>
      </c>
      <c r="Q55" s="18">
        <f t="shared" si="83"/>
        <v>40</v>
      </c>
      <c r="R55" s="21">
        <v>0.1</v>
      </c>
      <c r="S55" s="18">
        <f t="shared" si="84"/>
        <v>6266</v>
      </c>
      <c r="T55" s="18">
        <f t="shared" si="85"/>
        <v>1253.2</v>
      </c>
      <c r="U55" s="31">
        <f t="shared" si="86"/>
        <v>1250</v>
      </c>
      <c r="V55" s="18">
        <f t="shared" si="87"/>
        <v>16</v>
      </c>
      <c r="W55" s="18"/>
      <c r="X55" s="23"/>
      <c r="Y55" s="18"/>
      <c r="Z55" s="23"/>
      <c r="AA55" s="17" t="s">
        <v>38</v>
      </c>
      <c r="AB55" s="31">
        <v>1200.0</v>
      </c>
      <c r="AC55" s="18"/>
      <c r="AD55" s="31">
        <v>400.0</v>
      </c>
      <c r="AE55" s="18"/>
      <c r="AF55" s="31">
        <v>50.0</v>
      </c>
      <c r="AG55" s="18"/>
      <c r="AH55" s="18"/>
      <c r="AI55" s="18"/>
      <c r="AJ55" s="18"/>
      <c r="AK55" s="17"/>
      <c r="AL55" s="17"/>
    </row>
    <row r="56">
      <c r="A56" s="17">
        <v>16.0</v>
      </c>
      <c r="B56" s="17" t="s">
        <v>34</v>
      </c>
      <c r="C56" s="17" t="s">
        <v>78</v>
      </c>
      <c r="D56" s="17" t="s">
        <v>612</v>
      </c>
      <c r="E56" s="17" t="s">
        <v>611</v>
      </c>
      <c r="F56" s="17"/>
      <c r="G56" s="31">
        <v>9200.0</v>
      </c>
      <c r="H56" s="17" t="s">
        <v>58</v>
      </c>
      <c r="I56" s="31">
        <v>0.0</v>
      </c>
      <c r="J56" s="17" t="s">
        <v>58</v>
      </c>
      <c r="K56" s="20">
        <f t="shared" si="78"/>
        <v>92</v>
      </c>
      <c r="L56" s="31">
        <f t="shared" si="79"/>
        <v>1650</v>
      </c>
      <c r="M56" s="18">
        <f t="shared" si="80"/>
        <v>7458</v>
      </c>
      <c r="N56" s="18">
        <f t="shared" si="81"/>
        <v>447</v>
      </c>
      <c r="O56" s="21">
        <v>0.06</v>
      </c>
      <c r="P56" s="18">
        <f t="shared" si="82"/>
        <v>701</v>
      </c>
      <c r="Q56" s="18">
        <f t="shared" si="83"/>
        <v>40</v>
      </c>
      <c r="R56" s="21">
        <v>0.1</v>
      </c>
      <c r="S56" s="18">
        <f t="shared" si="84"/>
        <v>6270</v>
      </c>
      <c r="T56" s="18">
        <f t="shared" si="85"/>
        <v>1254</v>
      </c>
      <c r="U56" s="31">
        <f t="shared" si="86"/>
        <v>1250</v>
      </c>
      <c r="V56" s="18">
        <f t="shared" si="87"/>
        <v>20</v>
      </c>
      <c r="W56" s="18"/>
      <c r="X56" s="23"/>
      <c r="Y56" s="18"/>
      <c r="Z56" s="23"/>
      <c r="AA56" s="17" t="s">
        <v>38</v>
      </c>
      <c r="AB56" s="31">
        <v>1200.0</v>
      </c>
      <c r="AC56" s="18"/>
      <c r="AD56" s="31">
        <v>400.0</v>
      </c>
      <c r="AE56" s="18"/>
      <c r="AF56" s="31">
        <v>50.0</v>
      </c>
      <c r="AG56" s="18"/>
      <c r="AH56" s="18"/>
      <c r="AI56" s="18"/>
      <c r="AJ56" s="18"/>
      <c r="AK56" s="18"/>
      <c r="AL56" s="18"/>
    </row>
    <row r="57">
      <c r="A57" s="17">
        <v>16.0</v>
      </c>
      <c r="B57" s="17" t="s">
        <v>34</v>
      </c>
      <c r="C57" s="17" t="s">
        <v>78</v>
      </c>
      <c r="D57" s="17" t="s">
        <v>99</v>
      </c>
      <c r="E57" s="17" t="s">
        <v>611</v>
      </c>
      <c r="F57" s="17"/>
      <c r="G57" s="31">
        <v>8500.0</v>
      </c>
      <c r="H57" s="17" t="s">
        <v>58</v>
      </c>
      <c r="I57" s="31">
        <v>0.0</v>
      </c>
      <c r="J57" s="17" t="s">
        <v>58</v>
      </c>
      <c r="K57" s="20">
        <f t="shared" si="78"/>
        <v>85</v>
      </c>
      <c r="L57" s="31">
        <f t="shared" si="79"/>
        <v>1550</v>
      </c>
      <c r="M57" s="18">
        <f t="shared" si="80"/>
        <v>6865</v>
      </c>
      <c r="N57" s="18">
        <f t="shared" si="81"/>
        <v>412</v>
      </c>
      <c r="O57" s="21">
        <v>0.06</v>
      </c>
      <c r="P57" s="18">
        <f t="shared" si="82"/>
        <v>645</v>
      </c>
      <c r="Q57" s="18">
        <f t="shared" si="83"/>
        <v>40</v>
      </c>
      <c r="R57" s="21">
        <v>0.1</v>
      </c>
      <c r="S57" s="18">
        <f t="shared" si="84"/>
        <v>5768</v>
      </c>
      <c r="T57" s="18">
        <f t="shared" si="85"/>
        <v>1153.6</v>
      </c>
      <c r="U57" s="31">
        <f t="shared" si="86"/>
        <v>1150</v>
      </c>
      <c r="V57" s="18">
        <f t="shared" si="87"/>
        <v>18</v>
      </c>
      <c r="W57" s="18"/>
      <c r="X57" s="23"/>
      <c r="Y57" s="18"/>
      <c r="Z57" s="23"/>
      <c r="AA57" s="17" t="s">
        <v>38</v>
      </c>
      <c r="AB57" s="31">
        <v>1100.0</v>
      </c>
      <c r="AC57" s="18"/>
      <c r="AD57" s="31">
        <v>400.0</v>
      </c>
      <c r="AE57" s="18"/>
      <c r="AF57" s="31">
        <v>50.0</v>
      </c>
      <c r="AG57" s="18"/>
      <c r="AH57" s="18"/>
      <c r="AI57" s="18"/>
      <c r="AJ57" s="18"/>
      <c r="AK57" s="18"/>
      <c r="AL57" s="18"/>
    </row>
    <row r="58">
      <c r="A58" s="17">
        <v>17.0</v>
      </c>
      <c r="B58" s="17" t="s">
        <v>54</v>
      </c>
      <c r="C58" s="68" t="s">
        <v>125</v>
      </c>
      <c r="D58" s="17" t="s">
        <v>641</v>
      </c>
      <c r="E58" s="17" t="s">
        <v>615</v>
      </c>
      <c r="F58" s="17"/>
      <c r="G58" s="31">
        <v>0.0</v>
      </c>
      <c r="H58" s="17" t="s">
        <v>58</v>
      </c>
      <c r="I58" s="31">
        <v>0.0</v>
      </c>
      <c r="J58" s="17" t="s">
        <v>58</v>
      </c>
      <c r="K58" s="20">
        <f t="shared" si="78"/>
        <v>0</v>
      </c>
      <c r="L58" s="31">
        <f t="shared" si="79"/>
        <v>1000</v>
      </c>
      <c r="M58" s="18">
        <f t="shared" si="80"/>
        <v>-1000</v>
      </c>
      <c r="N58" s="18">
        <f t="shared" si="81"/>
        <v>0</v>
      </c>
      <c r="O58" s="21">
        <v>0.0</v>
      </c>
      <c r="P58" s="18">
        <f t="shared" si="82"/>
        <v>0</v>
      </c>
      <c r="Q58" s="18">
        <f t="shared" si="83"/>
        <v>0</v>
      </c>
      <c r="R58" s="21">
        <v>0.0</v>
      </c>
      <c r="S58" s="18">
        <f t="shared" si="84"/>
        <v>-1000</v>
      </c>
      <c r="T58" s="18">
        <f t="shared" si="85"/>
        <v>-200</v>
      </c>
      <c r="U58" s="31">
        <v>0.0</v>
      </c>
      <c r="V58" s="18">
        <f t="shared" si="87"/>
        <v>-1000</v>
      </c>
      <c r="W58" s="18"/>
      <c r="X58" s="23"/>
      <c r="Y58" s="18"/>
      <c r="Z58" s="23"/>
      <c r="AA58" s="17" t="s">
        <v>38</v>
      </c>
      <c r="AB58" s="31">
        <v>600.0</v>
      </c>
      <c r="AC58" s="18"/>
      <c r="AD58" s="31">
        <v>400.0</v>
      </c>
      <c r="AE58" s="18"/>
      <c r="AF58" s="18"/>
      <c r="AG58" s="18"/>
      <c r="AH58" s="18"/>
      <c r="AI58" s="18"/>
      <c r="AJ58" s="18"/>
      <c r="AK58" s="18"/>
      <c r="AL58" s="18"/>
    </row>
    <row r="59">
      <c r="A59" s="17">
        <v>17.0</v>
      </c>
      <c r="B59" s="17" t="s">
        <v>54</v>
      </c>
      <c r="C59" s="68" t="s">
        <v>125</v>
      </c>
      <c r="D59" s="17" t="s">
        <v>642</v>
      </c>
      <c r="E59" s="17" t="s">
        <v>615</v>
      </c>
      <c r="F59" s="17"/>
      <c r="G59" s="31">
        <v>0.0</v>
      </c>
      <c r="H59" s="17" t="s">
        <v>58</v>
      </c>
      <c r="I59" s="31">
        <v>0.0</v>
      </c>
      <c r="J59" s="17" t="s">
        <v>58</v>
      </c>
      <c r="K59" s="20">
        <f t="shared" si="78"/>
        <v>0</v>
      </c>
      <c r="L59" s="31">
        <f t="shared" si="79"/>
        <v>1000</v>
      </c>
      <c r="M59" s="18">
        <f t="shared" si="80"/>
        <v>-1000</v>
      </c>
      <c r="N59" s="18">
        <f t="shared" si="81"/>
        <v>0</v>
      </c>
      <c r="O59" s="21">
        <v>0.0</v>
      </c>
      <c r="P59" s="18">
        <f t="shared" si="82"/>
        <v>0</v>
      </c>
      <c r="Q59" s="18">
        <f t="shared" si="83"/>
        <v>0</v>
      </c>
      <c r="R59" s="21">
        <v>0.0</v>
      </c>
      <c r="S59" s="18">
        <f t="shared" si="84"/>
        <v>-1000</v>
      </c>
      <c r="T59" s="18">
        <f t="shared" si="85"/>
        <v>-200</v>
      </c>
      <c r="U59" s="31">
        <v>0.0</v>
      </c>
      <c r="V59" s="18">
        <f t="shared" si="87"/>
        <v>-1000</v>
      </c>
      <c r="W59" s="18"/>
      <c r="X59" s="23"/>
      <c r="Y59" s="18"/>
      <c r="Z59" s="23"/>
      <c r="AA59" s="17" t="s">
        <v>38</v>
      </c>
      <c r="AB59" s="31">
        <v>600.0</v>
      </c>
      <c r="AC59" s="18"/>
      <c r="AD59" s="31">
        <v>400.0</v>
      </c>
      <c r="AE59" s="18"/>
      <c r="AF59" s="18"/>
      <c r="AG59" s="18"/>
      <c r="AH59" s="18"/>
      <c r="AI59" s="18"/>
      <c r="AJ59" s="18"/>
      <c r="AK59" s="18"/>
      <c r="AL59" s="18"/>
    </row>
    <row r="60">
      <c r="A60" s="17">
        <v>31.0</v>
      </c>
      <c r="B60" s="17" t="s">
        <v>54</v>
      </c>
      <c r="C60" s="68" t="s">
        <v>125</v>
      </c>
      <c r="D60" s="17" t="s">
        <v>617</v>
      </c>
      <c r="E60" s="17"/>
      <c r="F60" s="17"/>
      <c r="G60" s="31">
        <v>10000.0</v>
      </c>
      <c r="H60" s="17" t="s">
        <v>58</v>
      </c>
      <c r="I60" s="31">
        <v>0.0</v>
      </c>
      <c r="J60" s="17" t="s">
        <v>58</v>
      </c>
      <c r="K60" s="20">
        <f t="shared" si="78"/>
        <v>100</v>
      </c>
      <c r="L60" s="31">
        <f t="shared" si="79"/>
        <v>1200</v>
      </c>
      <c r="M60" s="18">
        <f t="shared" si="80"/>
        <v>8700</v>
      </c>
      <c r="N60" s="18">
        <f t="shared" si="81"/>
        <v>348</v>
      </c>
      <c r="O60" s="21">
        <v>0.04</v>
      </c>
      <c r="P60" s="18">
        <f t="shared" si="82"/>
        <v>835</v>
      </c>
      <c r="Q60" s="18">
        <f t="shared" si="83"/>
        <v>0</v>
      </c>
      <c r="R60" s="21">
        <v>0.1</v>
      </c>
      <c r="S60" s="18">
        <f t="shared" si="84"/>
        <v>7517</v>
      </c>
      <c r="T60" s="18">
        <f t="shared" si="85"/>
        <v>1503.4</v>
      </c>
      <c r="U60" s="31">
        <f>round(T60,-1)</f>
        <v>1500</v>
      </c>
      <c r="V60" s="18">
        <f t="shared" si="87"/>
        <v>17</v>
      </c>
      <c r="W60" s="18"/>
      <c r="X60" s="23"/>
      <c r="Y60" s="18"/>
      <c r="Z60" s="23"/>
      <c r="AA60" s="17" t="s">
        <v>38</v>
      </c>
      <c r="AB60" s="31">
        <v>1200.0</v>
      </c>
      <c r="AC60" s="18"/>
      <c r="AD60" s="31">
        <v>0.0</v>
      </c>
      <c r="AE60" s="18"/>
      <c r="AF60" s="17"/>
      <c r="AG60" s="18"/>
      <c r="AH60" s="18"/>
      <c r="AI60" s="18"/>
      <c r="AJ60" s="18"/>
      <c r="AK60" s="18"/>
      <c r="AL60" s="18"/>
    </row>
    <row r="61">
      <c r="A61" s="17"/>
      <c r="B61" s="17"/>
      <c r="C61" s="17"/>
      <c r="D61" s="17"/>
      <c r="E61" s="18"/>
      <c r="F61" s="17"/>
      <c r="G61" s="17"/>
      <c r="H61" s="18"/>
      <c r="I61" s="18"/>
      <c r="J61" s="18"/>
      <c r="K61" s="18"/>
      <c r="L61" s="18"/>
      <c r="M61" s="18"/>
      <c r="N61" s="18"/>
      <c r="O61" s="29"/>
      <c r="P61" s="18"/>
      <c r="Q61" s="18"/>
      <c r="R61" s="29"/>
      <c r="S61" s="18"/>
      <c r="T61" s="18"/>
      <c r="U61" s="30"/>
      <c r="V61" s="18"/>
      <c r="W61" s="18"/>
      <c r="X61" s="23"/>
      <c r="Y61" s="18"/>
      <c r="Z61" s="23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</row>
    <row r="62">
      <c r="A62" s="17" t="s">
        <v>53</v>
      </c>
      <c r="B62" s="17"/>
      <c r="C62" s="17"/>
      <c r="D62" s="17"/>
      <c r="E62" s="18"/>
      <c r="F62" s="17"/>
      <c r="G62" s="17"/>
      <c r="H62" s="18"/>
      <c r="I62" s="18"/>
      <c r="J62" s="18"/>
      <c r="K62" s="20">
        <f>round(G62*1%,0)</f>
        <v>0</v>
      </c>
      <c r="L62" s="17">
        <f>sum(AB62+AD62+AF62+AH62+AJ62+AL62)</f>
        <v>0</v>
      </c>
      <c r="M62" s="18">
        <f>G62-K62-L62</f>
        <v>0</v>
      </c>
      <c r="N62" s="18">
        <f>round(O62*M62+I62,0)</f>
        <v>0</v>
      </c>
      <c r="O62" s="21">
        <v>0.15</v>
      </c>
      <c r="P62" s="18">
        <f>round(R62*(M62-N62),0)</f>
        <v>0</v>
      </c>
      <c r="Q62" s="18">
        <f>round(R62*AD62,0)</f>
        <v>0</v>
      </c>
      <c r="R62" s="21">
        <v>0.1</v>
      </c>
      <c r="S62" s="18">
        <f>round(M62-N62-P62-Q62,0)</f>
        <v>0</v>
      </c>
      <c r="T62" s="18">
        <f>S62/5</f>
        <v>0</v>
      </c>
      <c r="U62" s="22">
        <f>round(T62,-1)</f>
        <v>0</v>
      </c>
      <c r="V62" s="18">
        <f>5*(T62-U62)</f>
        <v>0</v>
      </c>
      <c r="W62" s="18"/>
      <c r="X62" s="23"/>
      <c r="Y62" s="18"/>
      <c r="Z62" s="23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</row>
  </sheetData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8.0"/>
    <col customWidth="1" min="2" max="2" width="9.25"/>
    <col customWidth="1" min="3" max="3" width="7.38"/>
    <col customWidth="1" min="7" max="7" width="7.25"/>
    <col customWidth="1" min="8" max="8" width="7.13"/>
    <col customWidth="1" min="9" max="9" width="11.75"/>
    <col customWidth="1" min="10" max="10" width="13.5"/>
    <col customWidth="1" min="11" max="12" width="8.75"/>
    <col customWidth="1" min="13" max="13" width="8.63"/>
    <col customWidth="1" min="14" max="14" width="8.75"/>
    <col customWidth="1" min="15" max="15" width="8.63"/>
  </cols>
  <sheetData>
    <row r="1">
      <c r="A1" s="61"/>
      <c r="B1" s="62" t="s">
        <v>0</v>
      </c>
      <c r="F1" s="59"/>
      <c r="G1" s="62" t="s">
        <v>150</v>
      </c>
      <c r="K1" s="59"/>
      <c r="L1" s="62" t="s">
        <v>123</v>
      </c>
      <c r="M1" s="59"/>
      <c r="N1" s="62" t="s">
        <v>126</v>
      </c>
      <c r="O1" s="59"/>
      <c r="P1" s="18"/>
      <c r="Q1" s="18"/>
      <c r="R1" s="18"/>
      <c r="S1" s="18"/>
      <c r="T1" s="18"/>
      <c r="U1" s="18"/>
      <c r="V1" s="18"/>
      <c r="W1" s="18"/>
      <c r="X1" s="18"/>
      <c r="Y1" s="18"/>
    </row>
    <row r="2">
      <c r="A2" s="63" t="s">
        <v>1</v>
      </c>
      <c r="B2" s="62" t="s">
        <v>151</v>
      </c>
      <c r="C2" s="17" t="s">
        <v>8</v>
      </c>
      <c r="D2" s="17" t="s">
        <v>152</v>
      </c>
      <c r="E2" s="17" t="s">
        <v>5</v>
      </c>
      <c r="F2" s="64" t="s">
        <v>153</v>
      </c>
      <c r="G2" s="62" t="s">
        <v>151</v>
      </c>
      <c r="H2" s="17" t="s">
        <v>8</v>
      </c>
      <c r="I2" s="17" t="s">
        <v>152</v>
      </c>
      <c r="J2" s="17" t="s">
        <v>5</v>
      </c>
      <c r="K2" s="64" t="s">
        <v>153</v>
      </c>
      <c r="L2" s="62" t="s">
        <v>151</v>
      </c>
      <c r="M2" s="64" t="s">
        <v>5</v>
      </c>
      <c r="N2" s="62" t="s">
        <v>151</v>
      </c>
      <c r="O2" s="64" t="s">
        <v>5</v>
      </c>
      <c r="P2" s="18"/>
      <c r="Q2" s="18"/>
      <c r="R2" s="18"/>
      <c r="S2" s="18"/>
      <c r="T2" s="18"/>
      <c r="U2" s="18"/>
      <c r="V2" s="18"/>
      <c r="W2" s="18"/>
      <c r="X2" s="18"/>
      <c r="Y2" s="18"/>
    </row>
    <row r="3">
      <c r="A3" s="90">
        <v>44927.0</v>
      </c>
      <c r="B3" s="62">
        <v>1500.0</v>
      </c>
      <c r="C3" s="17" t="s">
        <v>154</v>
      </c>
      <c r="D3" s="17" t="s">
        <v>113</v>
      </c>
      <c r="E3" s="17" t="s">
        <v>643</v>
      </c>
      <c r="F3" s="64" t="s">
        <v>149</v>
      </c>
      <c r="G3" s="62">
        <v>600.0</v>
      </c>
      <c r="H3" s="17" t="s">
        <v>154</v>
      </c>
      <c r="I3" s="17"/>
      <c r="J3" s="17" t="s">
        <v>644</v>
      </c>
      <c r="K3" s="64" t="s">
        <v>149</v>
      </c>
      <c r="L3" s="66"/>
      <c r="M3" s="65"/>
      <c r="N3" s="66"/>
      <c r="O3" s="65"/>
      <c r="P3" s="18"/>
      <c r="Q3" s="18"/>
      <c r="R3" s="18"/>
      <c r="S3" s="18"/>
      <c r="T3" s="18"/>
      <c r="U3" s="18"/>
      <c r="V3" s="18"/>
      <c r="W3" s="18"/>
      <c r="X3" s="18"/>
      <c r="Y3" s="18"/>
    </row>
    <row r="4">
      <c r="A4" s="91"/>
      <c r="B4" s="62">
        <v>1000.0</v>
      </c>
      <c r="C4" s="17" t="s">
        <v>154</v>
      </c>
      <c r="D4" s="17" t="s">
        <v>111</v>
      </c>
      <c r="E4" s="17" t="s">
        <v>643</v>
      </c>
      <c r="F4" s="64" t="s">
        <v>149</v>
      </c>
      <c r="G4" s="62">
        <v>45984.0</v>
      </c>
      <c r="H4" s="17" t="s">
        <v>154</v>
      </c>
      <c r="I4" s="18"/>
      <c r="J4" s="17" t="s">
        <v>644</v>
      </c>
      <c r="K4" s="64" t="s">
        <v>155</v>
      </c>
      <c r="L4" s="66"/>
      <c r="M4" s="65"/>
      <c r="N4" s="66"/>
      <c r="O4" s="65"/>
      <c r="P4" s="18"/>
      <c r="Q4" s="17"/>
      <c r="R4" s="18"/>
      <c r="S4" s="18"/>
      <c r="T4" s="18"/>
      <c r="U4" s="18"/>
      <c r="V4" s="18"/>
      <c r="W4" s="18"/>
      <c r="X4" s="18"/>
      <c r="Y4" s="18"/>
    </row>
    <row r="5">
      <c r="A5" s="67"/>
      <c r="B5" s="62">
        <v>700.0</v>
      </c>
      <c r="C5" s="17" t="s">
        <v>154</v>
      </c>
      <c r="D5" s="17" t="s">
        <v>24</v>
      </c>
      <c r="E5" s="17" t="s">
        <v>645</v>
      </c>
      <c r="F5" s="64" t="s">
        <v>149</v>
      </c>
      <c r="G5" s="66"/>
      <c r="H5" s="18"/>
      <c r="I5" s="18"/>
      <c r="J5" s="18"/>
      <c r="K5" s="65"/>
      <c r="L5" s="66"/>
      <c r="M5" s="65"/>
      <c r="N5" s="66"/>
      <c r="O5" s="65"/>
      <c r="P5" s="18"/>
      <c r="Q5" s="17"/>
      <c r="R5" s="18"/>
      <c r="S5" s="18"/>
      <c r="T5" s="18"/>
      <c r="U5" s="18"/>
      <c r="V5" s="18"/>
      <c r="W5" s="18"/>
      <c r="X5" s="18"/>
      <c r="Y5" s="18"/>
    </row>
    <row r="6">
      <c r="A6" s="67"/>
      <c r="B6" s="62">
        <v>500.0</v>
      </c>
      <c r="C6" s="17" t="s">
        <v>154</v>
      </c>
      <c r="D6" s="17" t="s">
        <v>25</v>
      </c>
      <c r="E6" s="17" t="s">
        <v>646</v>
      </c>
      <c r="F6" s="64" t="s">
        <v>149</v>
      </c>
      <c r="G6" s="66"/>
      <c r="H6" s="18"/>
      <c r="I6" s="18"/>
      <c r="J6" s="18"/>
      <c r="K6" s="65"/>
      <c r="L6" s="66"/>
      <c r="M6" s="65"/>
      <c r="N6" s="66"/>
      <c r="O6" s="65"/>
      <c r="P6" s="18"/>
      <c r="Q6" s="17"/>
      <c r="R6" s="18"/>
      <c r="S6" s="18"/>
      <c r="T6" s="18"/>
      <c r="U6" s="18"/>
      <c r="V6" s="18"/>
      <c r="W6" s="18"/>
      <c r="X6" s="18"/>
      <c r="Y6" s="18"/>
    </row>
    <row r="7">
      <c r="A7" s="67"/>
      <c r="B7" s="62">
        <v>150.0</v>
      </c>
      <c r="C7" s="17" t="s">
        <v>154</v>
      </c>
      <c r="D7" s="17" t="s">
        <v>127</v>
      </c>
      <c r="E7" s="17" t="s">
        <v>647</v>
      </c>
      <c r="F7" s="64" t="s">
        <v>149</v>
      </c>
      <c r="G7" s="66"/>
      <c r="H7" s="18"/>
      <c r="I7" s="18"/>
      <c r="J7" s="18"/>
      <c r="K7" s="65"/>
      <c r="L7" s="66"/>
      <c r="M7" s="65"/>
      <c r="N7" s="66"/>
      <c r="O7" s="65"/>
      <c r="P7" s="18"/>
      <c r="Q7" s="17"/>
      <c r="R7" s="18"/>
      <c r="S7" s="18"/>
      <c r="T7" s="18"/>
      <c r="U7" s="18"/>
      <c r="V7" s="18"/>
      <c r="W7" s="18"/>
      <c r="X7" s="18"/>
      <c r="Y7" s="18"/>
    </row>
    <row r="8">
      <c r="A8" s="90">
        <v>44928.0</v>
      </c>
      <c r="B8" s="62">
        <v>100.0</v>
      </c>
      <c r="C8" s="17" t="s">
        <v>154</v>
      </c>
      <c r="D8" s="17" t="s">
        <v>146</v>
      </c>
      <c r="E8" s="17" t="s">
        <v>648</v>
      </c>
      <c r="F8" s="64" t="s">
        <v>155</v>
      </c>
      <c r="G8" s="66"/>
      <c r="H8" s="18"/>
      <c r="I8" s="18"/>
      <c r="J8" s="18"/>
      <c r="K8" s="65"/>
      <c r="L8" s="66"/>
      <c r="M8" s="65"/>
      <c r="N8" s="66"/>
      <c r="O8" s="65"/>
      <c r="P8" s="18"/>
      <c r="Q8" s="17"/>
      <c r="R8" s="18"/>
      <c r="S8" s="18"/>
      <c r="T8" s="18"/>
      <c r="U8" s="18"/>
      <c r="V8" s="18"/>
      <c r="W8" s="18"/>
      <c r="X8" s="18"/>
      <c r="Y8" s="18"/>
    </row>
    <row r="9">
      <c r="A9" s="67"/>
      <c r="B9" s="62">
        <v>1425.0</v>
      </c>
      <c r="C9" s="17" t="s">
        <v>154</v>
      </c>
      <c r="D9" s="17" t="s">
        <v>191</v>
      </c>
      <c r="E9" s="18"/>
      <c r="F9" s="64" t="s">
        <v>155</v>
      </c>
      <c r="G9" s="66"/>
      <c r="H9" s="18"/>
      <c r="I9" s="18"/>
      <c r="J9" s="18"/>
      <c r="K9" s="65"/>
      <c r="L9" s="66"/>
      <c r="M9" s="65"/>
      <c r="N9" s="66"/>
      <c r="O9" s="65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>
      <c r="A10" s="90">
        <v>44929.0</v>
      </c>
      <c r="B10" s="62">
        <v>42.5</v>
      </c>
      <c r="C10" s="17" t="s">
        <v>154</v>
      </c>
      <c r="D10" s="17" t="s">
        <v>146</v>
      </c>
      <c r="E10" s="17" t="s">
        <v>649</v>
      </c>
      <c r="F10" s="64" t="s">
        <v>155</v>
      </c>
      <c r="G10" s="66"/>
      <c r="H10" s="18"/>
      <c r="I10" s="18"/>
      <c r="J10" s="18"/>
      <c r="K10" s="65"/>
      <c r="L10" s="66"/>
      <c r="M10" s="65"/>
      <c r="N10" s="66"/>
      <c r="O10" s="65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>
      <c r="A11" s="90">
        <v>44932.0</v>
      </c>
      <c r="B11" s="62">
        <v>200.0</v>
      </c>
      <c r="C11" s="17" t="s">
        <v>154</v>
      </c>
      <c r="D11" s="17" t="s">
        <v>25</v>
      </c>
      <c r="E11" s="17" t="s">
        <v>650</v>
      </c>
      <c r="F11" s="64" t="s">
        <v>149</v>
      </c>
      <c r="G11" s="62">
        <v>2400.0</v>
      </c>
      <c r="H11" s="17" t="s">
        <v>154</v>
      </c>
      <c r="I11" s="17" t="s">
        <v>651</v>
      </c>
      <c r="J11" s="17" t="s">
        <v>111</v>
      </c>
      <c r="K11" s="64" t="s">
        <v>149</v>
      </c>
      <c r="L11" s="62">
        <v>5000.0</v>
      </c>
      <c r="M11" s="64"/>
      <c r="N11" s="62"/>
      <c r="O11" s="64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>
      <c r="A12" s="67"/>
      <c r="B12" s="62">
        <v>14500.0</v>
      </c>
      <c r="C12" s="17" t="s">
        <v>154</v>
      </c>
      <c r="D12" s="17" t="s">
        <v>112</v>
      </c>
      <c r="E12" s="17" t="s">
        <v>643</v>
      </c>
      <c r="F12" s="64" t="s">
        <v>149</v>
      </c>
      <c r="G12" s="66"/>
      <c r="H12" s="18"/>
      <c r="I12" s="18"/>
      <c r="J12" s="18"/>
      <c r="K12" s="65"/>
      <c r="L12" s="62">
        <v>5000.0</v>
      </c>
      <c r="M12" s="64"/>
      <c r="N12" s="62"/>
      <c r="O12" s="64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>
      <c r="A13" s="67"/>
      <c r="B13" s="62">
        <v>1000.0</v>
      </c>
      <c r="C13" s="17" t="s">
        <v>154</v>
      </c>
      <c r="D13" s="17" t="s">
        <v>110</v>
      </c>
      <c r="E13" s="17" t="s">
        <v>643</v>
      </c>
      <c r="F13" s="64" t="s">
        <v>149</v>
      </c>
      <c r="G13" s="66"/>
      <c r="H13" s="18"/>
      <c r="I13" s="18"/>
      <c r="J13" s="18"/>
      <c r="K13" s="65"/>
      <c r="L13" s="66"/>
      <c r="M13" s="65"/>
      <c r="N13" s="66"/>
      <c r="O13" s="65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>
      <c r="A14" s="67"/>
      <c r="B14" s="62">
        <v>8000.0</v>
      </c>
      <c r="C14" s="17" t="s">
        <v>154</v>
      </c>
      <c r="D14" s="17" t="s">
        <v>110</v>
      </c>
      <c r="E14" s="17" t="s">
        <v>643</v>
      </c>
      <c r="F14" s="64" t="s">
        <v>149</v>
      </c>
      <c r="G14" s="66"/>
      <c r="H14" s="18"/>
      <c r="I14" s="18"/>
      <c r="J14" s="18"/>
      <c r="K14" s="65"/>
      <c r="L14" s="66"/>
      <c r="M14" s="65"/>
      <c r="N14" s="66"/>
      <c r="O14" s="65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>
      <c r="A15" s="67"/>
      <c r="B15" s="62">
        <v>2000.0</v>
      </c>
      <c r="C15" s="17" t="s">
        <v>154</v>
      </c>
      <c r="D15" s="17" t="s">
        <v>111</v>
      </c>
      <c r="E15" s="17" t="s">
        <v>643</v>
      </c>
      <c r="F15" s="64" t="s">
        <v>149</v>
      </c>
      <c r="G15" s="66"/>
      <c r="H15" s="18"/>
      <c r="I15" s="18"/>
      <c r="J15" s="18"/>
      <c r="K15" s="65"/>
      <c r="L15" s="66"/>
      <c r="M15" s="65"/>
      <c r="N15" s="66"/>
      <c r="O15" s="65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>
      <c r="A16" s="67"/>
      <c r="B16" s="62">
        <v>1800.0</v>
      </c>
      <c r="C16" s="17" t="s">
        <v>154</v>
      </c>
      <c r="D16" s="17" t="s">
        <v>109</v>
      </c>
      <c r="E16" s="17" t="s">
        <v>643</v>
      </c>
      <c r="F16" s="64" t="s">
        <v>149</v>
      </c>
      <c r="G16" s="66"/>
      <c r="H16" s="18"/>
      <c r="I16" s="18"/>
      <c r="J16" s="18"/>
      <c r="K16" s="65"/>
      <c r="L16" s="66"/>
      <c r="M16" s="65"/>
      <c r="N16" s="66"/>
      <c r="O16" s="65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>
      <c r="A17" s="67"/>
      <c r="B17" s="62">
        <v>17.5</v>
      </c>
      <c r="C17" s="17" t="s">
        <v>154</v>
      </c>
      <c r="D17" s="17" t="s">
        <v>138</v>
      </c>
      <c r="E17" s="18"/>
      <c r="F17" s="64" t="s">
        <v>155</v>
      </c>
      <c r="G17" s="66"/>
      <c r="H17" s="18"/>
      <c r="I17" s="18"/>
      <c r="J17" s="18"/>
      <c r="K17" s="65"/>
      <c r="L17" s="66"/>
      <c r="M17" s="65"/>
      <c r="N17" s="66"/>
      <c r="O17" s="65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>
      <c r="A18" s="90">
        <v>44935.0</v>
      </c>
      <c r="B18" s="62">
        <v>2400.0</v>
      </c>
      <c r="C18" s="17" t="s">
        <v>154</v>
      </c>
      <c r="D18" s="17" t="s">
        <v>22</v>
      </c>
      <c r="E18" s="18"/>
      <c r="F18" s="64" t="s">
        <v>155</v>
      </c>
      <c r="G18" s="66"/>
      <c r="H18" s="18"/>
      <c r="I18" s="18"/>
      <c r="J18" s="18"/>
      <c r="K18" s="65"/>
      <c r="L18" s="66"/>
      <c r="M18" s="65"/>
      <c r="N18" s="66"/>
      <c r="O18" s="65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>
      <c r="A19" s="91"/>
      <c r="B19" s="62">
        <v>0.51</v>
      </c>
      <c r="C19" s="17" t="s">
        <v>154</v>
      </c>
      <c r="D19" s="17" t="s">
        <v>139</v>
      </c>
      <c r="E19" s="18"/>
      <c r="F19" s="64" t="s">
        <v>155</v>
      </c>
      <c r="G19" s="66"/>
      <c r="H19" s="18"/>
      <c r="I19" s="18"/>
      <c r="J19" s="18"/>
      <c r="K19" s="65"/>
      <c r="L19" s="66"/>
      <c r="M19" s="65"/>
      <c r="N19" s="66"/>
      <c r="O19" s="65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>
      <c r="A20" s="90">
        <v>44936.0</v>
      </c>
      <c r="B20" s="62">
        <v>1460.0</v>
      </c>
      <c r="C20" s="17" t="s">
        <v>154</v>
      </c>
      <c r="D20" s="17" t="s">
        <v>111</v>
      </c>
      <c r="E20" s="17" t="s">
        <v>643</v>
      </c>
      <c r="F20" s="64" t="s">
        <v>149</v>
      </c>
      <c r="G20" s="62">
        <v>11755.0</v>
      </c>
      <c r="H20" s="17" t="s">
        <v>154</v>
      </c>
      <c r="I20" s="17" t="s">
        <v>160</v>
      </c>
      <c r="J20" s="17" t="s">
        <v>652</v>
      </c>
      <c r="K20" s="64" t="s">
        <v>155</v>
      </c>
      <c r="L20" s="66"/>
      <c r="M20" s="65"/>
      <c r="N20" s="66"/>
      <c r="O20" s="65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>
      <c r="A21" s="90">
        <v>44943.0</v>
      </c>
      <c r="B21" s="62">
        <v>14.0</v>
      </c>
      <c r="C21" s="17" t="s">
        <v>154</v>
      </c>
      <c r="D21" s="17" t="s">
        <v>138</v>
      </c>
      <c r="E21" s="17"/>
      <c r="F21" s="64" t="s">
        <v>155</v>
      </c>
      <c r="G21" s="66"/>
      <c r="H21" s="18"/>
      <c r="I21" s="18"/>
      <c r="J21" s="18"/>
      <c r="K21" s="65"/>
      <c r="L21" s="62">
        <v>6000.0</v>
      </c>
      <c r="M21" s="64"/>
      <c r="N21" s="62"/>
      <c r="O21" s="64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>
      <c r="A22" s="91"/>
      <c r="B22" s="62">
        <v>21.0</v>
      </c>
      <c r="C22" s="17" t="s">
        <v>154</v>
      </c>
      <c r="D22" s="17" t="s">
        <v>138</v>
      </c>
      <c r="E22" s="17"/>
      <c r="F22" s="64" t="s">
        <v>155</v>
      </c>
      <c r="G22" s="66"/>
      <c r="H22" s="18"/>
      <c r="I22" s="18"/>
      <c r="J22" s="18"/>
      <c r="K22" s="65"/>
      <c r="L22" s="62">
        <v>4000.0</v>
      </c>
      <c r="M22" s="64"/>
      <c r="N22" s="62"/>
      <c r="O22" s="64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>
      <c r="A23" s="90">
        <v>44945.0</v>
      </c>
      <c r="B23" s="62">
        <v>9200.0</v>
      </c>
      <c r="C23" s="17" t="s">
        <v>154</v>
      </c>
      <c r="D23" s="17" t="s">
        <v>109</v>
      </c>
      <c r="E23" s="17" t="s">
        <v>643</v>
      </c>
      <c r="F23" s="64" t="s">
        <v>149</v>
      </c>
      <c r="G23" s="62">
        <v>4000.0</v>
      </c>
      <c r="H23" s="17" t="s">
        <v>154</v>
      </c>
      <c r="I23" s="17" t="s">
        <v>160</v>
      </c>
      <c r="J23" s="17" t="s">
        <v>653</v>
      </c>
      <c r="K23" s="64" t="s">
        <v>155</v>
      </c>
      <c r="L23" s="66"/>
      <c r="M23" s="65"/>
      <c r="N23" s="66"/>
      <c r="O23" s="65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>
      <c r="A24" s="90">
        <v>44951.0</v>
      </c>
      <c r="B24" s="62">
        <v>53.0</v>
      </c>
      <c r="C24" s="17" t="s">
        <v>154</v>
      </c>
      <c r="D24" s="17" t="s">
        <v>141</v>
      </c>
      <c r="E24" s="18"/>
      <c r="F24" s="64" t="s">
        <v>155</v>
      </c>
      <c r="G24" s="62">
        <v>1477.0</v>
      </c>
      <c r="H24" s="17" t="s">
        <v>154</v>
      </c>
      <c r="I24" s="17" t="s">
        <v>9</v>
      </c>
      <c r="J24" s="17" t="s">
        <v>654</v>
      </c>
      <c r="K24" s="65"/>
      <c r="L24" s="62">
        <v>2000.0</v>
      </c>
      <c r="M24" s="65"/>
      <c r="N24" s="62"/>
      <c r="O24" s="65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>
      <c r="A25" s="67"/>
      <c r="B25" s="62">
        <v>0.51</v>
      </c>
      <c r="C25" s="17" t="s">
        <v>154</v>
      </c>
      <c r="D25" s="17" t="s">
        <v>139</v>
      </c>
      <c r="E25" s="18"/>
      <c r="F25" s="64" t="s">
        <v>155</v>
      </c>
      <c r="G25" s="18"/>
      <c r="H25" s="18"/>
      <c r="I25" s="18"/>
      <c r="J25" s="18"/>
      <c r="K25" s="65"/>
      <c r="L25" s="66"/>
      <c r="M25" s="65"/>
      <c r="N25" s="66"/>
      <c r="O25" s="65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>
      <c r="A26" s="67"/>
      <c r="B26" s="62">
        <v>961.0</v>
      </c>
      <c r="C26" s="17" t="s">
        <v>154</v>
      </c>
      <c r="D26" s="17" t="s">
        <v>212</v>
      </c>
      <c r="E26" s="18"/>
      <c r="F26" s="64" t="s">
        <v>155</v>
      </c>
      <c r="G26" s="66"/>
      <c r="H26" s="18"/>
      <c r="I26" s="18"/>
      <c r="J26" s="18"/>
      <c r="K26" s="65"/>
      <c r="L26" s="66"/>
      <c r="M26" s="65"/>
      <c r="N26" s="66"/>
      <c r="O26" s="65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>
      <c r="A27" s="67"/>
      <c r="B27" s="62">
        <v>0.51</v>
      </c>
      <c r="C27" s="17" t="s">
        <v>154</v>
      </c>
      <c r="D27" s="17" t="s">
        <v>139</v>
      </c>
      <c r="E27" s="18"/>
      <c r="F27" s="64" t="s">
        <v>155</v>
      </c>
      <c r="G27" s="66"/>
      <c r="H27" s="18"/>
      <c r="I27" s="18"/>
      <c r="J27" s="18"/>
      <c r="K27" s="65"/>
      <c r="L27" s="66"/>
      <c r="M27" s="65"/>
      <c r="N27" s="66"/>
      <c r="O27" s="65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>
      <c r="A28" s="67"/>
      <c r="B28" s="62">
        <v>309.0</v>
      </c>
      <c r="C28" s="17" t="s">
        <v>154</v>
      </c>
      <c r="D28" s="17" t="s">
        <v>143</v>
      </c>
      <c r="E28" s="18"/>
      <c r="F28" s="64" t="s">
        <v>155</v>
      </c>
      <c r="G28" s="66"/>
      <c r="H28" s="18"/>
      <c r="I28" s="18"/>
      <c r="J28" s="18"/>
      <c r="K28" s="65"/>
      <c r="L28" s="66"/>
      <c r="M28" s="65"/>
      <c r="N28" s="66"/>
      <c r="O28" s="65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>
      <c r="A29" s="67"/>
      <c r="B29" s="62">
        <v>0.51</v>
      </c>
      <c r="C29" s="17" t="s">
        <v>154</v>
      </c>
      <c r="D29" s="17" t="s">
        <v>139</v>
      </c>
      <c r="E29" s="18"/>
      <c r="F29" s="64" t="s">
        <v>155</v>
      </c>
      <c r="G29" s="66"/>
      <c r="H29" s="18"/>
      <c r="I29" s="18"/>
      <c r="J29" s="18"/>
      <c r="K29" s="65"/>
      <c r="L29" s="66"/>
      <c r="M29" s="65"/>
      <c r="N29" s="66"/>
      <c r="O29" s="65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>
      <c r="A30" s="67"/>
      <c r="B30" s="62">
        <v>3.0</v>
      </c>
      <c r="C30" s="17" t="s">
        <v>154</v>
      </c>
      <c r="D30" s="17" t="s">
        <v>141</v>
      </c>
      <c r="E30" s="18"/>
      <c r="F30" s="64" t="s">
        <v>155</v>
      </c>
      <c r="G30" s="66"/>
      <c r="H30" s="18"/>
      <c r="I30" s="18"/>
      <c r="J30" s="18"/>
      <c r="K30" s="65"/>
      <c r="L30" s="66"/>
      <c r="M30" s="65"/>
      <c r="N30" s="66"/>
      <c r="O30" s="65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>
      <c r="A31" s="67"/>
      <c r="B31" s="62">
        <v>0.51</v>
      </c>
      <c r="C31" s="17" t="s">
        <v>154</v>
      </c>
      <c r="D31" s="17" t="s">
        <v>139</v>
      </c>
      <c r="E31" s="18"/>
      <c r="F31" s="64" t="s">
        <v>155</v>
      </c>
      <c r="G31" s="66"/>
      <c r="H31" s="18"/>
      <c r="I31" s="18"/>
      <c r="J31" s="18"/>
      <c r="K31" s="65"/>
      <c r="L31" s="66"/>
      <c r="M31" s="65"/>
      <c r="N31" s="66"/>
      <c r="O31" s="65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>
      <c r="A32" s="67"/>
      <c r="B32" s="62">
        <v>7.0</v>
      </c>
      <c r="C32" s="17" t="s">
        <v>154</v>
      </c>
      <c r="D32" s="17" t="s">
        <v>138</v>
      </c>
      <c r="E32" s="17"/>
      <c r="F32" s="64" t="s">
        <v>155</v>
      </c>
      <c r="G32" s="66"/>
      <c r="H32" s="18"/>
      <c r="I32" s="18"/>
      <c r="J32" s="18"/>
      <c r="K32" s="65"/>
      <c r="L32" s="66"/>
      <c r="M32" s="65"/>
      <c r="N32" s="66"/>
      <c r="O32" s="65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>
      <c r="A33" s="90">
        <v>44954.0</v>
      </c>
      <c r="B33" s="66"/>
      <c r="C33" s="18"/>
      <c r="D33" s="18"/>
      <c r="E33" s="18"/>
      <c r="F33" s="65"/>
      <c r="G33" s="62">
        <v>1480.0</v>
      </c>
      <c r="H33" s="17" t="s">
        <v>154</v>
      </c>
      <c r="I33" s="17" t="s">
        <v>9</v>
      </c>
      <c r="J33" s="17" t="s">
        <v>655</v>
      </c>
      <c r="K33" s="64" t="s">
        <v>155</v>
      </c>
      <c r="L33" s="66"/>
      <c r="M33" s="65"/>
      <c r="N33" s="66"/>
      <c r="O33" s="65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>
      <c r="A34" s="90">
        <v>44957.0</v>
      </c>
      <c r="B34" s="62">
        <v>35.0</v>
      </c>
      <c r="C34" s="17" t="s">
        <v>154</v>
      </c>
      <c r="D34" s="17" t="s">
        <v>145</v>
      </c>
      <c r="E34" s="18"/>
      <c r="F34" s="64" t="s">
        <v>155</v>
      </c>
      <c r="G34" s="66"/>
      <c r="H34" s="18"/>
      <c r="I34" s="18"/>
      <c r="J34" s="18"/>
      <c r="K34" s="65"/>
      <c r="L34" s="66"/>
      <c r="M34" s="65"/>
      <c r="N34" s="66"/>
      <c r="O34" s="65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>
      <c r="A35" s="117"/>
      <c r="B35" s="118"/>
      <c r="C35" s="25"/>
      <c r="D35" s="25"/>
      <c r="E35" s="25"/>
      <c r="F35" s="119"/>
      <c r="G35" s="118"/>
      <c r="H35" s="25"/>
      <c r="I35" s="25"/>
      <c r="J35" s="25"/>
      <c r="K35" s="119"/>
      <c r="L35" s="118"/>
      <c r="M35" s="119"/>
      <c r="N35" s="118"/>
      <c r="O35" s="119"/>
      <c r="P35" s="25"/>
      <c r="Q35" s="25"/>
      <c r="R35" s="25"/>
      <c r="S35" s="25"/>
      <c r="T35" s="25"/>
      <c r="U35" s="25"/>
      <c r="V35" s="25"/>
      <c r="W35" s="25"/>
      <c r="X35" s="25"/>
      <c r="Y35" s="25"/>
    </row>
    <row r="36">
      <c r="A36" s="117"/>
      <c r="B36" s="118"/>
      <c r="C36" s="25"/>
      <c r="D36" s="25"/>
      <c r="E36" s="25"/>
      <c r="F36" s="119"/>
      <c r="G36" s="118"/>
      <c r="H36" s="25"/>
      <c r="I36" s="25"/>
      <c r="J36" s="25"/>
      <c r="K36" s="119"/>
      <c r="L36" s="118"/>
      <c r="M36" s="119"/>
      <c r="N36" s="118"/>
      <c r="O36" s="119"/>
      <c r="P36" s="25"/>
      <c r="Q36" s="25"/>
      <c r="R36" s="25"/>
      <c r="S36" s="25"/>
      <c r="T36" s="25"/>
      <c r="U36" s="25"/>
      <c r="V36" s="25"/>
      <c r="W36" s="25"/>
      <c r="X36" s="25"/>
      <c r="Y36" s="25"/>
    </row>
    <row r="37">
      <c r="A37" s="90">
        <v>44960.0</v>
      </c>
      <c r="B37" s="62">
        <v>42.22</v>
      </c>
      <c r="C37" s="17" t="s">
        <v>154</v>
      </c>
      <c r="D37" s="17" t="s">
        <v>146</v>
      </c>
      <c r="E37" s="18"/>
      <c r="F37" s="64" t="s">
        <v>155</v>
      </c>
      <c r="G37" s="66"/>
      <c r="H37" s="18"/>
      <c r="I37" s="18"/>
      <c r="J37" s="18"/>
      <c r="K37" s="65"/>
      <c r="L37" s="66"/>
      <c r="M37" s="65"/>
      <c r="N37" s="66"/>
      <c r="O37" s="65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>
      <c r="A38" s="90">
        <v>44962.0</v>
      </c>
      <c r="B38" s="66"/>
      <c r="C38" s="18"/>
      <c r="D38" s="18"/>
      <c r="E38" s="18"/>
      <c r="F38" s="65"/>
      <c r="G38" s="66"/>
      <c r="H38" s="18"/>
      <c r="I38" s="18"/>
      <c r="J38" s="18"/>
      <c r="K38" s="65"/>
      <c r="L38" s="62">
        <v>2500.0</v>
      </c>
      <c r="M38" s="65"/>
      <c r="N38" s="62"/>
      <c r="O38" s="65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>
      <c r="A39" s="90">
        <v>44967.0</v>
      </c>
      <c r="B39" s="62">
        <v>12.25</v>
      </c>
      <c r="C39" s="17" t="s">
        <v>154</v>
      </c>
      <c r="D39" s="17" t="s">
        <v>138</v>
      </c>
      <c r="E39" s="18"/>
      <c r="F39" s="64" t="s">
        <v>155</v>
      </c>
      <c r="G39" s="66"/>
      <c r="H39" s="18"/>
      <c r="I39" s="18"/>
      <c r="J39" s="18"/>
      <c r="K39" s="65"/>
      <c r="L39" s="62">
        <v>3500.0</v>
      </c>
      <c r="M39" s="65"/>
      <c r="N39" s="62"/>
      <c r="O39" s="65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>
      <c r="A40" s="90">
        <v>44971.0</v>
      </c>
      <c r="B40" s="62">
        <v>2400.0</v>
      </c>
      <c r="C40" s="17" t="s">
        <v>154</v>
      </c>
      <c r="D40" s="17" t="s">
        <v>127</v>
      </c>
      <c r="E40" s="17" t="s">
        <v>656</v>
      </c>
      <c r="F40" s="64" t="s">
        <v>149</v>
      </c>
      <c r="G40" s="62">
        <v>1467.0</v>
      </c>
      <c r="H40" s="17" t="s">
        <v>154</v>
      </c>
      <c r="I40" s="17" t="s">
        <v>9</v>
      </c>
      <c r="J40" s="17" t="s">
        <v>657</v>
      </c>
      <c r="K40" s="64" t="s">
        <v>155</v>
      </c>
      <c r="L40" s="66"/>
      <c r="M40" s="65"/>
      <c r="N40" s="66"/>
      <c r="O40" s="65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>
      <c r="A41" s="90">
        <v>44972.0</v>
      </c>
      <c r="B41" s="62">
        <v>5.25</v>
      </c>
      <c r="C41" s="17" t="s">
        <v>154</v>
      </c>
      <c r="D41" s="17" t="s">
        <v>138</v>
      </c>
      <c r="E41" s="18"/>
      <c r="F41" s="64" t="s">
        <v>155</v>
      </c>
      <c r="G41" s="66"/>
      <c r="H41" s="18"/>
      <c r="I41" s="18"/>
      <c r="J41" s="18"/>
      <c r="K41" s="65"/>
      <c r="L41" s="62">
        <v>1500.0</v>
      </c>
      <c r="M41" s="65"/>
      <c r="N41" s="62"/>
      <c r="O41" s="65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>
      <c r="A42" s="90">
        <v>44974.0</v>
      </c>
      <c r="B42" s="17">
        <v>800.0</v>
      </c>
      <c r="C42" s="17" t="s">
        <v>154</v>
      </c>
      <c r="D42" s="17" t="s">
        <v>24</v>
      </c>
      <c r="E42" s="17" t="s">
        <v>658</v>
      </c>
      <c r="F42" s="64" t="s">
        <v>149</v>
      </c>
      <c r="G42" s="18"/>
      <c r="H42" s="18"/>
      <c r="I42" s="18"/>
      <c r="J42" s="18"/>
      <c r="K42" s="65"/>
      <c r="L42" s="18"/>
      <c r="M42" s="65"/>
      <c r="N42" s="18"/>
      <c r="O42" s="65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>
      <c r="A43" s="90">
        <v>44976.0</v>
      </c>
      <c r="B43" s="62">
        <v>5.25</v>
      </c>
      <c r="C43" s="17" t="s">
        <v>154</v>
      </c>
      <c r="D43" s="17" t="s">
        <v>138</v>
      </c>
      <c r="E43" s="18"/>
      <c r="F43" s="64" t="s">
        <v>155</v>
      </c>
      <c r="G43" s="66"/>
      <c r="H43" s="18"/>
      <c r="I43" s="18"/>
      <c r="J43" s="18"/>
      <c r="K43" s="65"/>
      <c r="L43" s="62">
        <v>1500.0</v>
      </c>
      <c r="M43" s="65"/>
      <c r="N43" s="62"/>
      <c r="O43" s="65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>
      <c r="A44" s="90">
        <v>44977.0</v>
      </c>
      <c r="B44" s="62">
        <v>500.0</v>
      </c>
      <c r="C44" s="17" t="s">
        <v>154</v>
      </c>
      <c r="D44" s="17" t="s">
        <v>659</v>
      </c>
      <c r="E44" s="17" t="s">
        <v>660</v>
      </c>
      <c r="F44" s="64" t="s">
        <v>149</v>
      </c>
      <c r="G44" s="62">
        <v>1470.0</v>
      </c>
      <c r="H44" s="17" t="s">
        <v>154</v>
      </c>
      <c r="I44" s="17" t="s">
        <v>9</v>
      </c>
      <c r="J44" s="17" t="s">
        <v>661</v>
      </c>
      <c r="K44" s="64" t="s">
        <v>155</v>
      </c>
      <c r="L44" s="66"/>
      <c r="M44" s="65"/>
      <c r="N44" s="66"/>
      <c r="O44" s="65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>
      <c r="A45" s="90">
        <v>44979.0</v>
      </c>
      <c r="B45" s="62">
        <v>17.5</v>
      </c>
      <c r="C45" s="17" t="s">
        <v>154</v>
      </c>
      <c r="D45" s="17" t="s">
        <v>138</v>
      </c>
      <c r="E45" s="18"/>
      <c r="F45" s="64" t="s">
        <v>155</v>
      </c>
      <c r="G45" s="66"/>
      <c r="H45" s="18"/>
      <c r="I45" s="18"/>
      <c r="J45" s="18"/>
      <c r="K45" s="65"/>
      <c r="L45" s="62">
        <v>5000.0</v>
      </c>
      <c r="M45" s="65"/>
      <c r="N45" s="62"/>
      <c r="O45" s="65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>
      <c r="A46" s="90">
        <v>44982.0</v>
      </c>
      <c r="B46" s="62">
        <v>1.75</v>
      </c>
      <c r="C46" s="17" t="s">
        <v>154</v>
      </c>
      <c r="D46" s="17" t="s">
        <v>138</v>
      </c>
      <c r="E46" s="18"/>
      <c r="F46" s="64" t="s">
        <v>155</v>
      </c>
      <c r="G46" s="66"/>
      <c r="H46" s="18"/>
      <c r="I46" s="18"/>
      <c r="J46" s="18"/>
      <c r="K46" s="65"/>
      <c r="L46" s="62">
        <v>500.0</v>
      </c>
      <c r="M46" s="65"/>
      <c r="N46" s="62"/>
      <c r="O46" s="65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>
      <c r="A47" s="90">
        <v>44985.0</v>
      </c>
      <c r="B47" s="62">
        <v>17.5</v>
      </c>
      <c r="C47" s="17" t="s">
        <v>154</v>
      </c>
      <c r="D47" s="17" t="s">
        <v>138</v>
      </c>
      <c r="E47" s="18"/>
      <c r="F47" s="64" t="s">
        <v>155</v>
      </c>
      <c r="G47" s="66"/>
      <c r="H47" s="18"/>
      <c r="I47" s="18"/>
      <c r="J47" s="18"/>
      <c r="K47" s="65"/>
      <c r="L47" s="62">
        <v>5000.0</v>
      </c>
      <c r="M47" s="65"/>
      <c r="N47" s="62"/>
      <c r="O47" s="65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>
      <c r="A48" s="67"/>
      <c r="B48" s="62">
        <v>35.0</v>
      </c>
      <c r="C48" s="17" t="s">
        <v>154</v>
      </c>
      <c r="D48" s="17" t="s">
        <v>145</v>
      </c>
      <c r="E48" s="18"/>
      <c r="F48" s="64" t="s">
        <v>155</v>
      </c>
      <c r="G48" s="66"/>
      <c r="H48" s="18"/>
      <c r="I48" s="18"/>
      <c r="J48" s="18"/>
      <c r="K48" s="65"/>
      <c r="L48" s="66"/>
      <c r="M48" s="65"/>
      <c r="N48" s="66"/>
      <c r="O48" s="65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>
      <c r="A49" s="67"/>
      <c r="B49" s="62">
        <v>1000.0</v>
      </c>
      <c r="C49" s="17" t="s">
        <v>154</v>
      </c>
      <c r="D49" s="17" t="s">
        <v>24</v>
      </c>
      <c r="E49" s="17" t="s">
        <v>662</v>
      </c>
      <c r="F49" s="64" t="s">
        <v>149</v>
      </c>
      <c r="G49" s="66"/>
      <c r="H49" s="18"/>
      <c r="I49" s="18"/>
      <c r="J49" s="18"/>
      <c r="K49" s="65"/>
      <c r="L49" s="66"/>
      <c r="M49" s="65"/>
      <c r="N49" s="66"/>
      <c r="O49" s="65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>
      <c r="A50" s="67"/>
      <c r="B50" s="62">
        <v>200.0</v>
      </c>
      <c r="C50" s="17" t="s">
        <v>154</v>
      </c>
      <c r="D50" s="17" t="s">
        <v>25</v>
      </c>
      <c r="E50" s="17" t="s">
        <v>663</v>
      </c>
      <c r="F50" s="64" t="s">
        <v>149</v>
      </c>
      <c r="G50" s="66"/>
      <c r="H50" s="18"/>
      <c r="I50" s="18"/>
      <c r="J50" s="18"/>
      <c r="K50" s="65"/>
      <c r="L50" s="66"/>
      <c r="M50" s="65"/>
      <c r="N50" s="66"/>
      <c r="O50" s="65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>
      <c r="A51" s="67"/>
      <c r="B51" s="62">
        <v>300.0</v>
      </c>
      <c r="C51" s="17" t="s">
        <v>154</v>
      </c>
      <c r="D51" s="17" t="s">
        <v>164</v>
      </c>
      <c r="E51" s="17" t="s">
        <v>664</v>
      </c>
      <c r="F51" s="64" t="s">
        <v>149</v>
      </c>
      <c r="G51" s="66"/>
      <c r="H51" s="18"/>
      <c r="I51" s="18"/>
      <c r="J51" s="18"/>
      <c r="K51" s="65"/>
      <c r="L51" s="66"/>
      <c r="M51" s="65"/>
      <c r="N51" s="66"/>
      <c r="O51" s="65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>
      <c r="A52" s="120"/>
      <c r="B52" s="118"/>
      <c r="C52" s="25"/>
      <c r="D52" s="25"/>
      <c r="E52" s="25"/>
      <c r="F52" s="119"/>
      <c r="G52" s="118"/>
      <c r="H52" s="25"/>
      <c r="I52" s="25"/>
      <c r="J52" s="25"/>
      <c r="K52" s="119"/>
      <c r="L52" s="118"/>
      <c r="M52" s="119"/>
      <c r="N52" s="118"/>
      <c r="O52" s="119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>
      <c r="A53" s="120"/>
      <c r="B53" s="118"/>
      <c r="C53" s="25"/>
      <c r="D53" s="25"/>
      <c r="E53" s="25"/>
      <c r="F53" s="119"/>
      <c r="G53" s="118"/>
      <c r="H53" s="25"/>
      <c r="I53" s="25"/>
      <c r="J53" s="25"/>
      <c r="K53" s="119"/>
      <c r="L53" s="118"/>
      <c r="M53" s="119"/>
      <c r="N53" s="118"/>
      <c r="O53" s="119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>
      <c r="A54" s="90">
        <v>44986.0</v>
      </c>
      <c r="B54" s="62">
        <v>800.0</v>
      </c>
      <c r="C54" s="17" t="s">
        <v>154</v>
      </c>
      <c r="D54" s="17" t="s">
        <v>24</v>
      </c>
      <c r="E54" s="17" t="s">
        <v>662</v>
      </c>
      <c r="F54" s="64" t="s">
        <v>149</v>
      </c>
      <c r="G54" s="66"/>
      <c r="H54" s="18"/>
      <c r="I54" s="18"/>
      <c r="J54" s="18"/>
      <c r="K54" s="65"/>
      <c r="L54" s="66"/>
      <c r="M54" s="65"/>
      <c r="N54" s="66"/>
      <c r="O54" s="65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>
      <c r="A55" s="67"/>
      <c r="B55" s="62">
        <v>300.0</v>
      </c>
      <c r="C55" s="17" t="s">
        <v>154</v>
      </c>
      <c r="D55" s="17" t="s">
        <v>164</v>
      </c>
      <c r="E55" s="17" t="s">
        <v>664</v>
      </c>
      <c r="F55" s="64" t="s">
        <v>149</v>
      </c>
      <c r="G55" s="66"/>
      <c r="H55" s="18"/>
      <c r="I55" s="18"/>
      <c r="J55" s="18"/>
      <c r="K55" s="65"/>
      <c r="L55" s="66"/>
      <c r="M55" s="65"/>
      <c r="N55" s="66"/>
      <c r="O55" s="65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>
      <c r="A56" s="90">
        <v>44988.0</v>
      </c>
      <c r="B56" s="62">
        <v>42.37</v>
      </c>
      <c r="C56" s="17" t="s">
        <v>154</v>
      </c>
      <c r="D56" s="17" t="s">
        <v>146</v>
      </c>
      <c r="E56" s="18"/>
      <c r="F56" s="64" t="s">
        <v>155</v>
      </c>
      <c r="G56" s="66"/>
      <c r="H56" s="18"/>
      <c r="I56" s="18"/>
      <c r="J56" s="18"/>
      <c r="K56" s="65"/>
      <c r="L56" s="66"/>
      <c r="M56" s="65"/>
      <c r="N56" s="66"/>
      <c r="O56" s="65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>
      <c r="A57" s="90">
        <v>44991.0</v>
      </c>
      <c r="B57" s="66"/>
      <c r="C57" s="18"/>
      <c r="D57" s="18"/>
      <c r="E57" s="18"/>
      <c r="F57" s="65"/>
      <c r="G57" s="66"/>
      <c r="H57" s="18"/>
      <c r="I57" s="18"/>
      <c r="J57" s="18"/>
      <c r="K57" s="65"/>
      <c r="L57" s="62">
        <v>1500.0</v>
      </c>
      <c r="M57" s="65"/>
      <c r="N57" s="62"/>
      <c r="O57" s="65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>
      <c r="A58" s="90">
        <v>44995.0</v>
      </c>
      <c r="B58" s="66"/>
      <c r="C58" s="18"/>
      <c r="D58" s="18"/>
      <c r="E58" s="18"/>
      <c r="F58" s="65"/>
      <c r="G58" s="66"/>
      <c r="H58" s="18"/>
      <c r="I58" s="18"/>
      <c r="J58" s="18"/>
      <c r="K58" s="65"/>
      <c r="L58" s="62">
        <v>750.0</v>
      </c>
      <c r="M58" s="65"/>
      <c r="N58" s="62"/>
      <c r="O58" s="65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>
      <c r="A59" s="67"/>
      <c r="B59" s="66"/>
      <c r="C59" s="18"/>
      <c r="D59" s="18"/>
      <c r="E59" s="18"/>
      <c r="F59" s="65"/>
      <c r="G59" s="66"/>
      <c r="H59" s="18"/>
      <c r="I59" s="18"/>
      <c r="J59" s="18"/>
      <c r="K59" s="65"/>
      <c r="L59" s="62">
        <v>450.0</v>
      </c>
      <c r="M59" s="65"/>
      <c r="N59" s="62"/>
      <c r="O59" s="65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>
      <c r="A60" s="90">
        <v>44996.0</v>
      </c>
      <c r="B60" s="62">
        <v>2.5</v>
      </c>
      <c r="C60" s="17" t="s">
        <v>154</v>
      </c>
      <c r="D60" s="17" t="s">
        <v>138</v>
      </c>
      <c r="E60" s="18"/>
      <c r="F60" s="64" t="s">
        <v>155</v>
      </c>
      <c r="G60" s="66"/>
      <c r="H60" s="18"/>
      <c r="I60" s="18"/>
      <c r="J60" s="18"/>
      <c r="K60" s="65"/>
      <c r="L60" s="62">
        <v>900.0</v>
      </c>
      <c r="M60" s="65"/>
      <c r="N60" s="62"/>
      <c r="O60" s="65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>
      <c r="A61" s="67"/>
      <c r="B61" s="62">
        <v>9.0</v>
      </c>
      <c r="C61" s="17" t="s">
        <v>154</v>
      </c>
      <c r="D61" s="17" t="s">
        <v>138</v>
      </c>
      <c r="E61" s="18"/>
      <c r="F61" s="64" t="s">
        <v>155</v>
      </c>
      <c r="G61" s="66"/>
      <c r="H61" s="18"/>
      <c r="I61" s="18"/>
      <c r="J61" s="18"/>
      <c r="K61" s="65"/>
      <c r="L61" s="66"/>
      <c r="M61" s="65"/>
      <c r="N61" s="66"/>
      <c r="O61" s="65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>
      <c r="A62" s="90">
        <v>44997.0</v>
      </c>
      <c r="B62" s="62">
        <v>2.5</v>
      </c>
      <c r="C62" s="17" t="s">
        <v>154</v>
      </c>
      <c r="D62" s="17" t="s">
        <v>138</v>
      </c>
      <c r="E62" s="18"/>
      <c r="F62" s="64" t="s">
        <v>155</v>
      </c>
      <c r="G62" s="66"/>
      <c r="H62" s="18"/>
      <c r="I62" s="18"/>
      <c r="J62" s="18"/>
      <c r="K62" s="65"/>
      <c r="L62" s="62">
        <v>900.0</v>
      </c>
      <c r="M62" s="65"/>
      <c r="N62" s="62"/>
      <c r="O62" s="65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>
      <c r="A63" s="67"/>
      <c r="B63" s="62">
        <v>9.0</v>
      </c>
      <c r="C63" s="17" t="s">
        <v>154</v>
      </c>
      <c r="D63" s="17" t="s">
        <v>138</v>
      </c>
      <c r="E63" s="18"/>
      <c r="F63" s="64" t="s">
        <v>155</v>
      </c>
      <c r="G63" s="66"/>
      <c r="H63" s="18"/>
      <c r="I63" s="18"/>
      <c r="J63" s="18"/>
      <c r="K63" s="65"/>
      <c r="L63" s="66"/>
      <c r="M63" s="65"/>
      <c r="N63" s="66"/>
      <c r="O63" s="65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>
      <c r="A64" s="90">
        <v>45000.0</v>
      </c>
      <c r="B64" s="66"/>
      <c r="C64" s="18"/>
      <c r="D64" s="18"/>
      <c r="E64" s="18"/>
      <c r="F64" s="65"/>
      <c r="G64" s="62">
        <v>5500.0</v>
      </c>
      <c r="H64" s="17" t="s">
        <v>154</v>
      </c>
      <c r="I64" s="17" t="s">
        <v>160</v>
      </c>
      <c r="J64" s="17" t="s">
        <v>665</v>
      </c>
      <c r="K64" s="64" t="s">
        <v>155</v>
      </c>
      <c r="L64" s="62">
        <v>2000.0</v>
      </c>
      <c r="M64" s="65"/>
      <c r="N64" s="62"/>
      <c r="O64" s="65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>
      <c r="A65" s="90">
        <v>45001.0</v>
      </c>
      <c r="B65" s="62">
        <v>1.75</v>
      </c>
      <c r="C65" s="17" t="s">
        <v>154</v>
      </c>
      <c r="D65" s="17" t="s">
        <v>138</v>
      </c>
      <c r="E65" s="18"/>
      <c r="F65" s="64" t="s">
        <v>155</v>
      </c>
      <c r="G65" s="66"/>
      <c r="H65" s="18"/>
      <c r="I65" s="18"/>
      <c r="J65" s="18"/>
      <c r="K65" s="65"/>
      <c r="L65" s="62">
        <v>500.0</v>
      </c>
      <c r="M65" s="65"/>
      <c r="N65" s="62"/>
      <c r="O65" s="65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>
      <c r="A66" s="90">
        <v>45002.0</v>
      </c>
      <c r="B66" s="62">
        <v>5.25</v>
      </c>
      <c r="C66" s="17" t="s">
        <v>154</v>
      </c>
      <c r="D66" s="17" t="s">
        <v>138</v>
      </c>
      <c r="E66" s="18"/>
      <c r="F66" s="64" t="s">
        <v>155</v>
      </c>
      <c r="G66" s="66"/>
      <c r="H66" s="18"/>
      <c r="I66" s="18"/>
      <c r="J66" s="18"/>
      <c r="K66" s="65"/>
      <c r="L66" s="62">
        <v>1500.0</v>
      </c>
      <c r="M66" s="65"/>
      <c r="N66" s="62"/>
      <c r="O66" s="65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>
      <c r="A67" s="90">
        <v>45004.0</v>
      </c>
      <c r="B67" s="66"/>
      <c r="C67" s="18"/>
      <c r="D67" s="18"/>
      <c r="E67" s="18"/>
      <c r="F67" s="65"/>
      <c r="G67" s="62">
        <v>1470.0</v>
      </c>
      <c r="H67" s="17" t="s">
        <v>154</v>
      </c>
      <c r="I67" s="17" t="s">
        <v>9</v>
      </c>
      <c r="J67" s="17" t="s">
        <v>666</v>
      </c>
      <c r="K67" s="64" t="s">
        <v>155</v>
      </c>
      <c r="L67" s="66"/>
      <c r="M67" s="65"/>
      <c r="N67" s="66"/>
      <c r="O67" s="65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>
      <c r="A68" s="90">
        <v>45009.0</v>
      </c>
      <c r="B68" s="62">
        <v>7.0</v>
      </c>
      <c r="C68" s="17" t="s">
        <v>154</v>
      </c>
      <c r="D68" s="17" t="s">
        <v>138</v>
      </c>
      <c r="E68" s="18"/>
      <c r="F68" s="64" t="s">
        <v>155</v>
      </c>
      <c r="G68" s="66"/>
      <c r="H68" s="18"/>
      <c r="I68" s="18"/>
      <c r="J68" s="18"/>
      <c r="K68" s="65"/>
      <c r="L68" s="62">
        <v>2000.0</v>
      </c>
      <c r="M68" s="65"/>
      <c r="N68" s="62"/>
      <c r="O68" s="65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>
      <c r="A69" s="67"/>
      <c r="B69" s="62">
        <v>10.5</v>
      </c>
      <c r="C69" s="17" t="s">
        <v>154</v>
      </c>
      <c r="D69" s="17" t="s">
        <v>138</v>
      </c>
      <c r="E69" s="18"/>
      <c r="F69" s="64" t="s">
        <v>155</v>
      </c>
      <c r="G69" s="66"/>
      <c r="H69" s="18"/>
      <c r="I69" s="18"/>
      <c r="J69" s="18"/>
      <c r="K69" s="65"/>
      <c r="L69" s="62">
        <v>3000.0</v>
      </c>
      <c r="M69" s="65"/>
      <c r="N69" s="62"/>
      <c r="O69" s="65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>
      <c r="A70" s="90">
        <v>45014.0</v>
      </c>
      <c r="B70" s="62">
        <v>8.75</v>
      </c>
      <c r="C70" s="17" t="s">
        <v>154</v>
      </c>
      <c r="D70" s="17" t="s">
        <v>138</v>
      </c>
      <c r="E70" s="18"/>
      <c r="F70" s="64" t="s">
        <v>155</v>
      </c>
      <c r="G70" s="66"/>
      <c r="H70" s="18"/>
      <c r="I70" s="18"/>
      <c r="J70" s="18"/>
      <c r="K70" s="65"/>
      <c r="L70" s="62">
        <v>2500.0</v>
      </c>
      <c r="M70" s="65"/>
      <c r="N70" s="62"/>
      <c r="O70" s="65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>
      <c r="A71" s="90">
        <v>45015.0</v>
      </c>
      <c r="B71" s="62">
        <v>1500.0</v>
      </c>
      <c r="C71" s="17" t="s">
        <v>154</v>
      </c>
      <c r="D71" s="17" t="s">
        <v>191</v>
      </c>
      <c r="E71" s="18"/>
      <c r="F71" s="64" t="s">
        <v>155</v>
      </c>
      <c r="G71" s="66"/>
      <c r="H71" s="18"/>
      <c r="I71" s="18"/>
      <c r="J71" s="18"/>
      <c r="K71" s="65"/>
      <c r="L71" s="66"/>
      <c r="M71" s="65"/>
      <c r="N71" s="66"/>
      <c r="O71" s="65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>
      <c r="A72" s="67"/>
      <c r="B72" s="62">
        <v>3000.0</v>
      </c>
      <c r="C72" s="17" t="s">
        <v>154</v>
      </c>
      <c r="D72" s="17" t="s">
        <v>174</v>
      </c>
      <c r="E72" s="18"/>
      <c r="F72" s="64" t="s">
        <v>155</v>
      </c>
      <c r="G72" s="66"/>
      <c r="H72" s="18"/>
      <c r="I72" s="18"/>
      <c r="J72" s="18"/>
      <c r="K72" s="65"/>
      <c r="L72" s="66"/>
      <c r="M72" s="65"/>
      <c r="N72" s="66"/>
      <c r="O72" s="65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>
      <c r="A73" s="90">
        <v>45016.0</v>
      </c>
      <c r="B73" s="62">
        <v>35.0</v>
      </c>
      <c r="C73" s="17" t="s">
        <v>154</v>
      </c>
      <c r="D73" s="17" t="s">
        <v>145</v>
      </c>
      <c r="E73" s="18"/>
      <c r="F73" s="64" t="s">
        <v>155</v>
      </c>
      <c r="G73" s="66"/>
      <c r="H73" s="18"/>
      <c r="I73" s="18"/>
      <c r="J73" s="18"/>
      <c r="K73" s="65"/>
      <c r="L73" s="66"/>
      <c r="M73" s="65"/>
      <c r="N73" s="66"/>
      <c r="O73" s="65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>
      <c r="A74" s="90"/>
      <c r="B74" s="62">
        <v>1010.24</v>
      </c>
      <c r="C74" s="17" t="s">
        <v>154</v>
      </c>
      <c r="D74" s="17" t="s">
        <v>667</v>
      </c>
      <c r="E74" s="17" t="s">
        <v>668</v>
      </c>
      <c r="F74" s="64" t="s">
        <v>149</v>
      </c>
      <c r="G74" s="66"/>
      <c r="H74" s="18"/>
      <c r="I74" s="18"/>
      <c r="J74" s="18"/>
      <c r="K74" s="65"/>
      <c r="L74" s="66"/>
      <c r="M74" s="65"/>
      <c r="N74" s="66"/>
      <c r="O74" s="65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>
      <c r="A75" s="120"/>
      <c r="B75" s="118"/>
      <c r="C75" s="25"/>
      <c r="D75" s="25"/>
      <c r="E75" s="25"/>
      <c r="F75" s="119"/>
      <c r="G75" s="118"/>
      <c r="H75" s="25"/>
      <c r="I75" s="25"/>
      <c r="J75" s="25"/>
      <c r="K75" s="119"/>
      <c r="L75" s="118"/>
      <c r="M75" s="119"/>
      <c r="N75" s="118"/>
      <c r="O75" s="119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>
      <c r="A76" s="120"/>
      <c r="B76" s="118"/>
      <c r="C76" s="25"/>
      <c r="D76" s="25"/>
      <c r="E76" s="25"/>
      <c r="F76" s="119"/>
      <c r="G76" s="118"/>
      <c r="H76" s="25"/>
      <c r="I76" s="25"/>
      <c r="J76" s="25"/>
      <c r="K76" s="119"/>
      <c r="L76" s="118"/>
      <c r="M76" s="119"/>
      <c r="N76" s="118"/>
      <c r="O76" s="119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>
      <c r="A77" s="90">
        <v>45018.0</v>
      </c>
      <c r="B77" s="62">
        <v>1500.0</v>
      </c>
      <c r="C77" s="17" t="s">
        <v>154</v>
      </c>
      <c r="D77" s="17" t="s">
        <v>191</v>
      </c>
      <c r="E77" s="18"/>
      <c r="F77" s="64" t="s">
        <v>155</v>
      </c>
      <c r="G77" s="66"/>
      <c r="H77" s="18"/>
      <c r="I77" s="18"/>
      <c r="J77" s="18"/>
      <c r="K77" s="65"/>
      <c r="L77" s="66"/>
      <c r="M77" s="65"/>
      <c r="N77" s="66"/>
      <c r="O77" s="65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>
      <c r="A78" s="90">
        <v>45019.0</v>
      </c>
      <c r="B78" s="62">
        <v>117.02</v>
      </c>
      <c r="C78" s="17" t="s">
        <v>154</v>
      </c>
      <c r="D78" s="17" t="s">
        <v>669</v>
      </c>
      <c r="E78" s="18"/>
      <c r="F78" s="64" t="s">
        <v>155</v>
      </c>
      <c r="G78" s="66"/>
      <c r="H78" s="18"/>
      <c r="I78" s="18"/>
      <c r="J78" s="18"/>
      <c r="K78" s="65"/>
      <c r="L78" s="66"/>
      <c r="M78" s="65"/>
      <c r="N78" s="66"/>
      <c r="O78" s="65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>
      <c r="A79" s="67"/>
      <c r="B79" s="62">
        <v>42.61</v>
      </c>
      <c r="C79" s="17" t="s">
        <v>154</v>
      </c>
      <c r="D79" s="17" t="s">
        <v>146</v>
      </c>
      <c r="E79" s="18"/>
      <c r="F79" s="64" t="s">
        <v>155</v>
      </c>
      <c r="G79" s="66"/>
      <c r="H79" s="18"/>
      <c r="I79" s="18"/>
      <c r="J79" s="18"/>
      <c r="K79" s="65"/>
      <c r="L79" s="66"/>
      <c r="M79" s="65"/>
      <c r="N79" s="66"/>
      <c r="O79" s="65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>
      <c r="A80" s="90">
        <v>45024.0</v>
      </c>
      <c r="B80" s="62">
        <v>1500.0</v>
      </c>
      <c r="C80" s="17" t="s">
        <v>154</v>
      </c>
      <c r="D80" s="17" t="s">
        <v>191</v>
      </c>
      <c r="E80" s="18"/>
      <c r="F80" s="64" t="s">
        <v>155</v>
      </c>
      <c r="G80" s="66"/>
      <c r="H80" s="18"/>
      <c r="I80" s="18"/>
      <c r="J80" s="18"/>
      <c r="K80" s="65"/>
      <c r="L80" s="66"/>
      <c r="M80" s="65"/>
      <c r="N80" s="66"/>
      <c r="O80" s="65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>
      <c r="A81" s="90">
        <v>45031.0</v>
      </c>
      <c r="B81" s="62">
        <v>40.7</v>
      </c>
      <c r="C81" s="17" t="s">
        <v>154</v>
      </c>
      <c r="D81" s="121" t="s">
        <v>345</v>
      </c>
      <c r="E81" s="18"/>
      <c r="F81" s="64" t="s">
        <v>155</v>
      </c>
      <c r="G81" s="66"/>
      <c r="H81" s="18"/>
      <c r="I81" s="18"/>
      <c r="J81" s="18"/>
      <c r="K81" s="65"/>
      <c r="L81" s="66"/>
      <c r="M81" s="65"/>
      <c r="N81" s="66"/>
      <c r="O81" s="65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>
      <c r="A82" s="90">
        <v>45037.0</v>
      </c>
      <c r="B82" s="62">
        <v>1200.0</v>
      </c>
      <c r="C82" s="17" t="s">
        <v>154</v>
      </c>
      <c r="D82" s="121" t="s">
        <v>24</v>
      </c>
      <c r="E82" s="17" t="s">
        <v>670</v>
      </c>
      <c r="F82" s="64" t="s">
        <v>149</v>
      </c>
      <c r="G82" s="66"/>
      <c r="H82" s="18"/>
      <c r="I82" s="18"/>
      <c r="J82" s="18"/>
      <c r="K82" s="65"/>
      <c r="L82" s="66"/>
      <c r="M82" s="65"/>
      <c r="N82" s="66"/>
      <c r="O82" s="65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>
      <c r="A83" s="90"/>
      <c r="B83" s="62">
        <v>700.0</v>
      </c>
      <c r="C83" s="17" t="s">
        <v>154</v>
      </c>
      <c r="D83" s="121" t="s">
        <v>25</v>
      </c>
      <c r="E83" s="17" t="s">
        <v>671</v>
      </c>
      <c r="F83" s="64" t="s">
        <v>149</v>
      </c>
      <c r="G83" s="66"/>
      <c r="H83" s="18"/>
      <c r="I83" s="18"/>
      <c r="J83" s="18"/>
      <c r="K83" s="65"/>
      <c r="L83" s="66"/>
      <c r="M83" s="65"/>
      <c r="N83" s="66"/>
      <c r="O83" s="65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>
      <c r="A84" s="90"/>
      <c r="B84" s="62">
        <v>350.0</v>
      </c>
      <c r="C84" s="17" t="s">
        <v>154</v>
      </c>
      <c r="D84" s="121" t="s">
        <v>25</v>
      </c>
      <c r="E84" s="17" t="s">
        <v>672</v>
      </c>
      <c r="F84" s="64" t="s">
        <v>149</v>
      </c>
      <c r="G84" s="66"/>
      <c r="H84" s="18"/>
      <c r="I84" s="18"/>
      <c r="J84" s="18"/>
      <c r="K84" s="65"/>
      <c r="L84" s="66"/>
      <c r="M84" s="65"/>
      <c r="N84" s="66"/>
      <c r="O84" s="65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>
      <c r="A85" s="90"/>
      <c r="B85" s="62">
        <v>250.0</v>
      </c>
      <c r="C85" s="17" t="s">
        <v>154</v>
      </c>
      <c r="D85" s="121" t="s">
        <v>25</v>
      </c>
      <c r="E85" s="17" t="s">
        <v>673</v>
      </c>
      <c r="F85" s="64" t="s">
        <v>149</v>
      </c>
      <c r="G85" s="66"/>
      <c r="H85" s="18"/>
      <c r="I85" s="18"/>
      <c r="J85" s="18"/>
      <c r="K85" s="65"/>
      <c r="L85" s="66"/>
      <c r="M85" s="65"/>
      <c r="N85" s="66"/>
      <c r="O85" s="65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>
      <c r="A86" s="90"/>
      <c r="B86" s="62">
        <v>250.0</v>
      </c>
      <c r="C86" s="17" t="s">
        <v>154</v>
      </c>
      <c r="D86" s="121" t="s">
        <v>25</v>
      </c>
      <c r="E86" s="17" t="s">
        <v>674</v>
      </c>
      <c r="F86" s="64" t="s">
        <v>149</v>
      </c>
      <c r="G86" s="66"/>
      <c r="H86" s="18"/>
      <c r="I86" s="18"/>
      <c r="J86" s="18"/>
      <c r="K86" s="65"/>
      <c r="L86" s="66"/>
      <c r="M86" s="65"/>
      <c r="N86" s="66"/>
      <c r="O86" s="65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>
      <c r="A87" s="90"/>
      <c r="B87" s="62">
        <v>200.0</v>
      </c>
      <c r="C87" s="17" t="s">
        <v>154</v>
      </c>
      <c r="D87" s="121" t="s">
        <v>164</v>
      </c>
      <c r="E87" s="17" t="s">
        <v>673</v>
      </c>
      <c r="F87" s="64" t="s">
        <v>149</v>
      </c>
      <c r="G87" s="66"/>
      <c r="H87" s="18"/>
      <c r="I87" s="18"/>
      <c r="J87" s="18"/>
      <c r="K87" s="65"/>
      <c r="L87" s="66"/>
      <c r="M87" s="65"/>
      <c r="N87" s="66"/>
      <c r="O87" s="65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>
      <c r="A88" s="90"/>
      <c r="B88" s="62">
        <v>100.0</v>
      </c>
      <c r="C88" s="17" t="s">
        <v>154</v>
      </c>
      <c r="D88" s="121" t="s">
        <v>164</v>
      </c>
      <c r="E88" s="17" t="s">
        <v>675</v>
      </c>
      <c r="F88" s="64" t="s">
        <v>149</v>
      </c>
      <c r="G88" s="66"/>
      <c r="H88" s="18"/>
      <c r="I88" s="18"/>
      <c r="J88" s="18"/>
      <c r="K88" s="65"/>
      <c r="L88" s="66"/>
      <c r="M88" s="65"/>
      <c r="N88" s="66"/>
      <c r="O88" s="65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>
      <c r="A89" s="90">
        <v>45040.0</v>
      </c>
      <c r="B89" s="66"/>
      <c r="C89" s="18"/>
      <c r="D89" s="18"/>
      <c r="E89" s="18"/>
      <c r="F89" s="65"/>
      <c r="G89" s="62">
        <v>1481.0</v>
      </c>
      <c r="H89" s="17" t="s">
        <v>154</v>
      </c>
      <c r="I89" s="17" t="s">
        <v>9</v>
      </c>
      <c r="J89" s="17" t="s">
        <v>676</v>
      </c>
      <c r="K89" s="64" t="s">
        <v>155</v>
      </c>
      <c r="L89" s="66"/>
      <c r="M89" s="65"/>
      <c r="N89" s="66"/>
      <c r="O89" s="65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>
      <c r="A90" s="90">
        <v>45041.0</v>
      </c>
      <c r="B90" s="62">
        <v>2500.0</v>
      </c>
      <c r="C90" s="17" t="s">
        <v>154</v>
      </c>
      <c r="D90" s="17" t="s">
        <v>191</v>
      </c>
      <c r="E90" s="18"/>
      <c r="F90" s="64" t="s">
        <v>155</v>
      </c>
      <c r="G90" s="66"/>
      <c r="H90" s="18"/>
      <c r="I90" s="18"/>
      <c r="J90" s="18"/>
      <c r="K90" s="65"/>
      <c r="L90" s="66"/>
      <c r="M90" s="65"/>
      <c r="N90" s="66"/>
      <c r="O90" s="65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>
      <c r="A91" s="90">
        <v>45042.0</v>
      </c>
      <c r="B91" s="66"/>
      <c r="C91" s="18"/>
      <c r="D91" s="18"/>
      <c r="E91" s="18"/>
      <c r="F91" s="65"/>
      <c r="G91" s="66"/>
      <c r="H91" s="18"/>
      <c r="I91" s="18"/>
      <c r="J91" s="18"/>
      <c r="K91" s="65"/>
      <c r="L91" s="62">
        <v>1500.0</v>
      </c>
      <c r="M91" s="65"/>
      <c r="N91" s="62"/>
      <c r="O91" s="65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>
      <c r="A92" s="90">
        <v>45044.0</v>
      </c>
      <c r="B92" s="62">
        <v>1000.0</v>
      </c>
      <c r="C92" s="17" t="s">
        <v>154</v>
      </c>
      <c r="D92" s="121" t="s">
        <v>24</v>
      </c>
      <c r="E92" s="17" t="s">
        <v>677</v>
      </c>
      <c r="F92" s="64" t="s">
        <v>149</v>
      </c>
      <c r="G92" s="62">
        <v>12700.0</v>
      </c>
      <c r="H92" s="17" t="s">
        <v>154</v>
      </c>
      <c r="I92" s="17" t="s">
        <v>160</v>
      </c>
      <c r="J92" s="17" t="s">
        <v>657</v>
      </c>
      <c r="K92" s="64" t="s">
        <v>149</v>
      </c>
      <c r="L92" s="62"/>
      <c r="M92" s="65"/>
      <c r="N92" s="62"/>
      <c r="O92" s="65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>
      <c r="A93" s="90"/>
      <c r="B93" s="62">
        <v>500.0</v>
      </c>
      <c r="C93" s="17" t="s">
        <v>154</v>
      </c>
      <c r="D93" s="121" t="s">
        <v>157</v>
      </c>
      <c r="E93" s="17" t="s">
        <v>678</v>
      </c>
      <c r="F93" s="64" t="s">
        <v>149</v>
      </c>
      <c r="G93" s="66"/>
      <c r="H93" s="18"/>
      <c r="I93" s="18"/>
      <c r="J93" s="18"/>
      <c r="K93" s="65"/>
      <c r="L93" s="62"/>
      <c r="M93" s="65"/>
      <c r="N93" s="62"/>
      <c r="O93" s="65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>
      <c r="A94" s="90"/>
      <c r="B94" s="62">
        <v>1950.0</v>
      </c>
      <c r="C94" s="17" t="s">
        <v>154</v>
      </c>
      <c r="D94" s="121" t="s">
        <v>109</v>
      </c>
      <c r="E94" s="17" t="s">
        <v>657</v>
      </c>
      <c r="F94" s="64" t="s">
        <v>149</v>
      </c>
      <c r="G94" s="66"/>
      <c r="H94" s="18"/>
      <c r="I94" s="18"/>
      <c r="J94" s="18"/>
      <c r="K94" s="65"/>
      <c r="L94" s="62"/>
      <c r="M94" s="65"/>
      <c r="N94" s="62"/>
      <c r="O94" s="65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>
      <c r="A95" s="90"/>
      <c r="B95" s="62">
        <v>1950.0</v>
      </c>
      <c r="C95" s="17" t="s">
        <v>154</v>
      </c>
      <c r="D95" s="121" t="s">
        <v>111</v>
      </c>
      <c r="E95" s="17" t="s">
        <v>657</v>
      </c>
      <c r="F95" s="64" t="s">
        <v>149</v>
      </c>
      <c r="G95" s="66"/>
      <c r="H95" s="18"/>
      <c r="I95" s="18"/>
      <c r="J95" s="18"/>
      <c r="K95" s="65"/>
      <c r="L95" s="62"/>
      <c r="M95" s="65"/>
      <c r="N95" s="62"/>
      <c r="O95" s="65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>
      <c r="A96" s="90"/>
      <c r="B96" s="62">
        <v>1950.0</v>
      </c>
      <c r="C96" s="17" t="s">
        <v>154</v>
      </c>
      <c r="D96" s="121" t="s">
        <v>110</v>
      </c>
      <c r="E96" s="17" t="s">
        <v>657</v>
      </c>
      <c r="F96" s="64" t="s">
        <v>149</v>
      </c>
      <c r="G96" s="66"/>
      <c r="H96" s="18"/>
      <c r="I96" s="18"/>
      <c r="J96" s="18"/>
      <c r="K96" s="65"/>
      <c r="L96" s="62"/>
      <c r="M96" s="65"/>
      <c r="N96" s="62"/>
      <c r="O96" s="65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>
      <c r="A97" s="90"/>
      <c r="B97" s="62">
        <v>1950.0</v>
      </c>
      <c r="C97" s="17" t="s">
        <v>154</v>
      </c>
      <c r="D97" s="121" t="s">
        <v>113</v>
      </c>
      <c r="E97" s="17" t="s">
        <v>657</v>
      </c>
      <c r="F97" s="64" t="s">
        <v>149</v>
      </c>
      <c r="G97" s="66"/>
      <c r="H97" s="18"/>
      <c r="I97" s="18"/>
      <c r="J97" s="18"/>
      <c r="K97" s="65"/>
      <c r="L97" s="62"/>
      <c r="M97" s="65"/>
      <c r="N97" s="62"/>
      <c r="O97" s="65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>
      <c r="A98" s="90"/>
      <c r="B98" s="62">
        <v>1950.0</v>
      </c>
      <c r="C98" s="17" t="s">
        <v>154</v>
      </c>
      <c r="D98" s="121" t="s">
        <v>112</v>
      </c>
      <c r="E98" s="17" t="s">
        <v>657</v>
      </c>
      <c r="F98" s="64" t="s">
        <v>149</v>
      </c>
      <c r="G98" s="66"/>
      <c r="H98" s="18"/>
      <c r="I98" s="18"/>
      <c r="J98" s="18"/>
      <c r="K98" s="65"/>
      <c r="L98" s="62"/>
      <c r="M98" s="65"/>
      <c r="N98" s="62"/>
      <c r="O98" s="65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>
      <c r="A99" s="90">
        <v>45045.0</v>
      </c>
      <c r="B99" s="66"/>
      <c r="C99" s="18"/>
      <c r="D99" s="18"/>
      <c r="E99" s="18"/>
      <c r="F99" s="65"/>
      <c r="G99" s="66"/>
      <c r="H99" s="18"/>
      <c r="I99" s="18"/>
      <c r="J99" s="18"/>
      <c r="K99" s="65"/>
      <c r="L99" s="62">
        <v>250.0</v>
      </c>
      <c r="M99" s="65"/>
      <c r="N99" s="62"/>
      <c r="O99" s="65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>
      <c r="A100" s="90">
        <v>45046.0</v>
      </c>
      <c r="B100" s="62">
        <v>35.0</v>
      </c>
      <c r="C100" s="17" t="s">
        <v>154</v>
      </c>
      <c r="D100" s="17" t="s">
        <v>145</v>
      </c>
      <c r="E100" s="18"/>
      <c r="F100" s="64" t="s">
        <v>155</v>
      </c>
      <c r="G100" s="62">
        <v>2950.0</v>
      </c>
      <c r="H100" s="17" t="s">
        <v>204</v>
      </c>
      <c r="I100" s="17" t="s">
        <v>160</v>
      </c>
      <c r="J100" s="17" t="s">
        <v>679</v>
      </c>
      <c r="K100" s="64" t="s">
        <v>149</v>
      </c>
      <c r="L100" s="66"/>
      <c r="M100" s="65"/>
      <c r="N100" s="66"/>
      <c r="O100" s="65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>
      <c r="A101" s="90"/>
      <c r="B101" s="62">
        <v>550.0</v>
      </c>
      <c r="C101" s="17" t="s">
        <v>204</v>
      </c>
      <c r="D101" s="17" t="s">
        <v>111</v>
      </c>
      <c r="E101" s="17" t="s">
        <v>679</v>
      </c>
      <c r="F101" s="64" t="s">
        <v>149</v>
      </c>
      <c r="G101" s="62"/>
      <c r="H101" s="17"/>
      <c r="I101" s="17"/>
      <c r="J101" s="17"/>
      <c r="K101" s="64"/>
      <c r="L101" s="66"/>
      <c r="M101" s="65"/>
      <c r="N101" s="66"/>
      <c r="O101" s="65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>
      <c r="A102" s="90"/>
      <c r="B102" s="62">
        <v>550.0</v>
      </c>
      <c r="C102" s="17" t="s">
        <v>204</v>
      </c>
      <c r="D102" s="17" t="s">
        <v>109</v>
      </c>
      <c r="E102" s="17" t="s">
        <v>679</v>
      </c>
      <c r="F102" s="64" t="s">
        <v>149</v>
      </c>
      <c r="G102" s="62"/>
      <c r="H102" s="17"/>
      <c r="I102" s="17"/>
      <c r="J102" s="17"/>
      <c r="K102" s="64"/>
      <c r="L102" s="66"/>
      <c r="M102" s="65"/>
      <c r="N102" s="66"/>
      <c r="O102" s="65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>
      <c r="A103" s="90"/>
      <c r="B103" s="62">
        <v>550.0</v>
      </c>
      <c r="C103" s="17" t="s">
        <v>204</v>
      </c>
      <c r="D103" s="17" t="s">
        <v>113</v>
      </c>
      <c r="E103" s="17" t="s">
        <v>679</v>
      </c>
      <c r="F103" s="64" t="s">
        <v>149</v>
      </c>
      <c r="G103" s="62"/>
      <c r="H103" s="17"/>
      <c r="I103" s="17"/>
      <c r="J103" s="17"/>
      <c r="K103" s="64"/>
      <c r="L103" s="66"/>
      <c r="M103" s="65"/>
      <c r="N103" s="66"/>
      <c r="O103" s="65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>
      <c r="A104" s="90"/>
      <c r="B104" s="62">
        <v>550.0</v>
      </c>
      <c r="C104" s="17" t="s">
        <v>204</v>
      </c>
      <c r="D104" s="17" t="s">
        <v>110</v>
      </c>
      <c r="E104" s="17" t="s">
        <v>679</v>
      </c>
      <c r="F104" s="64" t="s">
        <v>149</v>
      </c>
      <c r="G104" s="62"/>
      <c r="H104" s="17"/>
      <c r="I104" s="17"/>
      <c r="J104" s="17"/>
      <c r="K104" s="64"/>
      <c r="L104" s="66"/>
      <c r="M104" s="65"/>
      <c r="N104" s="66"/>
      <c r="O104" s="65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>
      <c r="A105" s="90"/>
      <c r="B105" s="62">
        <v>1000.0</v>
      </c>
      <c r="C105" s="17" t="s">
        <v>154</v>
      </c>
      <c r="D105" s="17" t="s">
        <v>24</v>
      </c>
      <c r="E105" s="17" t="s">
        <v>680</v>
      </c>
      <c r="F105" s="64" t="s">
        <v>149</v>
      </c>
      <c r="G105" s="62"/>
      <c r="H105" s="17"/>
      <c r="I105" s="17"/>
      <c r="J105" s="17"/>
      <c r="K105" s="64"/>
      <c r="L105" s="66"/>
      <c r="M105" s="65"/>
      <c r="N105" s="66"/>
      <c r="O105" s="65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>
      <c r="A106" s="90"/>
      <c r="B106" s="62">
        <v>250.0</v>
      </c>
      <c r="C106" s="17" t="s">
        <v>154</v>
      </c>
      <c r="D106" s="17" t="s">
        <v>25</v>
      </c>
      <c r="E106" s="17" t="s">
        <v>681</v>
      </c>
      <c r="F106" s="64" t="s">
        <v>149</v>
      </c>
      <c r="G106" s="62"/>
      <c r="H106" s="17"/>
      <c r="I106" s="17"/>
      <c r="J106" s="17"/>
      <c r="K106" s="64"/>
      <c r="L106" s="66"/>
      <c r="M106" s="65"/>
      <c r="N106" s="66"/>
      <c r="O106" s="65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>
      <c r="A107" s="67"/>
      <c r="B107" s="62">
        <v>142.32</v>
      </c>
      <c r="C107" s="17" t="s">
        <v>154</v>
      </c>
      <c r="D107" s="17" t="s">
        <v>667</v>
      </c>
      <c r="E107" s="17" t="s">
        <v>668</v>
      </c>
      <c r="F107" s="64" t="s">
        <v>149</v>
      </c>
      <c r="G107" s="66"/>
      <c r="H107" s="18"/>
      <c r="I107" s="18"/>
      <c r="J107" s="18"/>
      <c r="K107" s="65"/>
      <c r="L107" s="66"/>
      <c r="M107" s="65"/>
      <c r="N107" s="66"/>
      <c r="O107" s="65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>
      <c r="A108" s="120"/>
      <c r="B108" s="118"/>
      <c r="C108" s="25"/>
      <c r="D108" s="25"/>
      <c r="E108" s="25"/>
      <c r="F108" s="119"/>
      <c r="G108" s="118"/>
      <c r="H108" s="25"/>
      <c r="I108" s="25"/>
      <c r="J108" s="25"/>
      <c r="K108" s="119"/>
      <c r="L108" s="118"/>
      <c r="M108" s="119"/>
      <c r="N108" s="118"/>
      <c r="O108" s="119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>
      <c r="A109" s="120"/>
      <c r="B109" s="118"/>
      <c r="C109" s="25"/>
      <c r="D109" s="25"/>
      <c r="E109" s="25"/>
      <c r="F109" s="119"/>
      <c r="G109" s="118"/>
      <c r="H109" s="25"/>
      <c r="I109" s="25"/>
      <c r="J109" s="25"/>
      <c r="K109" s="119"/>
      <c r="L109" s="118"/>
      <c r="M109" s="119"/>
      <c r="N109" s="118"/>
      <c r="O109" s="119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>
      <c r="A110" s="90">
        <v>45048.0</v>
      </c>
      <c r="B110" s="62">
        <v>2.5</v>
      </c>
      <c r="C110" s="17" t="s">
        <v>154</v>
      </c>
      <c r="D110" s="17" t="s">
        <v>138</v>
      </c>
      <c r="E110" s="18"/>
      <c r="F110" s="64" t="s">
        <v>155</v>
      </c>
      <c r="G110" s="62">
        <v>7500.0</v>
      </c>
      <c r="H110" s="17" t="s">
        <v>154</v>
      </c>
      <c r="I110" s="17" t="s">
        <v>160</v>
      </c>
      <c r="J110" s="17" t="s">
        <v>682</v>
      </c>
      <c r="K110" s="64" t="s">
        <v>155</v>
      </c>
      <c r="L110" s="62">
        <v>900.0</v>
      </c>
      <c r="M110" s="65"/>
      <c r="N110" s="62"/>
      <c r="O110" s="65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>
      <c r="A111" s="67"/>
      <c r="B111" s="62">
        <v>9.0</v>
      </c>
      <c r="C111" s="17" t="s">
        <v>154</v>
      </c>
      <c r="D111" s="17" t="s">
        <v>138</v>
      </c>
      <c r="E111" s="18"/>
      <c r="F111" s="64" t="s">
        <v>155</v>
      </c>
      <c r="G111" s="66"/>
      <c r="H111" s="18"/>
      <c r="I111" s="18"/>
      <c r="J111" s="18"/>
      <c r="K111" s="65"/>
      <c r="L111" s="62">
        <v>2000.0</v>
      </c>
      <c r="M111" s="65"/>
      <c r="N111" s="66"/>
      <c r="O111" s="65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>
      <c r="A112" s="63">
        <v>45050.0</v>
      </c>
      <c r="B112" s="62">
        <v>175.58</v>
      </c>
      <c r="C112" s="17" t="s">
        <v>154</v>
      </c>
      <c r="D112" s="17" t="s">
        <v>669</v>
      </c>
      <c r="E112" s="18"/>
      <c r="F112" s="64" t="s">
        <v>155</v>
      </c>
      <c r="G112" s="66"/>
      <c r="H112" s="18"/>
      <c r="I112" s="18"/>
      <c r="J112" s="18"/>
      <c r="K112" s="65"/>
      <c r="L112" s="66"/>
      <c r="M112" s="65"/>
      <c r="N112" s="66"/>
      <c r="O112" s="65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>
      <c r="A113" s="67"/>
      <c r="B113" s="62">
        <v>42.45</v>
      </c>
      <c r="C113" s="17" t="s">
        <v>154</v>
      </c>
      <c r="D113" s="17" t="s">
        <v>146</v>
      </c>
      <c r="E113" s="18"/>
      <c r="F113" s="64" t="s">
        <v>155</v>
      </c>
      <c r="G113" s="66"/>
      <c r="H113" s="18"/>
      <c r="I113" s="18"/>
      <c r="J113" s="18"/>
      <c r="K113" s="65"/>
      <c r="L113" s="66"/>
      <c r="M113" s="65"/>
      <c r="N113" s="66"/>
      <c r="O113" s="65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>
      <c r="A114" s="63">
        <v>45051.0</v>
      </c>
      <c r="B114" s="62">
        <v>452.0</v>
      </c>
      <c r="C114" s="17" t="s">
        <v>154</v>
      </c>
      <c r="D114" s="17" t="s">
        <v>143</v>
      </c>
      <c r="E114" s="18"/>
      <c r="F114" s="64" t="s">
        <v>155</v>
      </c>
      <c r="G114" s="66"/>
      <c r="H114" s="18"/>
      <c r="I114" s="18"/>
      <c r="J114" s="18"/>
      <c r="K114" s="65"/>
      <c r="L114" s="66"/>
      <c r="M114" s="65"/>
      <c r="N114" s="62">
        <v>1950.0</v>
      </c>
      <c r="O114" s="65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>
      <c r="A115" s="67"/>
      <c r="B115" s="62">
        <v>0.51</v>
      </c>
      <c r="C115" s="17" t="s">
        <v>154</v>
      </c>
      <c r="D115" s="17" t="s">
        <v>139</v>
      </c>
      <c r="E115" s="18"/>
      <c r="F115" s="64" t="s">
        <v>155</v>
      </c>
      <c r="G115" s="66"/>
      <c r="H115" s="18"/>
      <c r="I115" s="18"/>
      <c r="J115" s="18"/>
      <c r="K115" s="65"/>
      <c r="L115" s="66"/>
      <c r="M115" s="65"/>
      <c r="N115" s="66"/>
      <c r="O115" s="65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>
      <c r="A116" s="67"/>
      <c r="B116" s="62">
        <v>204.0</v>
      </c>
      <c r="C116" s="17" t="s">
        <v>154</v>
      </c>
      <c r="D116" s="17" t="s">
        <v>141</v>
      </c>
      <c r="E116" s="18"/>
      <c r="F116" s="64" t="s">
        <v>155</v>
      </c>
      <c r="G116" s="66"/>
      <c r="H116" s="18"/>
      <c r="I116" s="18"/>
      <c r="J116" s="18"/>
      <c r="K116" s="65"/>
      <c r="L116" s="66"/>
      <c r="M116" s="65"/>
      <c r="N116" s="66"/>
      <c r="O116" s="65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>
      <c r="A117" s="67"/>
      <c r="B117" s="62">
        <v>0.51</v>
      </c>
      <c r="C117" s="17" t="s">
        <v>154</v>
      </c>
      <c r="D117" s="17" t="s">
        <v>139</v>
      </c>
      <c r="E117" s="18"/>
      <c r="F117" s="64" t="s">
        <v>155</v>
      </c>
      <c r="G117" s="66"/>
      <c r="H117" s="18"/>
      <c r="I117" s="18"/>
      <c r="J117" s="18"/>
      <c r="K117" s="65"/>
      <c r="L117" s="66"/>
      <c r="M117" s="65"/>
      <c r="N117" s="66"/>
      <c r="O117" s="65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>
      <c r="A118" s="67"/>
      <c r="B118" s="62">
        <v>289.0</v>
      </c>
      <c r="C118" s="17" t="s">
        <v>154</v>
      </c>
      <c r="D118" s="17" t="s">
        <v>212</v>
      </c>
      <c r="E118" s="18"/>
      <c r="F118" s="64" t="s">
        <v>155</v>
      </c>
      <c r="G118" s="66"/>
      <c r="H118" s="18"/>
      <c r="I118" s="18"/>
      <c r="J118" s="18"/>
      <c r="K118" s="65"/>
      <c r="L118" s="66"/>
      <c r="M118" s="65"/>
      <c r="N118" s="66"/>
      <c r="O118" s="65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>
      <c r="A119" s="67"/>
      <c r="B119" s="62">
        <v>0.51</v>
      </c>
      <c r="C119" s="17" t="s">
        <v>154</v>
      </c>
      <c r="D119" s="17" t="s">
        <v>139</v>
      </c>
      <c r="E119" s="18"/>
      <c r="F119" s="64" t="s">
        <v>155</v>
      </c>
      <c r="G119" s="66"/>
      <c r="H119" s="18"/>
      <c r="I119" s="18"/>
      <c r="J119" s="18"/>
      <c r="K119" s="65"/>
      <c r="L119" s="66"/>
      <c r="M119" s="65"/>
      <c r="N119" s="66"/>
      <c r="O119" s="65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>
      <c r="A120" s="67"/>
      <c r="B120" s="62">
        <v>3555.0</v>
      </c>
      <c r="C120" s="17" t="s">
        <v>154</v>
      </c>
      <c r="D120" s="17" t="s">
        <v>141</v>
      </c>
      <c r="E120" s="18"/>
      <c r="F120" s="64" t="s">
        <v>155</v>
      </c>
      <c r="G120" s="66"/>
      <c r="H120" s="18"/>
      <c r="I120" s="18"/>
      <c r="J120" s="18"/>
      <c r="K120" s="65"/>
      <c r="L120" s="66"/>
      <c r="M120" s="65"/>
      <c r="N120" s="66"/>
      <c r="O120" s="65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>
      <c r="A121" s="67"/>
      <c r="B121" s="62">
        <v>0.51</v>
      </c>
      <c r="C121" s="17" t="s">
        <v>154</v>
      </c>
      <c r="D121" s="17" t="s">
        <v>139</v>
      </c>
      <c r="E121" s="18"/>
      <c r="F121" s="64" t="s">
        <v>155</v>
      </c>
      <c r="G121" s="66"/>
      <c r="H121" s="18"/>
      <c r="I121" s="18"/>
      <c r="J121" s="18"/>
      <c r="K121" s="65"/>
      <c r="L121" s="66"/>
      <c r="M121" s="65"/>
      <c r="N121" s="66"/>
      <c r="O121" s="65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>
      <c r="A122" s="63">
        <v>45052.0</v>
      </c>
      <c r="B122" s="62">
        <v>1000.0</v>
      </c>
      <c r="C122" s="17" t="s">
        <v>154</v>
      </c>
      <c r="D122" s="17" t="s">
        <v>24</v>
      </c>
      <c r="E122" s="17" t="s">
        <v>683</v>
      </c>
      <c r="F122" s="64" t="s">
        <v>149</v>
      </c>
      <c r="G122" s="66"/>
      <c r="H122" s="18"/>
      <c r="I122" s="18"/>
      <c r="J122" s="18"/>
      <c r="K122" s="65"/>
      <c r="L122" s="66"/>
      <c r="M122" s="65"/>
      <c r="N122" s="66"/>
      <c r="O122" s="65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>
      <c r="A123" s="67"/>
      <c r="B123" s="62">
        <v>1678.56</v>
      </c>
      <c r="C123" s="17" t="s">
        <v>154</v>
      </c>
      <c r="D123" s="17" t="s">
        <v>191</v>
      </c>
      <c r="E123" s="18"/>
      <c r="F123" s="64" t="s">
        <v>155</v>
      </c>
      <c r="G123" s="66"/>
      <c r="H123" s="18"/>
      <c r="I123" s="18"/>
      <c r="J123" s="18"/>
      <c r="K123" s="65"/>
      <c r="L123" s="66"/>
      <c r="M123" s="65"/>
      <c r="N123" s="66"/>
      <c r="O123" s="65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>
      <c r="A124" s="63">
        <v>45057.0</v>
      </c>
      <c r="B124" s="62">
        <v>1278.0</v>
      </c>
      <c r="C124" s="17" t="s">
        <v>154</v>
      </c>
      <c r="D124" s="17" t="s">
        <v>143</v>
      </c>
      <c r="E124" s="18"/>
      <c r="F124" s="64" t="s">
        <v>155</v>
      </c>
      <c r="G124" s="34"/>
      <c r="H124" s="18"/>
      <c r="I124" s="18"/>
      <c r="J124" s="18"/>
      <c r="K124" s="65"/>
      <c r="L124" s="66"/>
      <c r="M124" s="65"/>
      <c r="N124" s="62">
        <v>1200.0</v>
      </c>
      <c r="O124" s="65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>
      <c r="A125" s="67"/>
      <c r="B125" s="62">
        <v>0.51</v>
      </c>
      <c r="C125" s="17" t="s">
        <v>154</v>
      </c>
      <c r="D125" s="17" t="s">
        <v>139</v>
      </c>
      <c r="E125" s="18"/>
      <c r="F125" s="64" t="s">
        <v>155</v>
      </c>
      <c r="G125" s="66"/>
      <c r="H125" s="18"/>
      <c r="I125" s="18"/>
      <c r="J125" s="18"/>
      <c r="K125" s="65"/>
      <c r="L125" s="66"/>
      <c r="M125" s="65"/>
      <c r="N125" s="66"/>
      <c r="O125" s="65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>
      <c r="A126" s="63">
        <v>45058.0</v>
      </c>
      <c r="B126" s="62">
        <v>1000.0</v>
      </c>
      <c r="C126" s="17" t="s">
        <v>154</v>
      </c>
      <c r="D126" s="17" t="s">
        <v>24</v>
      </c>
      <c r="E126" s="17" t="s">
        <v>684</v>
      </c>
      <c r="F126" s="64" t="s">
        <v>149</v>
      </c>
      <c r="G126" s="62">
        <v>3600.0</v>
      </c>
      <c r="H126" s="17" t="s">
        <v>154</v>
      </c>
      <c r="I126" s="17" t="s">
        <v>219</v>
      </c>
      <c r="J126" s="18"/>
      <c r="K126" s="64" t="s">
        <v>149</v>
      </c>
      <c r="L126" s="66"/>
      <c r="M126" s="65"/>
      <c r="N126" s="66"/>
      <c r="O126" s="65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>
      <c r="A127" s="67"/>
      <c r="B127" s="62">
        <v>750.0</v>
      </c>
      <c r="C127" s="17" t="s">
        <v>204</v>
      </c>
      <c r="D127" s="17" t="s">
        <v>219</v>
      </c>
      <c r="E127" s="18"/>
      <c r="F127" s="64" t="s">
        <v>149</v>
      </c>
      <c r="G127" s="66"/>
      <c r="H127" s="18"/>
      <c r="I127" s="18"/>
      <c r="J127" s="18"/>
      <c r="K127" s="65"/>
      <c r="L127" s="66"/>
      <c r="M127" s="65"/>
      <c r="N127" s="66"/>
      <c r="O127" s="65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>
      <c r="A128" s="63">
        <v>45062.0</v>
      </c>
      <c r="B128" s="62">
        <v>4600.0</v>
      </c>
      <c r="C128" s="17" t="s">
        <v>154</v>
      </c>
      <c r="D128" s="17" t="s">
        <v>22</v>
      </c>
      <c r="E128" s="18"/>
      <c r="F128" s="64" t="s">
        <v>155</v>
      </c>
      <c r="G128" s="66"/>
      <c r="H128" s="18"/>
      <c r="I128" s="18"/>
      <c r="J128" s="18"/>
      <c r="K128" s="65"/>
      <c r="L128" s="62">
        <v>1150.0</v>
      </c>
      <c r="M128" s="65"/>
      <c r="N128" s="66"/>
      <c r="O128" s="65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>
      <c r="A129" s="67"/>
      <c r="B129" s="62">
        <v>7000.0</v>
      </c>
      <c r="C129" s="17" t="s">
        <v>154</v>
      </c>
      <c r="D129" s="17" t="s">
        <v>22</v>
      </c>
      <c r="E129" s="18"/>
      <c r="F129" s="64" t="s">
        <v>149</v>
      </c>
      <c r="G129" s="66"/>
      <c r="H129" s="18"/>
      <c r="I129" s="18"/>
      <c r="J129" s="18"/>
      <c r="K129" s="65"/>
      <c r="L129" s="66"/>
      <c r="M129" s="65"/>
      <c r="N129" s="66"/>
      <c r="O129" s="65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>
      <c r="A130" s="63">
        <v>45067.0</v>
      </c>
      <c r="B130" s="62">
        <v>1000.0</v>
      </c>
      <c r="C130" s="17" t="s">
        <v>154</v>
      </c>
      <c r="D130" s="17" t="s">
        <v>24</v>
      </c>
      <c r="E130" s="17" t="s">
        <v>685</v>
      </c>
      <c r="F130" s="64" t="s">
        <v>149</v>
      </c>
      <c r="G130" s="66"/>
      <c r="H130" s="18"/>
      <c r="I130" s="18"/>
      <c r="J130" s="18"/>
      <c r="K130" s="65"/>
      <c r="L130" s="66"/>
      <c r="M130" s="65"/>
      <c r="N130" s="66"/>
      <c r="O130" s="65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>
      <c r="A131" s="63">
        <v>45068.0</v>
      </c>
      <c r="B131" s="62">
        <v>400.0</v>
      </c>
      <c r="C131" s="17" t="s">
        <v>204</v>
      </c>
      <c r="D131" s="17" t="s">
        <v>111</v>
      </c>
      <c r="E131" s="17" t="s">
        <v>686</v>
      </c>
      <c r="F131" s="64" t="s">
        <v>149</v>
      </c>
      <c r="G131" s="62">
        <v>3000.0</v>
      </c>
      <c r="H131" s="17" t="s">
        <v>204</v>
      </c>
      <c r="I131" s="17" t="s">
        <v>160</v>
      </c>
      <c r="J131" s="17" t="s">
        <v>686</v>
      </c>
      <c r="K131" s="64" t="s">
        <v>149</v>
      </c>
      <c r="L131" s="66"/>
      <c r="M131" s="65"/>
      <c r="N131" s="66"/>
      <c r="O131" s="65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>
      <c r="A132" s="67"/>
      <c r="B132" s="62">
        <v>400.0</v>
      </c>
      <c r="C132" s="17" t="s">
        <v>204</v>
      </c>
      <c r="D132" s="17" t="s">
        <v>109</v>
      </c>
      <c r="E132" s="17" t="s">
        <v>686</v>
      </c>
      <c r="F132" s="64" t="s">
        <v>149</v>
      </c>
      <c r="G132" s="66"/>
      <c r="H132" s="18"/>
      <c r="I132" s="18"/>
      <c r="J132" s="18"/>
      <c r="K132" s="65"/>
      <c r="L132" s="66"/>
      <c r="M132" s="65"/>
      <c r="N132" s="66"/>
      <c r="O132" s="65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>
      <c r="A133" s="67"/>
      <c r="B133" s="62">
        <v>50.0</v>
      </c>
      <c r="C133" s="17" t="s">
        <v>204</v>
      </c>
      <c r="D133" s="17" t="s">
        <v>25</v>
      </c>
      <c r="E133" s="17" t="s">
        <v>686</v>
      </c>
      <c r="F133" s="64" t="s">
        <v>149</v>
      </c>
      <c r="G133" s="66"/>
      <c r="H133" s="18"/>
      <c r="I133" s="18"/>
      <c r="J133" s="18"/>
      <c r="K133" s="65"/>
      <c r="L133" s="66"/>
      <c r="M133" s="65"/>
      <c r="N133" s="66"/>
      <c r="O133" s="65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>
      <c r="A134" s="67"/>
      <c r="B134" s="62">
        <v>400.0</v>
      </c>
      <c r="C134" s="17" t="s">
        <v>204</v>
      </c>
      <c r="D134" s="17" t="s">
        <v>26</v>
      </c>
      <c r="E134" s="17" t="s">
        <v>686</v>
      </c>
      <c r="F134" s="64" t="s">
        <v>149</v>
      </c>
      <c r="G134" s="66"/>
      <c r="H134" s="18"/>
      <c r="I134" s="18"/>
      <c r="J134" s="18"/>
      <c r="K134" s="65"/>
      <c r="L134" s="66"/>
      <c r="M134" s="65"/>
      <c r="N134" s="66"/>
      <c r="O134" s="65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>
      <c r="A135" s="67"/>
      <c r="B135" s="62">
        <v>400.0</v>
      </c>
      <c r="C135" s="17" t="s">
        <v>204</v>
      </c>
      <c r="D135" s="17" t="s">
        <v>110</v>
      </c>
      <c r="E135" s="17" t="s">
        <v>686</v>
      </c>
      <c r="F135" s="64" t="s">
        <v>149</v>
      </c>
      <c r="G135" s="66"/>
      <c r="H135" s="18"/>
      <c r="I135" s="18"/>
      <c r="J135" s="18"/>
      <c r="K135" s="65"/>
      <c r="L135" s="66"/>
      <c r="M135" s="65"/>
      <c r="N135" s="66"/>
      <c r="O135" s="65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>
      <c r="A136" s="63">
        <v>45070.0</v>
      </c>
      <c r="B136" s="62">
        <v>400.0</v>
      </c>
      <c r="C136" s="17" t="s">
        <v>204</v>
      </c>
      <c r="D136" s="17" t="s">
        <v>113</v>
      </c>
      <c r="E136" s="17" t="s">
        <v>686</v>
      </c>
      <c r="F136" s="64" t="s">
        <v>149</v>
      </c>
      <c r="G136" s="62">
        <v>960.0</v>
      </c>
      <c r="H136" s="17" t="s">
        <v>154</v>
      </c>
      <c r="I136" s="17" t="s">
        <v>219</v>
      </c>
      <c r="J136" s="18"/>
      <c r="K136" s="64" t="s">
        <v>149</v>
      </c>
      <c r="M136" s="65"/>
      <c r="N136" s="66"/>
      <c r="O136" s="65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>
      <c r="A137" s="67"/>
      <c r="B137" s="62">
        <v>400.0</v>
      </c>
      <c r="C137" s="17" t="s">
        <v>204</v>
      </c>
      <c r="D137" s="17" t="s">
        <v>112</v>
      </c>
      <c r="E137" s="17" t="s">
        <v>686</v>
      </c>
      <c r="F137" s="64" t="s">
        <v>149</v>
      </c>
      <c r="G137" s="62">
        <v>5500.0</v>
      </c>
      <c r="H137" s="17" t="s">
        <v>154</v>
      </c>
      <c r="I137" s="17" t="s">
        <v>160</v>
      </c>
      <c r="J137" s="17" t="s">
        <v>687</v>
      </c>
      <c r="K137" s="64" t="s">
        <v>155</v>
      </c>
      <c r="L137" s="66"/>
      <c r="M137" s="65"/>
      <c r="N137" s="66"/>
      <c r="O137" s="65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>
      <c r="A138" s="67"/>
      <c r="B138" s="62">
        <v>200.0</v>
      </c>
      <c r="C138" s="17" t="s">
        <v>204</v>
      </c>
      <c r="D138" s="17" t="s">
        <v>219</v>
      </c>
      <c r="E138" s="18"/>
      <c r="F138" s="64" t="s">
        <v>149</v>
      </c>
      <c r="G138" s="66"/>
      <c r="H138" s="18"/>
      <c r="I138" s="18"/>
      <c r="J138" s="18"/>
      <c r="K138" s="65"/>
      <c r="L138" s="66"/>
      <c r="M138" s="65"/>
      <c r="N138" s="66"/>
      <c r="O138" s="65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>
      <c r="A139" s="63">
        <v>45071.0</v>
      </c>
      <c r="B139" s="62">
        <v>7.0</v>
      </c>
      <c r="C139" s="17" t="s">
        <v>154</v>
      </c>
      <c r="D139" s="17" t="s">
        <v>138</v>
      </c>
      <c r="E139" s="18"/>
      <c r="F139" s="64" t="s">
        <v>155</v>
      </c>
      <c r="G139" s="66"/>
      <c r="H139" s="18"/>
      <c r="I139" s="18"/>
      <c r="J139" s="18"/>
      <c r="K139" s="65"/>
      <c r="L139" s="62">
        <v>2000.0</v>
      </c>
      <c r="M139" s="65"/>
      <c r="N139" s="66"/>
      <c r="O139" s="65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>
      <c r="A140" s="63"/>
      <c r="B140" s="62">
        <v>2.63</v>
      </c>
      <c r="C140" s="17" t="s">
        <v>154</v>
      </c>
      <c r="D140" s="17" t="s">
        <v>138</v>
      </c>
      <c r="E140" s="18"/>
      <c r="F140" s="64" t="s">
        <v>155</v>
      </c>
      <c r="G140" s="66"/>
      <c r="H140" s="18"/>
      <c r="I140" s="18"/>
      <c r="J140" s="18"/>
      <c r="K140" s="65"/>
      <c r="L140" s="62">
        <v>750.0</v>
      </c>
      <c r="M140" s="65"/>
      <c r="N140" s="66"/>
      <c r="O140" s="65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>
      <c r="A141" s="63">
        <v>45073.0</v>
      </c>
      <c r="B141" s="62">
        <v>600.0</v>
      </c>
      <c r="C141" s="17" t="s">
        <v>154</v>
      </c>
      <c r="D141" s="17" t="s">
        <v>24</v>
      </c>
      <c r="E141" s="17" t="s">
        <v>688</v>
      </c>
      <c r="F141" s="64" t="s">
        <v>149</v>
      </c>
      <c r="G141" s="66"/>
      <c r="H141" s="18"/>
      <c r="I141" s="18"/>
      <c r="J141" s="18"/>
      <c r="K141" s="65"/>
      <c r="L141" s="66"/>
      <c r="M141" s="65"/>
      <c r="N141" s="66"/>
      <c r="O141" s="65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>
      <c r="A142" s="67"/>
      <c r="B142" s="62">
        <v>250.0</v>
      </c>
      <c r="C142" s="17" t="s">
        <v>154</v>
      </c>
      <c r="D142" s="17" t="s">
        <v>25</v>
      </c>
      <c r="E142" s="17" t="s">
        <v>689</v>
      </c>
      <c r="F142" s="64" t="s">
        <v>149</v>
      </c>
      <c r="G142" s="66"/>
      <c r="H142" s="18"/>
      <c r="I142" s="18"/>
      <c r="J142" s="18"/>
      <c r="K142" s="65"/>
      <c r="L142" s="66"/>
      <c r="M142" s="65"/>
      <c r="N142" s="66"/>
      <c r="O142" s="65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>
      <c r="A143" s="63">
        <v>45074.0</v>
      </c>
      <c r="B143" s="62">
        <v>4.38</v>
      </c>
      <c r="C143" s="17" t="s">
        <v>154</v>
      </c>
      <c r="D143" s="17" t="s">
        <v>138</v>
      </c>
      <c r="E143" s="18"/>
      <c r="F143" s="64" t="s">
        <v>155</v>
      </c>
      <c r="G143" s="66"/>
      <c r="H143" s="18"/>
      <c r="I143" s="18"/>
      <c r="J143" s="18"/>
      <c r="K143" s="65"/>
      <c r="L143" s="62">
        <v>1250.0</v>
      </c>
      <c r="M143" s="65"/>
      <c r="N143" s="66"/>
      <c r="O143" s="65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>
      <c r="A144" s="63">
        <v>45077.0</v>
      </c>
      <c r="B144" s="62">
        <v>35.0</v>
      </c>
      <c r="C144" s="17" t="s">
        <v>154</v>
      </c>
      <c r="D144" s="17" t="s">
        <v>145</v>
      </c>
      <c r="E144" s="18"/>
      <c r="F144" s="64" t="s">
        <v>155</v>
      </c>
      <c r="G144" s="66"/>
      <c r="H144" s="18"/>
      <c r="I144" s="18"/>
      <c r="J144" s="18"/>
      <c r="K144" s="65"/>
      <c r="L144" s="66"/>
      <c r="M144" s="65"/>
      <c r="N144" s="66"/>
      <c r="O144" s="65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>
      <c r="A145" s="120"/>
      <c r="B145" s="118"/>
      <c r="C145" s="25"/>
      <c r="D145" s="25"/>
      <c r="E145" s="25"/>
      <c r="F145" s="119"/>
      <c r="G145" s="118"/>
      <c r="H145" s="25"/>
      <c r="I145" s="25"/>
      <c r="J145" s="25"/>
      <c r="K145" s="119"/>
      <c r="L145" s="118"/>
      <c r="M145" s="119"/>
      <c r="N145" s="118"/>
      <c r="O145" s="119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>
      <c r="A146" s="120"/>
      <c r="B146" s="118"/>
      <c r="C146" s="25"/>
      <c r="D146" s="25"/>
      <c r="E146" s="25"/>
      <c r="F146" s="119"/>
      <c r="G146" s="118"/>
      <c r="H146" s="25"/>
      <c r="I146" s="25"/>
      <c r="J146" s="25"/>
      <c r="K146" s="119"/>
      <c r="L146" s="118"/>
      <c r="M146" s="119"/>
      <c r="N146" s="118"/>
      <c r="O146" s="119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>
      <c r="A147" s="90">
        <v>45079.0</v>
      </c>
      <c r="B147" s="62">
        <v>600.0</v>
      </c>
      <c r="C147" s="17" t="s">
        <v>154</v>
      </c>
      <c r="D147" s="17" t="s">
        <v>24</v>
      </c>
      <c r="E147" s="17" t="s">
        <v>688</v>
      </c>
      <c r="F147" s="64" t="s">
        <v>155</v>
      </c>
      <c r="G147" s="62">
        <v>100.0</v>
      </c>
      <c r="H147" s="17" t="s">
        <v>154</v>
      </c>
      <c r="I147" s="17" t="s">
        <v>651</v>
      </c>
      <c r="J147" s="17" t="s">
        <v>690</v>
      </c>
      <c r="K147" s="64" t="s">
        <v>149</v>
      </c>
      <c r="L147" s="66"/>
      <c r="M147" s="65"/>
      <c r="N147" s="66"/>
      <c r="O147" s="65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>
      <c r="A148" s="67"/>
      <c r="B148" s="62">
        <v>0.51</v>
      </c>
      <c r="C148" s="17" t="s">
        <v>154</v>
      </c>
      <c r="D148" s="17" t="s">
        <v>139</v>
      </c>
      <c r="E148" s="18"/>
      <c r="F148" s="64" t="s">
        <v>155</v>
      </c>
      <c r="G148" s="66"/>
      <c r="H148" s="18"/>
      <c r="I148" s="18"/>
      <c r="J148" s="18"/>
      <c r="K148" s="65"/>
      <c r="L148" s="66"/>
      <c r="M148" s="65"/>
      <c r="N148" s="66"/>
      <c r="O148" s="65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>
      <c r="A149" s="90">
        <v>45080.0</v>
      </c>
      <c r="B149" s="69">
        <v>42.73</v>
      </c>
      <c r="C149" s="17" t="s">
        <v>154</v>
      </c>
      <c r="D149" s="17" t="s">
        <v>146</v>
      </c>
      <c r="E149" s="18"/>
      <c r="F149" s="64" t="s">
        <v>155</v>
      </c>
      <c r="G149" s="66"/>
      <c r="H149" s="18"/>
      <c r="I149" s="18"/>
      <c r="J149" s="18"/>
      <c r="K149" s="65"/>
      <c r="L149" s="62">
        <v>400.0</v>
      </c>
      <c r="M149" s="65"/>
      <c r="N149" s="66"/>
      <c r="O149" s="65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>
      <c r="A150" s="67"/>
      <c r="B150" s="66"/>
      <c r="C150" s="18"/>
      <c r="D150" s="18"/>
      <c r="E150" s="18"/>
      <c r="F150" s="65"/>
      <c r="G150" s="66"/>
      <c r="H150" s="18"/>
      <c r="I150" s="18"/>
      <c r="J150" s="18"/>
      <c r="K150" s="65"/>
      <c r="L150" s="62">
        <v>50.0</v>
      </c>
      <c r="M150" s="65"/>
      <c r="N150" s="66"/>
      <c r="O150" s="65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>
      <c r="A151" s="67"/>
      <c r="B151" s="66"/>
      <c r="C151" s="18"/>
      <c r="D151" s="18"/>
      <c r="E151" s="18"/>
      <c r="F151" s="65"/>
      <c r="G151" s="66"/>
      <c r="H151" s="18"/>
      <c r="I151" s="18"/>
      <c r="J151" s="18"/>
      <c r="K151" s="65"/>
      <c r="L151" s="62">
        <v>100.0</v>
      </c>
      <c r="M151" s="65"/>
      <c r="N151" s="66"/>
      <c r="O151" s="65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>
      <c r="A152" s="90">
        <v>45081.0</v>
      </c>
      <c r="B152" s="62">
        <v>1000.0</v>
      </c>
      <c r="C152" s="17" t="s">
        <v>154</v>
      </c>
      <c r="D152" s="17" t="s">
        <v>24</v>
      </c>
      <c r="E152" s="17" t="s">
        <v>654</v>
      </c>
      <c r="F152" s="64" t="s">
        <v>149</v>
      </c>
      <c r="G152" s="66"/>
      <c r="H152" s="18"/>
      <c r="I152" s="18"/>
      <c r="J152" s="18"/>
      <c r="K152" s="65"/>
      <c r="L152" s="66"/>
      <c r="M152" s="65"/>
      <c r="N152" s="66"/>
      <c r="O152" s="65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>
      <c r="A153" s="67"/>
      <c r="B153" s="62">
        <v>1440.0</v>
      </c>
      <c r="C153" s="17" t="s">
        <v>154</v>
      </c>
      <c r="D153" s="17" t="s">
        <v>691</v>
      </c>
      <c r="E153" s="17" t="s">
        <v>692</v>
      </c>
      <c r="F153" s="64" t="s">
        <v>149</v>
      </c>
      <c r="G153" s="66"/>
      <c r="H153" s="18"/>
      <c r="I153" s="18"/>
      <c r="J153" s="18"/>
      <c r="K153" s="65"/>
      <c r="L153" s="66"/>
      <c r="M153" s="65"/>
      <c r="N153" s="66"/>
      <c r="O153" s="65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>
      <c r="A154" s="67"/>
      <c r="B154" s="62">
        <v>900.0</v>
      </c>
      <c r="C154" s="17" t="s">
        <v>154</v>
      </c>
      <c r="D154" s="17" t="s">
        <v>244</v>
      </c>
      <c r="E154" s="18"/>
      <c r="F154" s="64" t="s">
        <v>149</v>
      </c>
      <c r="G154" s="66"/>
      <c r="H154" s="18"/>
      <c r="I154" s="18"/>
      <c r="J154" s="18"/>
      <c r="K154" s="65"/>
      <c r="L154" s="66"/>
      <c r="M154" s="65"/>
      <c r="N154" s="66"/>
      <c r="O154" s="65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>
      <c r="A155" s="90">
        <v>45082.0</v>
      </c>
      <c r="B155" s="62">
        <v>350.0</v>
      </c>
      <c r="C155" s="17" t="s">
        <v>204</v>
      </c>
      <c r="D155" s="17" t="s">
        <v>111</v>
      </c>
      <c r="E155" s="17" t="s">
        <v>654</v>
      </c>
      <c r="F155" s="64" t="s">
        <v>149</v>
      </c>
      <c r="G155" s="62">
        <v>2400.0</v>
      </c>
      <c r="H155" s="17" t="s">
        <v>204</v>
      </c>
      <c r="I155" s="17" t="s">
        <v>160</v>
      </c>
      <c r="J155" s="17" t="s">
        <v>654</v>
      </c>
      <c r="K155" s="64" t="s">
        <v>149</v>
      </c>
      <c r="L155" s="62">
        <v>200.0</v>
      </c>
      <c r="M155" s="65"/>
      <c r="N155" s="66"/>
      <c r="O155" s="65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>
      <c r="A156" s="67"/>
      <c r="B156" s="62">
        <v>350.0</v>
      </c>
      <c r="C156" s="17" t="s">
        <v>204</v>
      </c>
      <c r="D156" s="17" t="s">
        <v>109</v>
      </c>
      <c r="E156" s="17" t="s">
        <v>654</v>
      </c>
      <c r="F156" s="64" t="s">
        <v>149</v>
      </c>
      <c r="G156" s="66"/>
      <c r="H156" s="18"/>
      <c r="I156" s="18"/>
      <c r="J156" s="18"/>
      <c r="K156" s="65"/>
      <c r="L156" s="66"/>
      <c r="M156" s="65"/>
      <c r="N156" s="66"/>
      <c r="O156" s="65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>
      <c r="A157" s="67"/>
      <c r="B157" s="62">
        <v>2.5</v>
      </c>
      <c r="C157" s="17" t="s">
        <v>154</v>
      </c>
      <c r="D157" s="17" t="s">
        <v>138</v>
      </c>
      <c r="F157" s="64" t="s">
        <v>155</v>
      </c>
      <c r="G157" s="66"/>
      <c r="H157" s="18"/>
      <c r="I157" s="18"/>
      <c r="J157" s="18"/>
      <c r="K157" s="65"/>
      <c r="L157" s="66"/>
      <c r="M157" s="65"/>
      <c r="N157" s="66"/>
      <c r="O157" s="65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>
      <c r="A158" s="67"/>
      <c r="B158" s="62">
        <v>2.0</v>
      </c>
      <c r="C158" s="17" t="s">
        <v>154</v>
      </c>
      <c r="D158" s="17" t="s">
        <v>138</v>
      </c>
      <c r="F158" s="64" t="s">
        <v>155</v>
      </c>
      <c r="G158" s="34"/>
      <c r="J158" s="34"/>
      <c r="K158" s="65"/>
      <c r="M158" s="65"/>
      <c r="N158" s="66"/>
      <c r="O158" s="65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>
      <c r="A159" s="90">
        <v>45083.0</v>
      </c>
      <c r="B159" s="62">
        <v>350.0</v>
      </c>
      <c r="C159" s="17" t="s">
        <v>204</v>
      </c>
      <c r="D159" s="17" t="s">
        <v>219</v>
      </c>
      <c r="F159" s="64" t="s">
        <v>149</v>
      </c>
      <c r="G159" s="62">
        <v>1500.0</v>
      </c>
      <c r="H159" s="17" t="s">
        <v>154</v>
      </c>
      <c r="I159" s="17" t="s">
        <v>9</v>
      </c>
      <c r="J159" s="17" t="s">
        <v>693</v>
      </c>
      <c r="K159" s="64" t="s">
        <v>155</v>
      </c>
      <c r="M159" s="65"/>
      <c r="N159" s="62">
        <v>1600.0</v>
      </c>
      <c r="O159" s="65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>
      <c r="A160" s="67"/>
      <c r="B160" s="34"/>
      <c r="G160" s="62">
        <v>1715.0</v>
      </c>
      <c r="H160" s="17" t="s">
        <v>154</v>
      </c>
      <c r="I160" s="17" t="s">
        <v>219</v>
      </c>
      <c r="J160" s="18"/>
      <c r="K160" s="64" t="s">
        <v>149</v>
      </c>
      <c r="M160" s="65"/>
      <c r="N160" s="66"/>
      <c r="O160" s="65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>
      <c r="A161" s="90">
        <v>45085.0</v>
      </c>
      <c r="B161" s="62">
        <v>350.0</v>
      </c>
      <c r="C161" s="17" t="s">
        <v>204</v>
      </c>
      <c r="D161" s="17" t="s">
        <v>112</v>
      </c>
      <c r="E161" s="17" t="s">
        <v>654</v>
      </c>
      <c r="F161" s="64" t="s">
        <v>149</v>
      </c>
      <c r="G161" s="34"/>
      <c r="J161" s="34"/>
      <c r="K161" s="65"/>
      <c r="M161" s="65"/>
      <c r="N161" s="66"/>
      <c r="O161" s="65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>
      <c r="A162" s="67"/>
      <c r="B162" s="62">
        <v>350.0</v>
      </c>
      <c r="C162" s="17" t="s">
        <v>204</v>
      </c>
      <c r="D162" s="17" t="s">
        <v>113</v>
      </c>
      <c r="E162" s="17" t="s">
        <v>654</v>
      </c>
      <c r="F162" s="64" t="s">
        <v>149</v>
      </c>
      <c r="G162" s="34"/>
      <c r="J162" s="34"/>
      <c r="K162" s="65"/>
      <c r="M162" s="65"/>
      <c r="N162" s="66"/>
      <c r="O162" s="65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>
      <c r="A163" s="67"/>
      <c r="B163" s="62">
        <v>350.0</v>
      </c>
      <c r="C163" s="17" t="s">
        <v>204</v>
      </c>
      <c r="D163" s="17" t="s">
        <v>110</v>
      </c>
      <c r="E163" s="17" t="s">
        <v>654</v>
      </c>
      <c r="F163" s="64" t="s">
        <v>149</v>
      </c>
      <c r="G163" s="34"/>
      <c r="J163" s="34"/>
      <c r="K163" s="65"/>
      <c r="M163" s="65"/>
      <c r="N163" s="66"/>
      <c r="O163" s="65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>
      <c r="A164" s="67"/>
      <c r="B164" s="62">
        <v>500.0</v>
      </c>
      <c r="C164" s="17" t="s">
        <v>154</v>
      </c>
      <c r="D164" s="17" t="s">
        <v>24</v>
      </c>
      <c r="E164" s="17" t="s">
        <v>694</v>
      </c>
      <c r="F164" s="64" t="s">
        <v>149</v>
      </c>
      <c r="G164" s="66"/>
      <c r="H164" s="18"/>
      <c r="I164" s="18"/>
      <c r="J164" s="18"/>
      <c r="K164" s="65"/>
      <c r="L164" s="66"/>
      <c r="M164" s="65"/>
      <c r="N164" s="66"/>
      <c r="O164" s="65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>
      <c r="A165" s="90">
        <v>45086.0</v>
      </c>
      <c r="B165" s="62">
        <v>1500.0</v>
      </c>
      <c r="C165" s="17" t="s">
        <v>154</v>
      </c>
      <c r="D165" s="17" t="s">
        <v>24</v>
      </c>
      <c r="E165" s="17" t="s">
        <v>695</v>
      </c>
      <c r="F165" s="64" t="s">
        <v>155</v>
      </c>
      <c r="G165" s="66"/>
      <c r="H165" s="18"/>
      <c r="I165" s="18"/>
      <c r="J165" s="18"/>
      <c r="K165" s="65"/>
      <c r="L165" s="66"/>
      <c r="M165" s="65"/>
      <c r="N165" s="66"/>
      <c r="O165" s="65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>
      <c r="A166" s="67"/>
      <c r="B166" s="62">
        <v>0.51</v>
      </c>
      <c r="C166" s="17" t="s">
        <v>154</v>
      </c>
      <c r="D166" s="17" t="s">
        <v>139</v>
      </c>
      <c r="E166" s="18"/>
      <c r="F166" s="64" t="s">
        <v>155</v>
      </c>
      <c r="G166" s="66"/>
      <c r="H166" s="18"/>
      <c r="I166" s="18"/>
      <c r="J166" s="18"/>
      <c r="K166" s="65"/>
      <c r="L166" s="66"/>
      <c r="M166" s="65"/>
      <c r="N166" s="66"/>
      <c r="O166" s="65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>
      <c r="A167" s="90">
        <v>45088.0</v>
      </c>
      <c r="B167" s="62">
        <v>300.0</v>
      </c>
      <c r="C167" s="17" t="s">
        <v>154</v>
      </c>
      <c r="D167" s="17" t="s">
        <v>24</v>
      </c>
      <c r="E167" s="17" t="s">
        <v>696</v>
      </c>
      <c r="F167" s="64" t="s">
        <v>149</v>
      </c>
      <c r="G167" s="34"/>
      <c r="J167" s="34"/>
      <c r="L167" s="66"/>
      <c r="M167" s="65"/>
      <c r="N167" s="66"/>
      <c r="O167" s="65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>
      <c r="A168" s="67"/>
      <c r="B168" s="62">
        <v>1000.0</v>
      </c>
      <c r="C168" s="17" t="s">
        <v>154</v>
      </c>
      <c r="D168" s="17" t="s">
        <v>24</v>
      </c>
      <c r="E168" s="17" t="s">
        <v>697</v>
      </c>
      <c r="F168" s="64" t="s">
        <v>149</v>
      </c>
      <c r="G168" s="34"/>
      <c r="J168" s="34"/>
      <c r="L168" s="66"/>
      <c r="M168" s="65"/>
      <c r="N168" s="66"/>
      <c r="O168" s="65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>
      <c r="A169" s="67"/>
      <c r="B169" s="62">
        <v>50.0</v>
      </c>
      <c r="C169" s="17" t="s">
        <v>204</v>
      </c>
      <c r="D169" s="17" t="s">
        <v>25</v>
      </c>
      <c r="E169" s="17" t="s">
        <v>698</v>
      </c>
      <c r="F169" s="64" t="s">
        <v>149</v>
      </c>
      <c r="G169" s="34"/>
      <c r="J169" s="34"/>
      <c r="L169" s="66"/>
      <c r="M169" s="65"/>
      <c r="N169" s="66"/>
      <c r="O169" s="65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>
      <c r="A170" s="90">
        <v>45089.0</v>
      </c>
      <c r="B170" s="62">
        <v>500.0</v>
      </c>
      <c r="C170" s="17" t="s">
        <v>204</v>
      </c>
      <c r="D170" s="17" t="s">
        <v>111</v>
      </c>
      <c r="E170" s="17" t="s">
        <v>698</v>
      </c>
      <c r="F170" s="64" t="s">
        <v>149</v>
      </c>
      <c r="G170" s="62">
        <v>3850.0</v>
      </c>
      <c r="H170" s="17" t="s">
        <v>204</v>
      </c>
      <c r="I170" s="17" t="s">
        <v>160</v>
      </c>
      <c r="J170" s="17" t="s">
        <v>698</v>
      </c>
      <c r="K170" s="64" t="s">
        <v>149</v>
      </c>
      <c r="L170" s="62">
        <v>900.0</v>
      </c>
      <c r="M170" s="65"/>
      <c r="N170" s="66"/>
      <c r="O170" s="65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>
      <c r="A171" s="67"/>
      <c r="B171" s="62">
        <v>500.0</v>
      </c>
      <c r="C171" s="17" t="s">
        <v>204</v>
      </c>
      <c r="D171" s="17" t="s">
        <v>109</v>
      </c>
      <c r="E171" s="17" t="s">
        <v>698</v>
      </c>
      <c r="F171" s="64" t="s">
        <v>149</v>
      </c>
      <c r="G171" s="66"/>
      <c r="H171" s="18"/>
      <c r="I171" s="18"/>
      <c r="J171" s="18"/>
      <c r="K171" s="65"/>
      <c r="L171" s="62">
        <v>800.0</v>
      </c>
      <c r="M171" s="65"/>
      <c r="N171" s="66"/>
      <c r="O171" s="65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>
      <c r="A172" s="67"/>
      <c r="B172" s="62">
        <v>650.0</v>
      </c>
      <c r="C172" s="17" t="s">
        <v>204</v>
      </c>
      <c r="D172" s="17" t="s">
        <v>26</v>
      </c>
      <c r="E172" s="17" t="s">
        <v>698</v>
      </c>
      <c r="F172" s="65"/>
      <c r="G172" s="66"/>
      <c r="H172" s="18"/>
      <c r="I172" s="18"/>
      <c r="J172" s="18"/>
      <c r="K172" s="65"/>
      <c r="L172" s="62"/>
      <c r="M172" s="65"/>
      <c r="N172" s="66"/>
      <c r="O172" s="65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>
      <c r="A173" s="67"/>
      <c r="B173" s="62">
        <v>500.0</v>
      </c>
      <c r="C173" s="17" t="s">
        <v>204</v>
      </c>
      <c r="D173" s="17" t="s">
        <v>110</v>
      </c>
      <c r="E173" s="17" t="s">
        <v>698</v>
      </c>
      <c r="F173" s="64" t="s">
        <v>149</v>
      </c>
      <c r="G173" s="66"/>
      <c r="H173" s="18"/>
      <c r="I173" s="18"/>
      <c r="J173" s="18"/>
      <c r="K173" s="65"/>
      <c r="L173" s="66"/>
      <c r="M173" s="65"/>
      <c r="N173" s="66"/>
      <c r="O173" s="65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>
      <c r="A174" s="67"/>
      <c r="B174" s="62">
        <v>500.0</v>
      </c>
      <c r="C174" s="17" t="s">
        <v>204</v>
      </c>
      <c r="D174" s="17" t="s">
        <v>113</v>
      </c>
      <c r="E174" s="17" t="s">
        <v>698</v>
      </c>
      <c r="F174" s="64" t="s">
        <v>149</v>
      </c>
      <c r="G174" s="66"/>
      <c r="H174" s="18"/>
      <c r="I174" s="18"/>
      <c r="J174" s="18"/>
      <c r="K174" s="65"/>
      <c r="L174" s="66"/>
      <c r="M174" s="65"/>
      <c r="N174" s="66"/>
      <c r="O174" s="65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>
      <c r="A175" s="67"/>
      <c r="B175" s="62">
        <v>500.0</v>
      </c>
      <c r="C175" s="17" t="s">
        <v>204</v>
      </c>
      <c r="D175" s="17" t="s">
        <v>112</v>
      </c>
      <c r="E175" s="17" t="s">
        <v>698</v>
      </c>
      <c r="F175" s="64" t="s">
        <v>149</v>
      </c>
      <c r="G175" s="66"/>
      <c r="H175" s="18"/>
      <c r="I175" s="18"/>
      <c r="J175" s="18"/>
      <c r="K175" s="65"/>
      <c r="L175" s="66"/>
      <c r="M175" s="65"/>
      <c r="N175" s="66"/>
      <c r="O175" s="65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>
      <c r="A176" s="67"/>
      <c r="B176" s="62">
        <v>2.5</v>
      </c>
      <c r="C176" s="17" t="s">
        <v>154</v>
      </c>
      <c r="D176" s="17" t="s">
        <v>138</v>
      </c>
      <c r="F176" s="64" t="s">
        <v>155</v>
      </c>
      <c r="G176" s="34"/>
      <c r="J176" s="34"/>
      <c r="L176" s="66"/>
      <c r="M176" s="65"/>
      <c r="N176" s="66"/>
      <c r="O176" s="65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>
      <c r="A177" s="67"/>
      <c r="B177" s="62">
        <v>9.0</v>
      </c>
      <c r="C177" s="17" t="s">
        <v>154</v>
      </c>
      <c r="D177" s="17" t="s">
        <v>138</v>
      </c>
      <c r="F177" s="64" t="s">
        <v>155</v>
      </c>
      <c r="G177" s="34"/>
      <c r="J177" s="34"/>
      <c r="L177" s="66"/>
      <c r="M177" s="65"/>
      <c r="N177" s="66"/>
      <c r="O177" s="65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>
      <c r="A178" s="90">
        <v>45094.0</v>
      </c>
      <c r="B178" s="62">
        <v>500.0</v>
      </c>
      <c r="C178" s="17" t="s">
        <v>154</v>
      </c>
      <c r="D178" s="17" t="s">
        <v>24</v>
      </c>
      <c r="E178" s="17" t="s">
        <v>699</v>
      </c>
      <c r="F178" s="64" t="s">
        <v>149</v>
      </c>
      <c r="G178" s="34"/>
      <c r="J178" s="34"/>
      <c r="L178" s="66"/>
      <c r="M178" s="65"/>
      <c r="N178" s="66"/>
      <c r="O178" s="65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>
      <c r="A179" s="90"/>
      <c r="B179" s="62">
        <v>400.0</v>
      </c>
      <c r="C179" s="17" t="s">
        <v>154</v>
      </c>
      <c r="D179" s="17" t="s">
        <v>24</v>
      </c>
      <c r="E179" s="17" t="s">
        <v>700</v>
      </c>
      <c r="F179" s="64" t="s">
        <v>149</v>
      </c>
      <c r="G179" s="66"/>
      <c r="H179" s="18"/>
      <c r="I179" s="18"/>
      <c r="J179" s="18"/>
      <c r="K179" s="65"/>
      <c r="L179" s="66"/>
      <c r="M179" s="65"/>
      <c r="N179" s="66"/>
      <c r="O179" s="65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>
      <c r="A180" s="63">
        <v>45095.0</v>
      </c>
      <c r="B180" s="62">
        <v>40.7</v>
      </c>
      <c r="C180" s="17" t="s">
        <v>154</v>
      </c>
      <c r="D180" s="17" t="s">
        <v>345</v>
      </c>
      <c r="E180" s="18"/>
      <c r="F180" s="64" t="s">
        <v>155</v>
      </c>
      <c r="G180" s="34"/>
      <c r="J180" s="34"/>
      <c r="L180" s="66"/>
      <c r="M180" s="65"/>
      <c r="N180" s="66"/>
      <c r="O180" s="65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>
      <c r="A181" s="63">
        <v>45096.0</v>
      </c>
      <c r="B181" s="69">
        <v>2000.0</v>
      </c>
      <c r="C181" s="17" t="s">
        <v>154</v>
      </c>
      <c r="D181" s="17" t="s">
        <v>111</v>
      </c>
      <c r="E181" s="45" t="s">
        <v>701</v>
      </c>
      <c r="F181" s="64" t="s">
        <v>149</v>
      </c>
      <c r="G181" s="62">
        <v>14626.0</v>
      </c>
      <c r="H181" s="17" t="s">
        <v>154</v>
      </c>
      <c r="I181" s="17" t="s">
        <v>160</v>
      </c>
      <c r="J181" s="17" t="s">
        <v>701</v>
      </c>
      <c r="K181" s="64" t="s">
        <v>155</v>
      </c>
      <c r="L181" s="62">
        <v>2000.0</v>
      </c>
      <c r="M181" s="65"/>
      <c r="N181" s="66"/>
      <c r="O181" s="65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>
      <c r="A182" s="67"/>
      <c r="B182" s="34"/>
      <c r="G182" s="62">
        <v>4955.0</v>
      </c>
      <c r="H182" s="17" t="s">
        <v>154</v>
      </c>
      <c r="I182" s="17" t="s">
        <v>160</v>
      </c>
      <c r="J182" s="17" t="s">
        <v>702</v>
      </c>
      <c r="K182" s="64" t="s">
        <v>155</v>
      </c>
      <c r="L182" s="66"/>
      <c r="M182" s="65"/>
      <c r="N182" s="66"/>
      <c r="O182" s="65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>
      <c r="A183" s="63">
        <v>45098.0</v>
      </c>
      <c r="B183" s="69">
        <v>1500.0</v>
      </c>
      <c r="C183" s="17" t="s">
        <v>154</v>
      </c>
      <c r="D183" s="17" t="s">
        <v>110</v>
      </c>
      <c r="E183" s="45" t="s">
        <v>703</v>
      </c>
      <c r="F183" s="64" t="s">
        <v>149</v>
      </c>
      <c r="G183" s="66"/>
      <c r="H183" s="18"/>
      <c r="I183" s="18"/>
      <c r="J183" s="18"/>
      <c r="K183" s="65"/>
      <c r="L183" s="66"/>
      <c r="M183" s="65"/>
      <c r="N183" s="66"/>
      <c r="O183" s="65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>
      <c r="A184" s="63">
        <v>45099.0</v>
      </c>
      <c r="B184" s="62">
        <v>2000.0</v>
      </c>
      <c r="C184" s="17" t="s">
        <v>154</v>
      </c>
      <c r="D184" s="17" t="s">
        <v>109</v>
      </c>
      <c r="E184" s="45" t="s">
        <v>701</v>
      </c>
      <c r="F184" s="64" t="s">
        <v>149</v>
      </c>
      <c r="G184" s="66"/>
      <c r="H184" s="18"/>
      <c r="I184" s="18"/>
      <c r="J184" s="18"/>
      <c r="K184" s="65"/>
      <c r="L184" s="62">
        <v>5500.0</v>
      </c>
      <c r="M184" s="65"/>
      <c r="N184" s="66"/>
      <c r="O184" s="65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>
      <c r="A185" s="67"/>
      <c r="B185" s="62">
        <v>500.0</v>
      </c>
      <c r="C185" s="17" t="s">
        <v>154</v>
      </c>
      <c r="D185" s="17" t="s">
        <v>109</v>
      </c>
      <c r="E185" s="17" t="s">
        <v>702</v>
      </c>
      <c r="F185" s="64" t="s">
        <v>149</v>
      </c>
      <c r="G185" s="66"/>
      <c r="H185" s="18"/>
      <c r="I185" s="18"/>
      <c r="J185" s="18"/>
      <c r="K185" s="65"/>
      <c r="L185" s="66"/>
      <c r="M185" s="65"/>
      <c r="N185" s="66"/>
      <c r="O185" s="65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>
      <c r="A186" s="67"/>
      <c r="B186" s="62">
        <v>500.0</v>
      </c>
      <c r="C186" s="17" t="s">
        <v>154</v>
      </c>
      <c r="D186" s="17" t="s">
        <v>111</v>
      </c>
      <c r="E186" s="17" t="s">
        <v>702</v>
      </c>
      <c r="F186" s="64" t="s">
        <v>149</v>
      </c>
      <c r="G186" s="66"/>
      <c r="H186" s="18"/>
      <c r="I186" s="18"/>
      <c r="J186" s="18"/>
      <c r="K186" s="65"/>
      <c r="L186" s="66"/>
      <c r="M186" s="65"/>
      <c r="N186" s="66"/>
      <c r="O186" s="65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>
      <c r="A187" s="67"/>
      <c r="B187" s="66"/>
      <c r="C187" s="18"/>
      <c r="D187" s="18"/>
      <c r="E187" s="18"/>
      <c r="F187" s="65"/>
      <c r="G187" s="66"/>
      <c r="H187" s="18"/>
      <c r="I187" s="18"/>
      <c r="J187" s="18"/>
      <c r="K187" s="65"/>
      <c r="L187" s="66"/>
      <c r="M187" s="65"/>
      <c r="N187" s="66"/>
      <c r="O187" s="65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>
      <c r="A188" s="63">
        <v>45100.0</v>
      </c>
      <c r="B188" s="62">
        <v>500.0</v>
      </c>
      <c r="C188" s="17" t="s">
        <v>154</v>
      </c>
      <c r="D188" s="17" t="s">
        <v>24</v>
      </c>
      <c r="E188" s="17" t="s">
        <v>704</v>
      </c>
      <c r="F188" s="64" t="s">
        <v>149</v>
      </c>
      <c r="G188" s="66"/>
      <c r="H188" s="18"/>
      <c r="I188" s="18"/>
      <c r="J188" s="18"/>
      <c r="K188" s="65"/>
      <c r="L188" s="66"/>
      <c r="M188" s="65"/>
      <c r="N188" s="66"/>
      <c r="O188" s="65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>
      <c r="A189" s="63">
        <v>45102.0</v>
      </c>
      <c r="B189" s="62">
        <v>100.0</v>
      </c>
      <c r="C189" s="17" t="s">
        <v>154</v>
      </c>
      <c r="D189" s="17" t="s">
        <v>25</v>
      </c>
      <c r="E189" s="18"/>
      <c r="F189" s="64" t="s">
        <v>149</v>
      </c>
      <c r="G189" s="62">
        <v>3000.0</v>
      </c>
      <c r="H189" s="17" t="s">
        <v>154</v>
      </c>
      <c r="I189" s="17" t="s">
        <v>160</v>
      </c>
      <c r="J189" s="17" t="s">
        <v>705</v>
      </c>
      <c r="K189" s="64" t="s">
        <v>149</v>
      </c>
      <c r="L189" s="66"/>
      <c r="M189" s="65"/>
      <c r="N189" s="66"/>
      <c r="O189" s="65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>
      <c r="B190" s="62">
        <v>300.0</v>
      </c>
      <c r="C190" s="17" t="s">
        <v>154</v>
      </c>
      <c r="D190" s="17" t="s">
        <v>157</v>
      </c>
      <c r="E190" s="17" t="s">
        <v>706</v>
      </c>
      <c r="F190" s="64" t="s">
        <v>149</v>
      </c>
      <c r="G190" s="66"/>
      <c r="H190" s="18"/>
      <c r="I190" s="18"/>
      <c r="J190" s="18"/>
      <c r="K190" s="65"/>
      <c r="L190" s="66"/>
      <c r="M190" s="65"/>
      <c r="N190" s="66"/>
      <c r="O190" s="65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>
      <c r="B191" s="62">
        <v>200.0</v>
      </c>
      <c r="C191" s="17" t="s">
        <v>154</v>
      </c>
      <c r="D191" s="17" t="s">
        <v>25</v>
      </c>
      <c r="E191" s="17" t="s">
        <v>707</v>
      </c>
      <c r="F191" s="64" t="s">
        <v>149</v>
      </c>
      <c r="G191" s="66"/>
      <c r="H191" s="18"/>
      <c r="I191" s="18"/>
      <c r="J191" s="18"/>
      <c r="K191" s="65"/>
      <c r="L191" s="66"/>
      <c r="M191" s="65"/>
      <c r="N191" s="66"/>
      <c r="O191" s="65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>
      <c r="B192" s="62">
        <v>500.0</v>
      </c>
      <c r="C192" s="17" t="s">
        <v>154</v>
      </c>
      <c r="D192" s="17" t="s">
        <v>24</v>
      </c>
      <c r="E192" s="17" t="s">
        <v>708</v>
      </c>
      <c r="F192" s="64" t="s">
        <v>149</v>
      </c>
      <c r="G192" s="66"/>
      <c r="H192" s="18"/>
      <c r="I192" s="18"/>
      <c r="J192" s="18"/>
      <c r="K192" s="65"/>
      <c r="L192" s="66"/>
      <c r="M192" s="65"/>
      <c r="N192" s="66"/>
      <c r="O192" s="65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>
      <c r="B193" s="62">
        <v>500.0</v>
      </c>
      <c r="C193" s="17" t="s">
        <v>154</v>
      </c>
      <c r="D193" s="17" t="s">
        <v>24</v>
      </c>
      <c r="E193" s="17" t="s">
        <v>709</v>
      </c>
      <c r="F193" s="64" t="s">
        <v>149</v>
      </c>
      <c r="G193" s="66"/>
      <c r="H193" s="18"/>
      <c r="I193" s="18"/>
      <c r="J193" s="18"/>
      <c r="K193" s="65"/>
      <c r="L193" s="66"/>
      <c r="M193" s="65"/>
      <c r="N193" s="66"/>
      <c r="O193" s="65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>
      <c r="A194" s="63">
        <v>45103.0</v>
      </c>
      <c r="B194" s="62">
        <v>2000.0</v>
      </c>
      <c r="C194" s="17" t="s">
        <v>154</v>
      </c>
      <c r="D194" s="17" t="s">
        <v>113</v>
      </c>
      <c r="E194" s="45" t="s">
        <v>701</v>
      </c>
      <c r="F194" s="64" t="s">
        <v>149</v>
      </c>
      <c r="G194" s="66"/>
      <c r="H194" s="18"/>
      <c r="I194" s="18"/>
      <c r="J194" s="18"/>
      <c r="K194" s="65"/>
      <c r="L194" s="66"/>
      <c r="M194" s="65"/>
      <c r="N194" s="66"/>
      <c r="O194" s="65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>
      <c r="A195" s="67"/>
      <c r="B195" s="62">
        <v>2000.0</v>
      </c>
      <c r="C195" s="17" t="s">
        <v>154</v>
      </c>
      <c r="D195" s="17" t="s">
        <v>112</v>
      </c>
      <c r="E195" s="45" t="s">
        <v>701</v>
      </c>
      <c r="F195" s="64" t="s">
        <v>149</v>
      </c>
      <c r="G195" s="66"/>
      <c r="H195" s="18"/>
      <c r="I195" s="18"/>
      <c r="J195" s="18"/>
      <c r="K195" s="65"/>
      <c r="L195" s="66"/>
      <c r="M195" s="65"/>
      <c r="N195" s="66"/>
      <c r="O195" s="65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>
      <c r="A196" s="67"/>
      <c r="B196" s="62">
        <v>500.0</v>
      </c>
      <c r="C196" s="17" t="s">
        <v>154</v>
      </c>
      <c r="D196" s="17" t="s">
        <v>112</v>
      </c>
      <c r="E196" s="17" t="s">
        <v>702</v>
      </c>
      <c r="F196" s="64" t="s">
        <v>149</v>
      </c>
      <c r="G196" s="66"/>
      <c r="H196" s="18"/>
      <c r="I196" s="18"/>
      <c r="J196" s="18"/>
      <c r="K196" s="65"/>
      <c r="L196" s="66"/>
      <c r="M196" s="65"/>
      <c r="N196" s="66"/>
      <c r="O196" s="65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>
      <c r="A197" s="67"/>
      <c r="B197" s="62">
        <v>500.0</v>
      </c>
      <c r="C197" s="17" t="s">
        <v>154</v>
      </c>
      <c r="D197" s="17" t="s">
        <v>113</v>
      </c>
      <c r="E197" s="17" t="s">
        <v>702</v>
      </c>
      <c r="F197" s="64" t="s">
        <v>149</v>
      </c>
      <c r="G197" s="66"/>
      <c r="H197" s="18"/>
      <c r="I197" s="18"/>
      <c r="J197" s="18"/>
      <c r="K197" s="65"/>
      <c r="L197" s="66"/>
      <c r="M197" s="65"/>
      <c r="N197" s="66"/>
      <c r="O197" s="65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>
      <c r="A198" s="63">
        <v>45104.0</v>
      </c>
      <c r="B198" s="62">
        <v>500.0</v>
      </c>
      <c r="C198" s="17" t="s">
        <v>154</v>
      </c>
      <c r="D198" s="17" t="s">
        <v>110</v>
      </c>
      <c r="E198" s="17" t="s">
        <v>702</v>
      </c>
      <c r="F198" s="64" t="s">
        <v>149</v>
      </c>
      <c r="G198" s="62">
        <v>5956.0</v>
      </c>
      <c r="H198" s="17" t="s">
        <v>154</v>
      </c>
      <c r="I198" s="17" t="s">
        <v>160</v>
      </c>
      <c r="J198" s="17" t="s">
        <v>710</v>
      </c>
      <c r="K198" s="64" t="s">
        <v>155</v>
      </c>
      <c r="L198" s="62">
        <v>1500.0</v>
      </c>
      <c r="M198" s="65"/>
      <c r="N198" s="66"/>
      <c r="O198" s="65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>
      <c r="A199" s="67"/>
      <c r="B199" s="62">
        <v>500.0</v>
      </c>
      <c r="C199" s="17" t="s">
        <v>154</v>
      </c>
      <c r="D199" s="17" t="s">
        <v>110</v>
      </c>
      <c r="E199" s="45" t="s">
        <v>703</v>
      </c>
      <c r="F199" s="64" t="s">
        <v>149</v>
      </c>
      <c r="G199" s="66"/>
      <c r="H199" s="18"/>
      <c r="I199" s="18"/>
      <c r="J199" s="18"/>
      <c r="K199" s="65"/>
      <c r="L199" s="66"/>
      <c r="M199" s="65"/>
      <c r="N199" s="66"/>
      <c r="O199" s="65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>
      <c r="A200" s="67"/>
      <c r="B200" s="62">
        <v>5.25</v>
      </c>
      <c r="C200" s="17" t="s">
        <v>154</v>
      </c>
      <c r="D200" s="17" t="s">
        <v>138</v>
      </c>
      <c r="E200" s="18"/>
      <c r="F200" s="64" t="s">
        <v>155</v>
      </c>
      <c r="G200" s="66"/>
      <c r="H200" s="18"/>
      <c r="I200" s="18"/>
      <c r="J200" s="18"/>
      <c r="K200" s="65"/>
      <c r="L200" s="66"/>
      <c r="M200" s="65"/>
      <c r="N200" s="66"/>
      <c r="O200" s="65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>
      <c r="A201" s="67"/>
      <c r="B201" s="62">
        <v>35.0</v>
      </c>
      <c r="C201" s="17" t="s">
        <v>154</v>
      </c>
      <c r="D201" s="17" t="s">
        <v>145</v>
      </c>
      <c r="E201" s="18"/>
      <c r="F201" s="64" t="s">
        <v>155</v>
      </c>
      <c r="G201" s="66"/>
      <c r="H201" s="18"/>
      <c r="I201" s="18"/>
      <c r="J201" s="18"/>
      <c r="K201" s="65"/>
      <c r="L201" s="66"/>
      <c r="M201" s="65"/>
      <c r="N201" s="66"/>
      <c r="O201" s="65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>
      <c r="A202" s="120"/>
      <c r="B202" s="118"/>
      <c r="C202" s="25"/>
      <c r="D202" s="25"/>
      <c r="E202" s="25"/>
      <c r="F202" s="119"/>
      <c r="G202" s="118"/>
      <c r="H202" s="25"/>
      <c r="I202" s="25"/>
      <c r="J202" s="25"/>
      <c r="K202" s="119"/>
      <c r="L202" s="118"/>
      <c r="M202" s="119"/>
      <c r="N202" s="118"/>
      <c r="O202" s="119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>
      <c r="A203" s="120"/>
      <c r="B203" s="118"/>
      <c r="C203" s="25"/>
      <c r="D203" s="25"/>
      <c r="E203" s="25"/>
      <c r="F203" s="119"/>
      <c r="G203" s="118"/>
      <c r="H203" s="25"/>
      <c r="I203" s="25"/>
      <c r="J203" s="25"/>
      <c r="K203" s="119"/>
      <c r="L203" s="118"/>
      <c r="M203" s="119"/>
      <c r="N203" s="118"/>
      <c r="O203" s="119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>
      <c r="A204" s="63">
        <v>45108.0</v>
      </c>
      <c r="B204" s="62">
        <v>1000.0</v>
      </c>
      <c r="C204" s="17" t="s">
        <v>154</v>
      </c>
      <c r="D204" s="17" t="s">
        <v>24</v>
      </c>
      <c r="E204" s="17" t="s">
        <v>711</v>
      </c>
      <c r="F204" s="64" t="s">
        <v>149</v>
      </c>
      <c r="G204" s="34"/>
      <c r="J204" s="34"/>
      <c r="L204" s="62"/>
      <c r="M204" s="65"/>
      <c r="N204" s="66"/>
      <c r="O204" s="65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>
      <c r="A205" s="63"/>
      <c r="B205" s="62">
        <v>400.0</v>
      </c>
      <c r="C205" s="17" t="s">
        <v>154</v>
      </c>
      <c r="D205" s="17" t="s">
        <v>25</v>
      </c>
      <c r="E205" s="17" t="s">
        <v>711</v>
      </c>
      <c r="F205" s="64" t="s">
        <v>149</v>
      </c>
      <c r="G205" s="34"/>
      <c r="J205" s="34"/>
      <c r="L205" s="62"/>
      <c r="M205" s="65"/>
      <c r="N205" s="66"/>
      <c r="O205" s="65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>
      <c r="A206" s="63">
        <v>45109.0</v>
      </c>
      <c r="B206" s="62">
        <v>400.0</v>
      </c>
      <c r="C206" s="17" t="s">
        <v>204</v>
      </c>
      <c r="D206" s="17" t="s">
        <v>109</v>
      </c>
      <c r="E206" s="50" t="s">
        <v>712</v>
      </c>
      <c r="F206" s="64" t="s">
        <v>149</v>
      </c>
      <c r="G206" s="69">
        <v>3050.0</v>
      </c>
      <c r="H206" s="17" t="s">
        <v>204</v>
      </c>
      <c r="I206" s="17" t="s">
        <v>160</v>
      </c>
      <c r="J206" s="69" t="s">
        <v>712</v>
      </c>
      <c r="K206" s="64" t="s">
        <v>149</v>
      </c>
      <c r="L206" s="62"/>
      <c r="M206" s="65"/>
      <c r="N206" s="66"/>
      <c r="O206" s="65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>
      <c r="A207" s="63"/>
      <c r="B207" s="62">
        <v>400.0</v>
      </c>
      <c r="C207" s="17" t="s">
        <v>204</v>
      </c>
      <c r="D207" s="17" t="s">
        <v>111</v>
      </c>
      <c r="E207" s="50" t="s">
        <v>712</v>
      </c>
      <c r="F207" s="64" t="s">
        <v>149</v>
      </c>
      <c r="G207" s="34"/>
      <c r="J207" s="34"/>
      <c r="L207" s="62"/>
      <c r="M207" s="65"/>
      <c r="N207" s="66"/>
      <c r="O207" s="65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>
      <c r="A208" s="63"/>
      <c r="B208" s="62">
        <v>400.0</v>
      </c>
      <c r="C208" s="17" t="s">
        <v>204</v>
      </c>
      <c r="D208" s="17" t="s">
        <v>110</v>
      </c>
      <c r="E208" s="50" t="s">
        <v>712</v>
      </c>
      <c r="F208" s="64" t="s">
        <v>149</v>
      </c>
      <c r="G208" s="34"/>
      <c r="J208" s="34"/>
      <c r="L208" s="62"/>
      <c r="M208" s="65"/>
      <c r="N208" s="66"/>
      <c r="O208" s="65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>
      <c r="A209" s="63"/>
      <c r="B209" s="62">
        <v>400.0</v>
      </c>
      <c r="C209" s="17" t="s">
        <v>204</v>
      </c>
      <c r="D209" s="17" t="s">
        <v>113</v>
      </c>
      <c r="E209" s="50" t="s">
        <v>712</v>
      </c>
      <c r="F209" s="64" t="s">
        <v>149</v>
      </c>
      <c r="G209" s="34"/>
      <c r="J209" s="34"/>
      <c r="L209" s="62"/>
      <c r="M209" s="65"/>
      <c r="N209" s="66"/>
      <c r="O209" s="65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>
      <c r="A210" s="63"/>
      <c r="B210" s="62">
        <v>400.0</v>
      </c>
      <c r="C210" s="17" t="s">
        <v>204</v>
      </c>
      <c r="D210" s="17" t="s">
        <v>112</v>
      </c>
      <c r="E210" s="50" t="s">
        <v>712</v>
      </c>
      <c r="F210" s="64" t="s">
        <v>149</v>
      </c>
      <c r="G210" s="34"/>
      <c r="J210" s="34"/>
      <c r="L210" s="62"/>
      <c r="M210" s="65"/>
      <c r="N210" s="66"/>
      <c r="O210" s="65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>
      <c r="A211" s="63"/>
      <c r="B211" s="62">
        <v>500.0</v>
      </c>
      <c r="C211" s="17" t="s">
        <v>204</v>
      </c>
      <c r="D211" s="17" t="s">
        <v>26</v>
      </c>
      <c r="E211" s="50" t="s">
        <v>712</v>
      </c>
      <c r="F211" s="64" t="s">
        <v>149</v>
      </c>
      <c r="G211" s="34"/>
      <c r="J211" s="34"/>
      <c r="L211" s="62"/>
      <c r="M211" s="65"/>
      <c r="N211" s="66"/>
      <c r="O211" s="65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>
      <c r="A212" s="63"/>
      <c r="B212" s="62">
        <v>50.0</v>
      </c>
      <c r="C212" s="17" t="s">
        <v>204</v>
      </c>
      <c r="D212" s="17" t="s">
        <v>25</v>
      </c>
      <c r="E212" s="50" t="s">
        <v>712</v>
      </c>
      <c r="F212" s="64" t="s">
        <v>149</v>
      </c>
      <c r="G212" s="34"/>
      <c r="J212" s="34"/>
      <c r="L212" s="62"/>
      <c r="M212" s="65"/>
      <c r="N212" s="66"/>
      <c r="O212" s="65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>
      <c r="A213" s="63"/>
      <c r="B213" s="62">
        <v>200.0</v>
      </c>
      <c r="C213" s="17" t="s">
        <v>204</v>
      </c>
      <c r="D213" s="17" t="s">
        <v>24</v>
      </c>
      <c r="E213" s="50" t="s">
        <v>712</v>
      </c>
      <c r="F213" s="64" t="s">
        <v>149</v>
      </c>
      <c r="G213" s="34"/>
      <c r="J213" s="34"/>
      <c r="L213" s="62"/>
      <c r="M213" s="65"/>
      <c r="N213" s="66"/>
      <c r="O213" s="65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>
      <c r="A214" s="63">
        <v>45110.0</v>
      </c>
      <c r="B214" s="62">
        <v>125.35</v>
      </c>
      <c r="C214" s="17" t="s">
        <v>154</v>
      </c>
      <c r="D214" s="17" t="s">
        <v>146</v>
      </c>
      <c r="E214" s="18"/>
      <c r="F214" s="64" t="s">
        <v>155</v>
      </c>
      <c r="G214" s="34"/>
      <c r="J214" s="34"/>
      <c r="L214" s="62">
        <v>1100.0</v>
      </c>
      <c r="M214" s="65"/>
      <c r="N214" s="66"/>
      <c r="O214" s="65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>
      <c r="A215" s="63">
        <v>45115.0</v>
      </c>
      <c r="B215" s="62">
        <v>400.0</v>
      </c>
      <c r="C215" s="17" t="s">
        <v>204</v>
      </c>
      <c r="D215" s="17" t="s">
        <v>109</v>
      </c>
      <c r="E215" s="50" t="s">
        <v>713</v>
      </c>
      <c r="F215" s="64" t="s">
        <v>149</v>
      </c>
      <c r="G215" s="69">
        <v>2500.0</v>
      </c>
      <c r="H215" s="17" t="s">
        <v>204</v>
      </c>
      <c r="I215" s="17" t="s">
        <v>160</v>
      </c>
      <c r="J215" s="69" t="s">
        <v>713</v>
      </c>
      <c r="K215" s="64" t="s">
        <v>149</v>
      </c>
      <c r="L215" s="62"/>
      <c r="M215" s="65"/>
      <c r="N215" s="66"/>
      <c r="O215" s="65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>
      <c r="A216" s="63"/>
      <c r="B216" s="62">
        <v>400.0</v>
      </c>
      <c r="C216" s="17" t="s">
        <v>204</v>
      </c>
      <c r="D216" s="17" t="s">
        <v>111</v>
      </c>
      <c r="E216" s="50" t="s">
        <v>713</v>
      </c>
      <c r="F216" s="64" t="s">
        <v>149</v>
      </c>
      <c r="G216" s="69"/>
      <c r="H216" s="17"/>
      <c r="I216" s="17"/>
      <c r="J216" s="69"/>
      <c r="K216" s="64"/>
      <c r="L216" s="62"/>
      <c r="M216" s="65"/>
      <c r="N216" s="66"/>
      <c r="O216" s="65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>
      <c r="A217" s="63"/>
      <c r="B217" s="62">
        <v>400.0</v>
      </c>
      <c r="C217" s="17" t="s">
        <v>204</v>
      </c>
      <c r="D217" s="17" t="s">
        <v>110</v>
      </c>
      <c r="E217" s="50" t="s">
        <v>713</v>
      </c>
      <c r="F217" s="64" t="s">
        <v>149</v>
      </c>
      <c r="G217" s="69"/>
      <c r="H217" s="17"/>
      <c r="I217" s="17"/>
      <c r="J217" s="69"/>
      <c r="K217" s="64"/>
      <c r="L217" s="62"/>
      <c r="M217" s="65"/>
      <c r="N217" s="66"/>
      <c r="O217" s="65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>
      <c r="A218" s="63"/>
      <c r="B218" s="62">
        <v>400.0</v>
      </c>
      <c r="C218" s="17" t="s">
        <v>204</v>
      </c>
      <c r="D218" s="17" t="s">
        <v>113</v>
      </c>
      <c r="E218" s="50" t="s">
        <v>713</v>
      </c>
      <c r="F218" s="64" t="s">
        <v>149</v>
      </c>
      <c r="G218" s="69"/>
      <c r="H218" s="17"/>
      <c r="I218" s="17"/>
      <c r="J218" s="69"/>
      <c r="K218" s="64"/>
      <c r="L218" s="62"/>
      <c r="M218" s="65"/>
      <c r="N218" s="66"/>
      <c r="O218" s="65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>
      <c r="A219" s="63"/>
      <c r="B219" s="62">
        <v>400.0</v>
      </c>
      <c r="C219" s="17" t="s">
        <v>204</v>
      </c>
      <c r="D219" s="17" t="s">
        <v>112</v>
      </c>
      <c r="E219" s="50" t="s">
        <v>713</v>
      </c>
      <c r="F219" s="64" t="s">
        <v>149</v>
      </c>
      <c r="G219" s="69"/>
      <c r="H219" s="17"/>
      <c r="I219" s="17"/>
      <c r="J219" s="69"/>
      <c r="K219" s="64"/>
      <c r="L219" s="62"/>
      <c r="M219" s="65"/>
      <c r="N219" s="66"/>
      <c r="O219" s="65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>
      <c r="A220" s="63"/>
      <c r="B220" s="62">
        <v>200.0</v>
      </c>
      <c r="C220" s="17" t="s">
        <v>204</v>
      </c>
      <c r="D220" s="17" t="s">
        <v>24</v>
      </c>
      <c r="E220" s="50" t="s">
        <v>713</v>
      </c>
      <c r="F220" s="64" t="s">
        <v>149</v>
      </c>
      <c r="G220" s="69"/>
      <c r="H220" s="17"/>
      <c r="I220" s="17"/>
      <c r="J220" s="69"/>
      <c r="K220" s="64"/>
      <c r="L220" s="62"/>
      <c r="M220" s="65"/>
      <c r="N220" s="66"/>
      <c r="O220" s="65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>
      <c r="A221" s="63">
        <v>45117.0</v>
      </c>
      <c r="B221" s="34"/>
      <c r="G221" s="62">
        <v>7693.0</v>
      </c>
      <c r="H221" s="17" t="s">
        <v>154</v>
      </c>
      <c r="I221" s="17" t="s">
        <v>160</v>
      </c>
      <c r="J221" s="17" t="s">
        <v>711</v>
      </c>
      <c r="K221" s="64" t="s">
        <v>155</v>
      </c>
      <c r="L221" s="62"/>
      <c r="M221" s="65"/>
      <c r="N221" s="66"/>
      <c r="O221" s="65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>
      <c r="A222" s="63">
        <v>45118.0</v>
      </c>
      <c r="B222" s="62">
        <v>1100.0</v>
      </c>
      <c r="C222" s="17" t="s">
        <v>154</v>
      </c>
      <c r="D222" s="17" t="s">
        <v>24</v>
      </c>
      <c r="E222" s="17" t="s">
        <v>499</v>
      </c>
      <c r="F222" s="64" t="s">
        <v>155</v>
      </c>
      <c r="G222" s="66"/>
      <c r="H222" s="18"/>
      <c r="I222" s="18"/>
      <c r="J222" s="18"/>
      <c r="K222" s="65"/>
      <c r="L222" s="66"/>
      <c r="M222" s="65"/>
      <c r="N222" s="66"/>
      <c r="O222" s="65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>
      <c r="A223" s="67"/>
      <c r="B223" s="62">
        <v>400.0</v>
      </c>
      <c r="C223" s="17" t="s">
        <v>154</v>
      </c>
      <c r="D223" s="17" t="s">
        <v>24</v>
      </c>
      <c r="E223" s="17" t="s">
        <v>499</v>
      </c>
      <c r="F223" s="64" t="s">
        <v>155</v>
      </c>
      <c r="G223" s="66"/>
      <c r="H223" s="18"/>
      <c r="I223" s="18"/>
      <c r="J223" s="18"/>
      <c r="K223" s="65"/>
      <c r="L223" s="66"/>
      <c r="M223" s="65"/>
      <c r="N223" s="66"/>
      <c r="O223" s="65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>
      <c r="A224" s="67"/>
      <c r="B224" s="62">
        <v>0.45</v>
      </c>
      <c r="C224" s="17" t="s">
        <v>154</v>
      </c>
      <c r="D224" s="17" t="s">
        <v>139</v>
      </c>
      <c r="E224" s="18"/>
      <c r="F224" s="64" t="s">
        <v>155</v>
      </c>
      <c r="G224" s="66"/>
      <c r="H224" s="18"/>
      <c r="I224" s="18"/>
      <c r="J224" s="18"/>
      <c r="K224" s="65"/>
      <c r="L224" s="66"/>
      <c r="M224" s="65"/>
      <c r="N224" s="66"/>
      <c r="O224" s="65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>
      <c r="A225" s="67"/>
      <c r="B225" s="62">
        <v>0.45</v>
      </c>
      <c r="C225" s="17" t="s">
        <v>154</v>
      </c>
      <c r="D225" s="17" t="s">
        <v>139</v>
      </c>
      <c r="E225" s="18"/>
      <c r="F225" s="64" t="s">
        <v>155</v>
      </c>
      <c r="G225" s="66"/>
      <c r="H225" s="18"/>
      <c r="I225" s="18"/>
      <c r="J225" s="18"/>
      <c r="K225" s="65"/>
      <c r="L225" s="66"/>
      <c r="M225" s="65"/>
      <c r="N225" s="66"/>
      <c r="O225" s="65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>
      <c r="A226" s="63">
        <v>45121.0</v>
      </c>
      <c r="B226" s="69">
        <v>2744.0</v>
      </c>
      <c r="C226" s="17" t="s">
        <v>154</v>
      </c>
      <c r="D226" s="17" t="s">
        <v>157</v>
      </c>
      <c r="E226" s="50" t="s">
        <v>714</v>
      </c>
      <c r="F226" s="64" t="s">
        <v>149</v>
      </c>
      <c r="G226" s="66"/>
      <c r="J226" s="34"/>
      <c r="K226" s="65"/>
      <c r="M226" s="65"/>
      <c r="N226" s="66"/>
      <c r="O226" s="65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>
      <c r="A227" s="63">
        <v>45122.0</v>
      </c>
      <c r="B227" s="69">
        <v>1200.0</v>
      </c>
      <c r="C227" s="17" t="s">
        <v>154</v>
      </c>
      <c r="D227" s="17" t="s">
        <v>24</v>
      </c>
      <c r="E227" s="17" t="s">
        <v>715</v>
      </c>
      <c r="F227" s="64" t="s">
        <v>149</v>
      </c>
      <c r="G227" s="62">
        <v>2500.0</v>
      </c>
      <c r="H227" s="17" t="s">
        <v>154</v>
      </c>
      <c r="I227" s="17" t="s">
        <v>160</v>
      </c>
      <c r="J227" s="17" t="s">
        <v>716</v>
      </c>
      <c r="K227" s="64" t="s">
        <v>149</v>
      </c>
      <c r="L227" s="62">
        <v>2000.0</v>
      </c>
      <c r="N227" s="66"/>
      <c r="O227" s="65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>
      <c r="A228" s="63"/>
      <c r="B228" s="69">
        <v>800.0</v>
      </c>
      <c r="C228" s="17" t="s">
        <v>154</v>
      </c>
      <c r="D228" s="17" t="s">
        <v>109</v>
      </c>
      <c r="E228" s="17" t="s">
        <v>715</v>
      </c>
      <c r="F228" s="64" t="s">
        <v>149</v>
      </c>
      <c r="G228" s="62">
        <v>5000.0</v>
      </c>
      <c r="H228" s="17" t="s">
        <v>154</v>
      </c>
      <c r="I228" s="17" t="s">
        <v>160</v>
      </c>
      <c r="J228" s="17" t="s">
        <v>715</v>
      </c>
      <c r="K228" s="64" t="s">
        <v>149</v>
      </c>
      <c r="L228" s="62"/>
      <c r="N228" s="66"/>
      <c r="O228" s="65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>
      <c r="A229" s="63"/>
      <c r="B229" s="69">
        <v>800.0</v>
      </c>
      <c r="C229" s="17" t="s">
        <v>154</v>
      </c>
      <c r="D229" s="17" t="s">
        <v>111</v>
      </c>
      <c r="E229" s="17" t="s">
        <v>715</v>
      </c>
      <c r="F229" s="64" t="s">
        <v>149</v>
      </c>
      <c r="G229" s="62"/>
      <c r="H229" s="17"/>
      <c r="I229" s="17"/>
      <c r="J229" s="17"/>
      <c r="K229" s="64"/>
      <c r="L229" s="62"/>
      <c r="N229" s="66"/>
      <c r="O229" s="65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>
      <c r="A230" s="63"/>
      <c r="B230" s="69">
        <v>800.0</v>
      </c>
      <c r="C230" s="17" t="s">
        <v>154</v>
      </c>
      <c r="D230" s="17" t="s">
        <v>110</v>
      </c>
      <c r="E230" s="17" t="s">
        <v>715</v>
      </c>
      <c r="F230" s="64" t="s">
        <v>149</v>
      </c>
      <c r="G230" s="62"/>
      <c r="H230" s="17"/>
      <c r="I230" s="17"/>
      <c r="J230" s="17"/>
      <c r="K230" s="64"/>
      <c r="L230" s="62"/>
      <c r="N230" s="66"/>
      <c r="O230" s="65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>
      <c r="A231" s="63"/>
      <c r="B231" s="69">
        <v>800.0</v>
      </c>
      <c r="C231" s="17" t="s">
        <v>154</v>
      </c>
      <c r="D231" s="17" t="s">
        <v>113</v>
      </c>
      <c r="E231" s="17" t="s">
        <v>715</v>
      </c>
      <c r="F231" s="64" t="s">
        <v>149</v>
      </c>
      <c r="G231" s="62"/>
      <c r="H231" s="17"/>
      <c r="I231" s="17"/>
      <c r="J231" s="17"/>
      <c r="K231" s="64"/>
      <c r="L231" s="62"/>
      <c r="N231" s="66"/>
      <c r="O231" s="65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>
      <c r="A232" s="63"/>
      <c r="B232" s="69">
        <v>800.0</v>
      </c>
      <c r="C232" s="17" t="s">
        <v>154</v>
      </c>
      <c r="D232" s="17" t="s">
        <v>112</v>
      </c>
      <c r="E232" s="17" t="s">
        <v>715</v>
      </c>
      <c r="F232" s="64" t="s">
        <v>149</v>
      </c>
      <c r="G232" s="62"/>
      <c r="H232" s="17"/>
      <c r="I232" s="17"/>
      <c r="J232" s="17"/>
      <c r="K232" s="64"/>
      <c r="L232" s="62"/>
      <c r="N232" s="66"/>
      <c r="O232" s="65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>
      <c r="A233" s="63">
        <v>45128.0</v>
      </c>
      <c r="B233" s="34"/>
      <c r="G233" s="66"/>
      <c r="H233" s="18"/>
      <c r="I233" s="18"/>
      <c r="J233" s="18"/>
      <c r="K233" s="65"/>
      <c r="L233" s="62">
        <v>500.0</v>
      </c>
      <c r="M233" s="65"/>
      <c r="N233" s="66"/>
      <c r="O233" s="65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>
      <c r="A234" s="63">
        <v>45134.0</v>
      </c>
      <c r="B234" s="69">
        <v>4000.0</v>
      </c>
      <c r="C234" s="17" t="s">
        <v>154</v>
      </c>
      <c r="D234" s="17" t="s">
        <v>22</v>
      </c>
      <c r="E234" s="50" t="s">
        <v>717</v>
      </c>
      <c r="F234" s="64" t="s">
        <v>155</v>
      </c>
      <c r="G234" s="66"/>
      <c r="H234" s="18"/>
      <c r="I234" s="18"/>
      <c r="J234" s="18"/>
      <c r="K234" s="65"/>
      <c r="L234" s="66"/>
      <c r="M234" s="65"/>
      <c r="N234" s="66"/>
      <c r="O234" s="65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>
      <c r="A235" s="67"/>
      <c r="B235" s="69">
        <v>0.45</v>
      </c>
      <c r="C235" s="17" t="s">
        <v>154</v>
      </c>
      <c r="D235" s="17" t="s">
        <v>139</v>
      </c>
      <c r="E235" s="18"/>
      <c r="F235" s="64" t="s">
        <v>155</v>
      </c>
      <c r="G235" s="66"/>
      <c r="H235" s="18"/>
      <c r="I235" s="18"/>
      <c r="J235" s="18"/>
      <c r="K235" s="65"/>
      <c r="L235" s="66"/>
      <c r="M235" s="65"/>
      <c r="N235" s="66"/>
      <c r="O235" s="65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>
      <c r="A236" s="67"/>
      <c r="B236" s="62">
        <v>5000.0</v>
      </c>
      <c r="C236" s="17" t="s">
        <v>154</v>
      </c>
      <c r="D236" s="17" t="s">
        <v>22</v>
      </c>
      <c r="E236" s="50" t="s">
        <v>717</v>
      </c>
      <c r="F236" s="64" t="s">
        <v>155</v>
      </c>
      <c r="G236" s="66"/>
      <c r="H236" s="18"/>
      <c r="I236" s="18"/>
      <c r="J236" s="18"/>
      <c r="K236" s="65"/>
      <c r="L236" s="66"/>
      <c r="M236" s="65"/>
      <c r="N236" s="66"/>
      <c r="O236" s="65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>
      <c r="A237" s="67"/>
      <c r="B237" s="69">
        <v>0.45</v>
      </c>
      <c r="C237" s="17" t="s">
        <v>154</v>
      </c>
      <c r="D237" s="17" t="s">
        <v>139</v>
      </c>
      <c r="E237" s="18"/>
      <c r="F237" s="64" t="s">
        <v>155</v>
      </c>
      <c r="G237" s="66"/>
      <c r="H237" s="18"/>
      <c r="I237" s="18"/>
      <c r="J237" s="18"/>
      <c r="K237" s="65"/>
      <c r="L237" s="66"/>
      <c r="M237" s="65"/>
      <c r="N237" s="66"/>
      <c r="O237" s="65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>
      <c r="A238" s="67"/>
      <c r="B238" s="69">
        <v>7000.0</v>
      </c>
      <c r="C238" s="17" t="s">
        <v>154</v>
      </c>
      <c r="D238" s="17" t="s">
        <v>22</v>
      </c>
      <c r="E238" s="50" t="s">
        <v>717</v>
      </c>
      <c r="F238" s="64" t="s">
        <v>149</v>
      </c>
      <c r="G238" s="34"/>
      <c r="J238" s="34"/>
      <c r="K238" s="65"/>
      <c r="M238" s="65"/>
      <c r="N238" s="66"/>
      <c r="O238" s="65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>
      <c r="A239" s="63">
        <v>45135.0</v>
      </c>
      <c r="B239" s="62">
        <v>3555.0</v>
      </c>
      <c r="C239" s="17" t="s">
        <v>154</v>
      </c>
      <c r="D239" s="17" t="s">
        <v>141</v>
      </c>
      <c r="E239" s="18"/>
      <c r="F239" s="64" t="s">
        <v>155</v>
      </c>
      <c r="G239" s="66"/>
      <c r="H239" s="18"/>
      <c r="I239" s="18"/>
      <c r="J239" s="18"/>
      <c r="K239" s="65"/>
      <c r="L239" s="62">
        <v>4100.0</v>
      </c>
      <c r="M239" s="65"/>
      <c r="N239" s="66"/>
      <c r="O239" s="65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>
      <c r="A240" s="67"/>
      <c r="B240" s="62">
        <v>0.51</v>
      </c>
      <c r="C240" s="17" t="s">
        <v>154</v>
      </c>
      <c r="D240" s="17" t="s">
        <v>139</v>
      </c>
      <c r="E240" s="18"/>
      <c r="F240" s="64" t="s">
        <v>155</v>
      </c>
      <c r="G240" s="66"/>
      <c r="H240" s="18"/>
      <c r="I240" s="18"/>
      <c r="J240" s="18"/>
      <c r="K240" s="65"/>
      <c r="L240" s="62">
        <v>1500.0</v>
      </c>
      <c r="M240" s="65"/>
      <c r="N240" s="66"/>
      <c r="O240" s="65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>
      <c r="A241" s="67"/>
      <c r="B241" s="62">
        <v>204.0</v>
      </c>
      <c r="C241" s="17" t="s">
        <v>154</v>
      </c>
      <c r="D241" s="17" t="s">
        <v>141</v>
      </c>
      <c r="E241" s="18"/>
      <c r="F241" s="64" t="s">
        <v>155</v>
      </c>
      <c r="G241" s="66"/>
      <c r="H241" s="18"/>
      <c r="I241" s="18"/>
      <c r="J241" s="18"/>
      <c r="K241" s="65"/>
      <c r="L241" s="66"/>
      <c r="M241" s="65"/>
      <c r="N241" s="66"/>
      <c r="O241" s="65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>
      <c r="A242" s="67"/>
      <c r="B242" s="62">
        <v>5.0</v>
      </c>
      <c r="C242" s="17" t="s">
        <v>154</v>
      </c>
      <c r="D242" s="17" t="s">
        <v>139</v>
      </c>
      <c r="E242" s="18"/>
      <c r="F242" s="64" t="s">
        <v>155</v>
      </c>
      <c r="G242" s="66"/>
      <c r="H242" s="18"/>
      <c r="I242" s="18"/>
      <c r="J242" s="18"/>
      <c r="K242" s="65"/>
      <c r="L242" s="66"/>
      <c r="M242" s="65"/>
      <c r="N242" s="66"/>
      <c r="O242" s="65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>
      <c r="A243" s="67"/>
      <c r="B243" s="62">
        <v>763.0</v>
      </c>
      <c r="C243" s="17" t="s">
        <v>154</v>
      </c>
      <c r="D243" s="17" t="s">
        <v>212</v>
      </c>
      <c r="E243" s="18"/>
      <c r="F243" s="64" t="s">
        <v>155</v>
      </c>
      <c r="G243" s="66"/>
      <c r="H243" s="18"/>
      <c r="I243" s="18"/>
      <c r="J243" s="18"/>
      <c r="K243" s="65"/>
      <c r="L243" s="66"/>
      <c r="M243" s="65"/>
      <c r="N243" s="66"/>
      <c r="O243" s="65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>
      <c r="A244" s="67"/>
      <c r="B244" s="62">
        <v>5.0</v>
      </c>
      <c r="C244" s="17" t="s">
        <v>154</v>
      </c>
      <c r="D244" s="17" t="s">
        <v>139</v>
      </c>
      <c r="E244" s="18"/>
      <c r="F244" s="64" t="s">
        <v>155</v>
      </c>
      <c r="G244" s="66"/>
      <c r="H244" s="18"/>
      <c r="I244" s="18"/>
      <c r="J244" s="18"/>
      <c r="K244" s="65"/>
      <c r="L244" s="66"/>
      <c r="M244" s="65"/>
      <c r="N244" s="66"/>
      <c r="O244" s="65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>
      <c r="A245" s="67"/>
      <c r="B245" s="62">
        <v>519.0</v>
      </c>
      <c r="C245" s="17" t="s">
        <v>154</v>
      </c>
      <c r="D245" s="17" t="s">
        <v>143</v>
      </c>
      <c r="E245" s="18"/>
      <c r="F245" s="64" t="s">
        <v>155</v>
      </c>
      <c r="G245" s="66"/>
      <c r="H245" s="18"/>
      <c r="I245" s="18"/>
      <c r="J245" s="18"/>
      <c r="K245" s="65"/>
      <c r="L245" s="66"/>
      <c r="M245" s="65"/>
      <c r="N245" s="66"/>
      <c r="O245" s="65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>
      <c r="A246" s="67"/>
      <c r="B246" s="62">
        <v>5.0</v>
      </c>
      <c r="C246" s="17" t="s">
        <v>154</v>
      </c>
      <c r="D246" s="17" t="s">
        <v>139</v>
      </c>
      <c r="E246" s="18"/>
      <c r="F246" s="64" t="s">
        <v>155</v>
      </c>
      <c r="G246" s="66"/>
      <c r="H246" s="18"/>
      <c r="I246" s="18"/>
      <c r="J246" s="18"/>
      <c r="K246" s="65"/>
      <c r="L246" s="66"/>
      <c r="M246" s="65"/>
      <c r="N246" s="66"/>
      <c r="O246" s="65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>
      <c r="A247" s="67"/>
      <c r="B247" s="62">
        <v>14.35</v>
      </c>
      <c r="C247" s="17" t="s">
        <v>154</v>
      </c>
      <c r="D247" s="17" t="s">
        <v>138</v>
      </c>
      <c r="E247" s="18"/>
      <c r="F247" s="64" t="s">
        <v>155</v>
      </c>
      <c r="G247" s="66"/>
      <c r="H247" s="18"/>
      <c r="I247" s="18"/>
      <c r="J247" s="18"/>
      <c r="K247" s="65"/>
      <c r="L247" s="66"/>
      <c r="M247" s="65"/>
      <c r="N247" s="66"/>
      <c r="O247" s="65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>
      <c r="A248" s="67"/>
      <c r="B248" s="62">
        <v>5.25</v>
      </c>
      <c r="C248" s="17" t="s">
        <v>154</v>
      </c>
      <c r="D248" s="17" t="s">
        <v>139</v>
      </c>
      <c r="E248" s="18"/>
      <c r="F248" s="64" t="s">
        <v>155</v>
      </c>
      <c r="G248" s="66"/>
      <c r="H248" s="18"/>
      <c r="I248" s="18"/>
      <c r="J248" s="18"/>
      <c r="K248" s="65"/>
      <c r="L248" s="66"/>
      <c r="M248" s="65"/>
      <c r="N248" s="66"/>
      <c r="O248" s="65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>
      <c r="A249" s="67"/>
      <c r="B249" s="62">
        <v>350.0</v>
      </c>
      <c r="C249" s="17" t="s">
        <v>204</v>
      </c>
      <c r="D249" s="17" t="s">
        <v>109</v>
      </c>
      <c r="E249" s="17" t="s">
        <v>718</v>
      </c>
      <c r="F249" s="64" t="s">
        <v>149</v>
      </c>
      <c r="G249" s="62">
        <v>2150.0</v>
      </c>
      <c r="H249" s="17" t="s">
        <v>204</v>
      </c>
      <c r="I249" s="17" t="s">
        <v>160</v>
      </c>
      <c r="J249" s="17" t="s">
        <v>718</v>
      </c>
      <c r="K249" s="64" t="s">
        <v>149</v>
      </c>
      <c r="L249" s="66"/>
      <c r="M249" s="65"/>
      <c r="N249" s="66"/>
      <c r="O249" s="65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>
      <c r="A250" s="67"/>
      <c r="B250" s="62">
        <v>350.0</v>
      </c>
      <c r="C250" s="17" t="s">
        <v>204</v>
      </c>
      <c r="D250" s="17" t="s">
        <v>111</v>
      </c>
      <c r="E250" s="17" t="s">
        <v>718</v>
      </c>
      <c r="F250" s="64" t="s">
        <v>149</v>
      </c>
      <c r="G250" s="66"/>
      <c r="H250" s="18"/>
      <c r="I250" s="18"/>
      <c r="J250" s="18"/>
      <c r="K250" s="65"/>
      <c r="L250" s="66"/>
      <c r="M250" s="65"/>
      <c r="N250" s="66"/>
      <c r="O250" s="65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>
      <c r="A251" s="67"/>
      <c r="B251" s="62">
        <v>350.0</v>
      </c>
      <c r="C251" s="17" t="s">
        <v>204</v>
      </c>
      <c r="D251" s="17" t="s">
        <v>110</v>
      </c>
      <c r="E251" s="17" t="s">
        <v>718</v>
      </c>
      <c r="F251" s="64" t="s">
        <v>149</v>
      </c>
      <c r="G251" s="66"/>
      <c r="H251" s="18"/>
      <c r="I251" s="18"/>
      <c r="J251" s="18"/>
      <c r="K251" s="65"/>
      <c r="L251" s="66"/>
      <c r="M251" s="65"/>
      <c r="N251" s="66"/>
      <c r="O251" s="65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>
      <c r="A252" s="67"/>
      <c r="B252" s="62">
        <v>350.0</v>
      </c>
      <c r="C252" s="17" t="s">
        <v>204</v>
      </c>
      <c r="D252" s="17" t="s">
        <v>113</v>
      </c>
      <c r="E252" s="17" t="s">
        <v>718</v>
      </c>
      <c r="F252" s="64" t="s">
        <v>149</v>
      </c>
      <c r="G252" s="66"/>
      <c r="H252" s="18"/>
      <c r="I252" s="18"/>
      <c r="J252" s="18"/>
      <c r="K252" s="65"/>
      <c r="L252" s="66"/>
      <c r="M252" s="65"/>
      <c r="N252" s="66"/>
      <c r="O252" s="65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>
      <c r="A253" s="67"/>
      <c r="B253" s="62">
        <v>350.0</v>
      </c>
      <c r="C253" s="17" t="s">
        <v>204</v>
      </c>
      <c r="D253" s="17" t="s">
        <v>112</v>
      </c>
      <c r="E253" s="17" t="s">
        <v>718</v>
      </c>
      <c r="F253" s="64" t="s">
        <v>149</v>
      </c>
      <c r="G253" s="66"/>
      <c r="H253" s="18"/>
      <c r="I253" s="18"/>
      <c r="J253" s="18"/>
      <c r="K253" s="65"/>
      <c r="L253" s="66"/>
      <c r="M253" s="65"/>
      <c r="N253" s="66"/>
      <c r="O253" s="65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>
      <c r="A254" s="67"/>
      <c r="B254" s="62">
        <v>200.0</v>
      </c>
      <c r="C254" s="17" t="s">
        <v>204</v>
      </c>
      <c r="D254" s="17" t="s">
        <v>24</v>
      </c>
      <c r="E254" s="17" t="s">
        <v>718</v>
      </c>
      <c r="F254" s="64" t="s">
        <v>149</v>
      </c>
      <c r="G254" s="66"/>
      <c r="H254" s="18"/>
      <c r="I254" s="18"/>
      <c r="J254" s="18"/>
      <c r="K254" s="65"/>
      <c r="L254" s="66"/>
      <c r="M254" s="65"/>
      <c r="N254" s="66"/>
      <c r="O254" s="65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>
      <c r="A255" s="67"/>
      <c r="B255" s="62">
        <v>50.0</v>
      </c>
      <c r="C255" s="17" t="s">
        <v>204</v>
      </c>
      <c r="D255" s="17" t="s">
        <v>25</v>
      </c>
      <c r="E255" s="17" t="s">
        <v>718</v>
      </c>
      <c r="F255" s="64" t="s">
        <v>149</v>
      </c>
      <c r="G255" s="66"/>
      <c r="H255" s="18"/>
      <c r="I255" s="18"/>
      <c r="J255" s="18"/>
      <c r="K255" s="65"/>
      <c r="L255" s="66"/>
      <c r="M255" s="65"/>
      <c r="N255" s="66"/>
      <c r="O255" s="65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>
      <c r="A256" s="63">
        <v>45136.0</v>
      </c>
      <c r="B256" s="62">
        <v>400.0</v>
      </c>
      <c r="C256" s="17" t="s">
        <v>204</v>
      </c>
      <c r="D256" s="17" t="s">
        <v>109</v>
      </c>
      <c r="E256" s="17" t="s">
        <v>719</v>
      </c>
      <c r="F256" s="64" t="s">
        <v>149</v>
      </c>
      <c r="G256" s="62">
        <v>2400.0</v>
      </c>
      <c r="H256" s="17" t="s">
        <v>204</v>
      </c>
      <c r="I256" s="17" t="s">
        <v>160</v>
      </c>
      <c r="J256" s="17" t="s">
        <v>719</v>
      </c>
      <c r="K256" s="64" t="s">
        <v>149</v>
      </c>
      <c r="L256" s="66"/>
      <c r="M256" s="65"/>
      <c r="N256" s="66"/>
      <c r="O256" s="65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>
      <c r="A257" s="67"/>
      <c r="B257" s="62">
        <v>400.0</v>
      </c>
      <c r="C257" s="17" t="s">
        <v>204</v>
      </c>
      <c r="D257" s="17" t="s">
        <v>111</v>
      </c>
      <c r="E257" s="17" t="s">
        <v>719</v>
      </c>
      <c r="F257" s="64" t="s">
        <v>149</v>
      </c>
      <c r="G257" s="66"/>
      <c r="H257" s="18"/>
      <c r="I257" s="18"/>
      <c r="J257" s="18"/>
      <c r="K257" s="65"/>
      <c r="L257" s="66"/>
      <c r="M257" s="65"/>
      <c r="N257" s="66"/>
      <c r="O257" s="65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>
      <c r="A258" s="67"/>
      <c r="B258" s="62">
        <v>400.0</v>
      </c>
      <c r="C258" s="17" t="s">
        <v>204</v>
      </c>
      <c r="D258" s="17" t="s">
        <v>110</v>
      </c>
      <c r="E258" s="17" t="s">
        <v>719</v>
      </c>
      <c r="F258" s="64" t="s">
        <v>149</v>
      </c>
      <c r="G258" s="66"/>
      <c r="H258" s="18"/>
      <c r="I258" s="18"/>
      <c r="J258" s="18"/>
      <c r="K258" s="65"/>
      <c r="L258" s="66"/>
      <c r="M258" s="65"/>
      <c r="N258" s="66"/>
      <c r="O258" s="65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>
      <c r="A259" s="67"/>
      <c r="B259" s="62">
        <v>400.0</v>
      </c>
      <c r="C259" s="17" t="s">
        <v>204</v>
      </c>
      <c r="D259" s="17" t="s">
        <v>113</v>
      </c>
      <c r="E259" s="17" t="s">
        <v>719</v>
      </c>
      <c r="F259" s="64" t="s">
        <v>149</v>
      </c>
      <c r="G259" s="66"/>
      <c r="H259" s="18"/>
      <c r="I259" s="18"/>
      <c r="J259" s="18"/>
      <c r="K259" s="65"/>
      <c r="L259" s="66"/>
      <c r="M259" s="65"/>
      <c r="N259" s="66"/>
      <c r="O259" s="65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>
      <c r="A260" s="67"/>
      <c r="B260" s="62">
        <v>400.0</v>
      </c>
      <c r="C260" s="17" t="s">
        <v>204</v>
      </c>
      <c r="D260" s="17" t="s">
        <v>112</v>
      </c>
      <c r="E260" s="17" t="s">
        <v>719</v>
      </c>
      <c r="F260" s="64" t="s">
        <v>149</v>
      </c>
      <c r="G260" s="66"/>
      <c r="H260" s="18"/>
      <c r="I260" s="18"/>
      <c r="J260" s="18"/>
      <c r="K260" s="65"/>
      <c r="L260" s="66"/>
      <c r="M260" s="65"/>
      <c r="N260" s="66"/>
      <c r="O260" s="65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>
      <c r="A261" s="67"/>
      <c r="B261" s="62">
        <v>200.0</v>
      </c>
      <c r="C261" s="17" t="s">
        <v>204</v>
      </c>
      <c r="D261" s="17" t="s">
        <v>24</v>
      </c>
      <c r="E261" s="17" t="s">
        <v>719</v>
      </c>
      <c r="F261" s="64" t="s">
        <v>149</v>
      </c>
      <c r="G261" s="66"/>
      <c r="H261" s="18"/>
      <c r="I261" s="18"/>
      <c r="J261" s="18"/>
      <c r="K261" s="65"/>
      <c r="L261" s="66"/>
      <c r="M261" s="65"/>
      <c r="N261" s="66"/>
      <c r="O261" s="65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>
      <c r="A262" s="63">
        <v>45138.0</v>
      </c>
      <c r="B262" s="62">
        <v>35.0</v>
      </c>
      <c r="C262" s="17" t="s">
        <v>154</v>
      </c>
      <c r="D262" s="17" t="s">
        <v>145</v>
      </c>
      <c r="E262" s="18"/>
      <c r="F262" s="64" t="s">
        <v>155</v>
      </c>
      <c r="G262" s="66"/>
      <c r="H262" s="18"/>
      <c r="I262" s="18"/>
      <c r="J262" s="18"/>
      <c r="K262" s="65"/>
      <c r="L262" s="66"/>
      <c r="M262" s="65"/>
      <c r="N262" s="66"/>
      <c r="O262" s="65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>
      <c r="A263" s="120"/>
      <c r="B263" s="118"/>
      <c r="C263" s="25"/>
      <c r="D263" s="25"/>
      <c r="E263" s="25"/>
      <c r="F263" s="119"/>
      <c r="G263" s="118"/>
      <c r="H263" s="25"/>
      <c r="I263" s="25"/>
      <c r="J263" s="25"/>
      <c r="K263" s="119"/>
      <c r="L263" s="118"/>
      <c r="M263" s="119"/>
      <c r="N263" s="118"/>
      <c r="O263" s="119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>
      <c r="A264" s="120"/>
      <c r="B264" s="118"/>
      <c r="C264" s="25"/>
      <c r="D264" s="25"/>
      <c r="E264" s="25"/>
      <c r="F264" s="119"/>
      <c r="G264" s="118"/>
      <c r="H264" s="25"/>
      <c r="I264" s="25"/>
      <c r="J264" s="25"/>
      <c r="K264" s="119"/>
      <c r="L264" s="118"/>
      <c r="M264" s="119"/>
      <c r="N264" s="118"/>
      <c r="O264" s="119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>
      <c r="A265" s="63">
        <v>45140.0</v>
      </c>
      <c r="B265" s="62">
        <v>1200.0</v>
      </c>
      <c r="C265" s="17" t="s">
        <v>154</v>
      </c>
      <c r="D265" s="17" t="s">
        <v>24</v>
      </c>
      <c r="E265" s="17" t="s">
        <v>720</v>
      </c>
      <c r="F265" s="64" t="s">
        <v>149</v>
      </c>
      <c r="G265" s="66"/>
      <c r="H265" s="18"/>
      <c r="I265" s="18"/>
      <c r="J265" s="18"/>
      <c r="K265" s="65"/>
      <c r="L265" s="66"/>
      <c r="M265" s="65"/>
      <c r="N265" s="66"/>
      <c r="O265" s="65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>
      <c r="A266" s="63">
        <v>45141.0</v>
      </c>
      <c r="B266" s="62">
        <v>125.35</v>
      </c>
      <c r="C266" s="17" t="s">
        <v>154</v>
      </c>
      <c r="D266" s="17" t="s">
        <v>146</v>
      </c>
      <c r="E266" s="18"/>
      <c r="F266" s="64" t="s">
        <v>155</v>
      </c>
      <c r="G266" s="66"/>
      <c r="H266" s="18"/>
      <c r="I266" s="18"/>
      <c r="J266" s="18"/>
      <c r="K266" s="65"/>
      <c r="L266" s="66"/>
      <c r="M266" s="65"/>
      <c r="N266" s="66"/>
      <c r="O266" s="65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>
      <c r="A267" s="63">
        <v>45142.0</v>
      </c>
      <c r="B267" s="62">
        <v>750.0</v>
      </c>
      <c r="C267" s="17" t="s">
        <v>154</v>
      </c>
      <c r="D267" s="17" t="s">
        <v>157</v>
      </c>
      <c r="E267" s="17" t="s">
        <v>721</v>
      </c>
      <c r="F267" s="64" t="s">
        <v>149</v>
      </c>
      <c r="G267" s="62">
        <v>3500.0</v>
      </c>
      <c r="H267" s="17" t="s">
        <v>154</v>
      </c>
      <c r="I267" s="17" t="s">
        <v>157</v>
      </c>
      <c r="J267" s="17" t="s">
        <v>722</v>
      </c>
      <c r="K267" s="64" t="s">
        <v>155</v>
      </c>
      <c r="L267" s="66"/>
      <c r="M267" s="65"/>
      <c r="N267" s="66"/>
      <c r="O267" s="65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>
      <c r="A268" s="63">
        <v>45143.0</v>
      </c>
      <c r="B268" s="62">
        <v>200.0</v>
      </c>
      <c r="C268" s="17" t="s">
        <v>204</v>
      </c>
      <c r="D268" s="17" t="s">
        <v>24</v>
      </c>
      <c r="E268" s="17" t="s">
        <v>723</v>
      </c>
      <c r="F268" s="64" t="s">
        <v>149</v>
      </c>
      <c r="G268" s="62">
        <v>2700.0</v>
      </c>
      <c r="H268" s="17" t="s">
        <v>204</v>
      </c>
      <c r="I268" s="17" t="s">
        <v>160</v>
      </c>
      <c r="J268" s="17" t="s">
        <v>723</v>
      </c>
      <c r="K268" s="64" t="s">
        <v>149</v>
      </c>
      <c r="L268" s="66"/>
      <c r="M268" s="65"/>
      <c r="N268" s="66"/>
      <c r="O268" s="65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>
      <c r="A269" s="67"/>
      <c r="B269" s="62">
        <v>50.0</v>
      </c>
      <c r="C269" s="17" t="s">
        <v>204</v>
      </c>
      <c r="D269" s="17" t="s">
        <v>25</v>
      </c>
      <c r="E269" s="17" t="s">
        <v>723</v>
      </c>
      <c r="F269" s="64" t="s">
        <v>149</v>
      </c>
      <c r="G269" s="66"/>
      <c r="H269" s="18"/>
      <c r="I269" s="18"/>
      <c r="J269" s="18"/>
      <c r="K269" s="65"/>
      <c r="L269" s="66"/>
      <c r="M269" s="65"/>
      <c r="N269" s="66"/>
      <c r="O269" s="65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>
      <c r="A270" s="67"/>
      <c r="B270" s="62">
        <v>300.0</v>
      </c>
      <c r="C270" s="17" t="s">
        <v>204</v>
      </c>
      <c r="D270" s="17" t="s">
        <v>26</v>
      </c>
      <c r="E270" s="17" t="s">
        <v>723</v>
      </c>
      <c r="F270" s="64" t="s">
        <v>149</v>
      </c>
      <c r="G270" s="66"/>
      <c r="H270" s="18"/>
      <c r="I270" s="18"/>
      <c r="J270" s="18"/>
      <c r="K270" s="65"/>
      <c r="L270" s="66"/>
      <c r="M270" s="65"/>
      <c r="N270" s="66"/>
      <c r="O270" s="65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>
      <c r="A271" s="67"/>
      <c r="B271" s="62">
        <v>350.0</v>
      </c>
      <c r="C271" s="17" t="s">
        <v>204</v>
      </c>
      <c r="D271" s="17" t="s">
        <v>109</v>
      </c>
      <c r="E271" s="17" t="s">
        <v>723</v>
      </c>
      <c r="F271" s="64" t="s">
        <v>149</v>
      </c>
      <c r="G271" s="66"/>
      <c r="H271" s="18"/>
      <c r="I271" s="18"/>
      <c r="J271" s="18"/>
      <c r="K271" s="65"/>
      <c r="L271" s="66"/>
      <c r="M271" s="65"/>
      <c r="N271" s="66"/>
      <c r="O271" s="65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>
      <c r="A272" s="67"/>
      <c r="B272" s="62">
        <v>350.0</v>
      </c>
      <c r="C272" s="17" t="s">
        <v>204</v>
      </c>
      <c r="D272" s="17" t="s">
        <v>111</v>
      </c>
      <c r="E272" s="17" t="s">
        <v>723</v>
      </c>
      <c r="F272" s="64" t="s">
        <v>149</v>
      </c>
      <c r="G272" s="66"/>
      <c r="H272" s="18"/>
      <c r="I272" s="18"/>
      <c r="J272" s="18"/>
      <c r="K272" s="65"/>
      <c r="L272" s="66"/>
      <c r="M272" s="65"/>
      <c r="N272" s="66"/>
      <c r="O272" s="65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>
      <c r="A273" s="67"/>
      <c r="B273" s="62">
        <v>350.0</v>
      </c>
      <c r="C273" s="17" t="s">
        <v>204</v>
      </c>
      <c r="D273" s="17" t="s">
        <v>110</v>
      </c>
      <c r="E273" s="17" t="s">
        <v>723</v>
      </c>
      <c r="F273" s="64" t="s">
        <v>149</v>
      </c>
      <c r="G273" s="66"/>
      <c r="H273" s="18"/>
      <c r="I273" s="18"/>
      <c r="J273" s="18"/>
      <c r="K273" s="65"/>
      <c r="L273" s="66"/>
      <c r="M273" s="65"/>
      <c r="N273" s="66"/>
      <c r="O273" s="65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>
      <c r="A274" s="67"/>
      <c r="B274" s="62">
        <v>350.0</v>
      </c>
      <c r="C274" s="17" t="s">
        <v>204</v>
      </c>
      <c r="D274" s="17" t="s">
        <v>113</v>
      </c>
      <c r="E274" s="17" t="s">
        <v>723</v>
      </c>
      <c r="F274" s="64" t="s">
        <v>149</v>
      </c>
      <c r="G274" s="66"/>
      <c r="H274" s="18"/>
      <c r="I274" s="18"/>
      <c r="J274" s="18"/>
      <c r="K274" s="65"/>
      <c r="L274" s="66"/>
      <c r="M274" s="65"/>
      <c r="N274" s="66"/>
      <c r="O274" s="65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>
      <c r="A275" s="67"/>
      <c r="B275" s="62">
        <v>350.0</v>
      </c>
      <c r="C275" s="17" t="s">
        <v>204</v>
      </c>
      <c r="D275" s="17" t="s">
        <v>112</v>
      </c>
      <c r="E275" s="17" t="s">
        <v>723</v>
      </c>
      <c r="F275" s="64" t="s">
        <v>149</v>
      </c>
      <c r="G275" s="66"/>
      <c r="H275" s="18"/>
      <c r="I275" s="18"/>
      <c r="J275" s="18"/>
      <c r="K275" s="65"/>
      <c r="L275" s="66"/>
      <c r="M275" s="65"/>
      <c r="N275" s="66"/>
      <c r="O275" s="65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>
      <c r="A276" s="63">
        <v>45146.0</v>
      </c>
      <c r="B276" s="66"/>
      <c r="C276" s="18"/>
      <c r="D276" s="18"/>
      <c r="E276" s="18"/>
      <c r="F276" s="65"/>
      <c r="G276" s="66"/>
      <c r="H276" s="18"/>
      <c r="I276" s="18"/>
      <c r="J276" s="18"/>
      <c r="K276" s="65"/>
      <c r="L276" s="62">
        <v>1500.0</v>
      </c>
      <c r="M276" s="65"/>
      <c r="N276" s="66"/>
      <c r="O276" s="65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>
      <c r="A277" s="63">
        <v>45149.0</v>
      </c>
      <c r="B277" s="66"/>
      <c r="C277" s="18"/>
      <c r="D277" s="18"/>
      <c r="E277" s="18"/>
      <c r="F277" s="65"/>
      <c r="G277" s="66"/>
      <c r="H277" s="18"/>
      <c r="I277" s="18"/>
      <c r="J277" s="18"/>
      <c r="K277" s="65"/>
      <c r="L277" s="62">
        <v>1500.0</v>
      </c>
      <c r="M277" s="65"/>
      <c r="N277" s="66"/>
      <c r="O277" s="65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>
      <c r="A278" s="63">
        <v>45158.0</v>
      </c>
      <c r="B278" s="62">
        <v>200.0</v>
      </c>
      <c r="C278" s="17" t="s">
        <v>204</v>
      </c>
      <c r="D278" s="17" t="s">
        <v>24</v>
      </c>
      <c r="E278" s="17" t="s">
        <v>724</v>
      </c>
      <c r="F278" s="64" t="s">
        <v>149</v>
      </c>
      <c r="G278" s="62">
        <v>2550.0</v>
      </c>
      <c r="H278" s="17" t="s">
        <v>204</v>
      </c>
      <c r="I278" s="17" t="s">
        <v>160</v>
      </c>
      <c r="J278" s="17" t="s">
        <v>724</v>
      </c>
      <c r="K278" s="64" t="s">
        <v>149</v>
      </c>
      <c r="L278" s="66"/>
      <c r="M278" s="65"/>
      <c r="N278" s="66"/>
      <c r="O278" s="65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>
      <c r="A279" s="67"/>
      <c r="B279" s="62">
        <v>50.0</v>
      </c>
      <c r="C279" s="17" t="s">
        <v>204</v>
      </c>
      <c r="D279" s="17" t="s">
        <v>25</v>
      </c>
      <c r="E279" s="17" t="s">
        <v>724</v>
      </c>
      <c r="F279" s="64" t="s">
        <v>149</v>
      </c>
      <c r="G279" s="66"/>
      <c r="H279" s="18"/>
      <c r="I279" s="18"/>
      <c r="J279" s="18"/>
      <c r="K279" s="65"/>
      <c r="L279" s="66"/>
      <c r="M279" s="65"/>
      <c r="N279" s="66"/>
      <c r="O279" s="65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>
      <c r="A280" s="67"/>
      <c r="B280" s="62">
        <v>400.0</v>
      </c>
      <c r="C280" s="17" t="s">
        <v>204</v>
      </c>
      <c r="D280" s="17" t="s">
        <v>109</v>
      </c>
      <c r="E280" s="17" t="s">
        <v>724</v>
      </c>
      <c r="F280" s="64" t="s">
        <v>149</v>
      </c>
      <c r="G280" s="66"/>
      <c r="H280" s="18"/>
      <c r="I280" s="18"/>
      <c r="J280" s="18"/>
      <c r="K280" s="65"/>
      <c r="L280" s="66"/>
      <c r="M280" s="65"/>
      <c r="N280" s="66"/>
      <c r="O280" s="65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>
      <c r="A281" s="67"/>
      <c r="B281" s="62">
        <v>400.0</v>
      </c>
      <c r="C281" s="17" t="s">
        <v>204</v>
      </c>
      <c r="D281" s="17" t="s">
        <v>111</v>
      </c>
      <c r="E281" s="17" t="s">
        <v>724</v>
      </c>
      <c r="F281" s="64" t="s">
        <v>149</v>
      </c>
      <c r="G281" s="66"/>
      <c r="H281" s="18"/>
      <c r="I281" s="18"/>
      <c r="J281" s="18"/>
      <c r="K281" s="65"/>
      <c r="L281" s="66"/>
      <c r="M281" s="65"/>
      <c r="N281" s="66"/>
      <c r="O281" s="65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>
      <c r="A282" s="67"/>
      <c r="B282" s="62">
        <v>400.0</v>
      </c>
      <c r="C282" s="17" t="s">
        <v>204</v>
      </c>
      <c r="D282" s="17" t="s">
        <v>110</v>
      </c>
      <c r="E282" s="17" t="s">
        <v>724</v>
      </c>
      <c r="F282" s="64" t="s">
        <v>149</v>
      </c>
      <c r="G282" s="66"/>
      <c r="H282" s="18"/>
      <c r="I282" s="18"/>
      <c r="J282" s="18"/>
      <c r="K282" s="65"/>
      <c r="L282" s="66"/>
      <c r="M282" s="65"/>
      <c r="N282" s="66"/>
      <c r="O282" s="65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>
      <c r="A283" s="67"/>
      <c r="B283" s="62">
        <v>400.0</v>
      </c>
      <c r="C283" s="17" t="s">
        <v>204</v>
      </c>
      <c r="D283" s="17" t="s">
        <v>113</v>
      </c>
      <c r="E283" s="17" t="s">
        <v>724</v>
      </c>
      <c r="F283" s="64" t="s">
        <v>149</v>
      </c>
      <c r="G283" s="66"/>
      <c r="H283" s="18"/>
      <c r="I283" s="18"/>
      <c r="J283" s="18"/>
      <c r="K283" s="65"/>
      <c r="L283" s="66"/>
      <c r="M283" s="65"/>
      <c r="N283" s="66"/>
      <c r="O283" s="65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>
      <c r="A284" s="67"/>
      <c r="B284" s="62">
        <v>400.0</v>
      </c>
      <c r="C284" s="17" t="s">
        <v>204</v>
      </c>
      <c r="D284" s="17" t="s">
        <v>112</v>
      </c>
      <c r="E284" s="17" t="s">
        <v>724</v>
      </c>
      <c r="F284" s="64" t="s">
        <v>149</v>
      </c>
      <c r="G284" s="66"/>
      <c r="H284" s="18"/>
      <c r="I284" s="18"/>
      <c r="J284" s="18"/>
      <c r="K284" s="65"/>
      <c r="L284" s="66"/>
      <c r="M284" s="65"/>
      <c r="N284" s="66"/>
      <c r="O284" s="65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>
      <c r="A285" s="63">
        <v>45162.0</v>
      </c>
      <c r="B285" s="66"/>
      <c r="C285" s="18"/>
      <c r="D285" s="18"/>
      <c r="E285" s="18"/>
      <c r="F285" s="65"/>
      <c r="G285" s="66"/>
      <c r="H285" s="18"/>
      <c r="I285" s="18"/>
      <c r="J285" s="18"/>
      <c r="K285" s="65"/>
      <c r="L285" s="62">
        <v>300.0</v>
      </c>
      <c r="M285" s="65"/>
      <c r="N285" s="66"/>
      <c r="O285" s="65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>
      <c r="A286" s="63">
        <v>45163.0</v>
      </c>
      <c r="B286" s="62">
        <v>23.0</v>
      </c>
      <c r="C286" s="17" t="s">
        <v>154</v>
      </c>
      <c r="D286" s="17" t="s">
        <v>143</v>
      </c>
      <c r="E286" s="18"/>
      <c r="F286" s="64" t="s">
        <v>155</v>
      </c>
      <c r="G286" s="62">
        <v>2466.0</v>
      </c>
      <c r="H286" s="17" t="s">
        <v>154</v>
      </c>
      <c r="I286" s="17" t="s">
        <v>157</v>
      </c>
      <c r="J286" s="17" t="s">
        <v>725</v>
      </c>
      <c r="K286" s="64" t="s">
        <v>155</v>
      </c>
      <c r="L286" s="62">
        <v>1000.0</v>
      </c>
      <c r="M286" s="65"/>
      <c r="N286" s="66"/>
      <c r="O286" s="65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>
      <c r="A287" s="67"/>
      <c r="B287" s="62">
        <v>0.51</v>
      </c>
      <c r="C287" s="17" t="s">
        <v>154</v>
      </c>
      <c r="D287" s="17" t="s">
        <v>139</v>
      </c>
      <c r="E287" s="18"/>
      <c r="F287" s="64" t="s">
        <v>155</v>
      </c>
      <c r="G287" s="66"/>
      <c r="H287" s="18"/>
      <c r="I287" s="18"/>
      <c r="J287" s="18"/>
      <c r="K287" s="65"/>
      <c r="L287" s="66"/>
      <c r="M287" s="65"/>
      <c r="N287" s="66"/>
      <c r="O287" s="65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>
      <c r="A288" s="67"/>
      <c r="B288" s="62">
        <v>500.0</v>
      </c>
      <c r="C288" s="17" t="s">
        <v>154</v>
      </c>
      <c r="D288" s="17" t="s">
        <v>24</v>
      </c>
      <c r="E288" s="18"/>
      <c r="F288" s="64" t="s">
        <v>155</v>
      </c>
      <c r="G288" s="66"/>
      <c r="H288" s="18"/>
      <c r="I288" s="18"/>
      <c r="J288" s="18"/>
      <c r="K288" s="65"/>
      <c r="L288" s="66"/>
      <c r="M288" s="65"/>
      <c r="N288" s="66"/>
      <c r="O288" s="65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>
      <c r="A289" s="67"/>
      <c r="B289" s="62">
        <v>0.45</v>
      </c>
      <c r="C289" s="17" t="s">
        <v>154</v>
      </c>
      <c r="D289" s="17" t="s">
        <v>139</v>
      </c>
      <c r="E289" s="18"/>
      <c r="F289" s="64" t="s">
        <v>155</v>
      </c>
      <c r="G289" s="66"/>
      <c r="H289" s="18"/>
      <c r="I289" s="18"/>
      <c r="J289" s="18"/>
      <c r="K289" s="65"/>
      <c r="L289" s="66"/>
      <c r="M289" s="65"/>
      <c r="N289" s="66"/>
      <c r="O289" s="65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>
      <c r="A290" s="67"/>
      <c r="B290" s="62">
        <v>500.0</v>
      </c>
      <c r="C290" s="17" t="s">
        <v>154</v>
      </c>
      <c r="D290" s="17" t="s">
        <v>24</v>
      </c>
      <c r="E290" s="18"/>
      <c r="F290" s="64" t="s">
        <v>155</v>
      </c>
      <c r="G290" s="66"/>
      <c r="H290" s="18"/>
      <c r="I290" s="18"/>
      <c r="J290" s="18"/>
      <c r="K290" s="65"/>
      <c r="L290" s="66"/>
      <c r="M290" s="65"/>
      <c r="N290" s="66"/>
      <c r="O290" s="65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>
      <c r="A291" s="67"/>
      <c r="B291" s="62">
        <v>0.45</v>
      </c>
      <c r="C291" s="17" t="s">
        <v>154</v>
      </c>
      <c r="D291" s="17" t="s">
        <v>139</v>
      </c>
      <c r="E291" s="18"/>
      <c r="F291" s="64" t="s">
        <v>155</v>
      </c>
      <c r="G291" s="66"/>
      <c r="H291" s="18"/>
      <c r="I291" s="18"/>
      <c r="J291" s="18"/>
      <c r="K291" s="65"/>
      <c r="L291" s="66"/>
      <c r="M291" s="65"/>
      <c r="N291" s="66"/>
      <c r="O291" s="65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>
      <c r="A292" s="67"/>
      <c r="B292" s="62">
        <v>2244.0</v>
      </c>
      <c r="C292" s="17" t="s">
        <v>154</v>
      </c>
      <c r="D292" s="17" t="s">
        <v>157</v>
      </c>
      <c r="E292" s="17" t="s">
        <v>725</v>
      </c>
      <c r="F292" s="64" t="s">
        <v>149</v>
      </c>
      <c r="G292" s="66"/>
      <c r="H292" s="18"/>
      <c r="I292" s="18"/>
      <c r="J292" s="18"/>
      <c r="K292" s="65"/>
      <c r="L292" s="66"/>
      <c r="M292" s="65"/>
      <c r="N292" s="66"/>
      <c r="O292" s="65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>
      <c r="A293" s="63">
        <v>45164.0</v>
      </c>
      <c r="B293" s="62">
        <v>200.0</v>
      </c>
      <c r="C293" s="17" t="s">
        <v>204</v>
      </c>
      <c r="D293" s="17" t="s">
        <v>24</v>
      </c>
      <c r="E293" s="17" t="s">
        <v>726</v>
      </c>
      <c r="F293" s="64" t="s">
        <v>149</v>
      </c>
      <c r="G293" s="62">
        <v>3150.0</v>
      </c>
      <c r="H293" s="17" t="s">
        <v>204</v>
      </c>
      <c r="I293" s="17" t="s">
        <v>160</v>
      </c>
      <c r="J293" s="17" t="s">
        <v>726</v>
      </c>
      <c r="K293" s="64" t="s">
        <v>149</v>
      </c>
      <c r="L293" s="66"/>
      <c r="M293" s="65"/>
      <c r="N293" s="66"/>
      <c r="O293" s="65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>
      <c r="A294" s="67"/>
      <c r="B294" s="62">
        <v>50.0</v>
      </c>
      <c r="C294" s="17" t="s">
        <v>204</v>
      </c>
      <c r="D294" s="17" t="s">
        <v>25</v>
      </c>
      <c r="E294" s="17" t="s">
        <v>726</v>
      </c>
      <c r="F294" s="64" t="s">
        <v>149</v>
      </c>
      <c r="G294" s="66"/>
      <c r="H294" s="18"/>
      <c r="I294" s="18"/>
      <c r="J294" s="18"/>
      <c r="K294" s="65"/>
      <c r="L294" s="66"/>
      <c r="M294" s="65"/>
      <c r="N294" s="66"/>
      <c r="O294" s="65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>
      <c r="A295" s="67"/>
      <c r="B295" s="62">
        <v>500.0</v>
      </c>
      <c r="C295" s="17" t="s">
        <v>204</v>
      </c>
      <c r="D295" s="17" t="s">
        <v>109</v>
      </c>
      <c r="E295" s="17" t="s">
        <v>724</v>
      </c>
      <c r="F295" s="64" t="s">
        <v>149</v>
      </c>
      <c r="G295" s="66"/>
      <c r="H295" s="18"/>
      <c r="I295" s="18"/>
      <c r="J295" s="18"/>
      <c r="K295" s="65"/>
      <c r="L295" s="66"/>
      <c r="M295" s="65"/>
      <c r="N295" s="66"/>
      <c r="O295" s="65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>
      <c r="A296" s="67"/>
      <c r="B296" s="62">
        <v>500.0</v>
      </c>
      <c r="C296" s="17" t="s">
        <v>204</v>
      </c>
      <c r="D296" s="17" t="s">
        <v>111</v>
      </c>
      <c r="E296" s="17" t="s">
        <v>724</v>
      </c>
      <c r="F296" s="64" t="s">
        <v>149</v>
      </c>
      <c r="G296" s="66"/>
      <c r="H296" s="18"/>
      <c r="I296" s="18"/>
      <c r="J296" s="18"/>
      <c r="K296" s="65"/>
      <c r="L296" s="66"/>
      <c r="M296" s="65"/>
      <c r="N296" s="66"/>
      <c r="O296" s="65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>
      <c r="A297" s="67"/>
      <c r="B297" s="62">
        <v>500.0</v>
      </c>
      <c r="C297" s="17" t="s">
        <v>204</v>
      </c>
      <c r="D297" s="17" t="s">
        <v>110</v>
      </c>
      <c r="E297" s="17" t="s">
        <v>724</v>
      </c>
      <c r="F297" s="64" t="s">
        <v>149</v>
      </c>
      <c r="G297" s="66"/>
      <c r="H297" s="18"/>
      <c r="I297" s="18"/>
      <c r="J297" s="18"/>
      <c r="K297" s="65"/>
      <c r="L297" s="66"/>
      <c r="M297" s="65"/>
      <c r="N297" s="66"/>
      <c r="O297" s="65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>
      <c r="A298" s="67"/>
      <c r="B298" s="62">
        <v>500.0</v>
      </c>
      <c r="C298" s="17" t="s">
        <v>204</v>
      </c>
      <c r="D298" s="17" t="s">
        <v>113</v>
      </c>
      <c r="E298" s="17" t="s">
        <v>724</v>
      </c>
      <c r="F298" s="64" t="s">
        <v>149</v>
      </c>
      <c r="G298" s="66"/>
      <c r="H298" s="18"/>
      <c r="I298" s="18"/>
      <c r="J298" s="18"/>
      <c r="K298" s="65"/>
      <c r="L298" s="66"/>
      <c r="M298" s="65"/>
      <c r="N298" s="66"/>
      <c r="O298" s="65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>
      <c r="A299" s="67"/>
      <c r="B299" s="62">
        <v>500.0</v>
      </c>
      <c r="C299" s="17" t="s">
        <v>204</v>
      </c>
      <c r="D299" s="17" t="s">
        <v>112</v>
      </c>
      <c r="E299" s="17" t="s">
        <v>724</v>
      </c>
      <c r="F299" s="64" t="s">
        <v>149</v>
      </c>
      <c r="G299" s="66"/>
      <c r="H299" s="18"/>
      <c r="I299" s="18"/>
      <c r="J299" s="18"/>
      <c r="K299" s="65"/>
      <c r="L299" s="66"/>
      <c r="M299" s="65"/>
      <c r="N299" s="66"/>
      <c r="O299" s="65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>
      <c r="A300" s="63">
        <v>45167.0</v>
      </c>
      <c r="B300" s="66"/>
      <c r="C300" s="18"/>
      <c r="D300" s="18"/>
      <c r="E300" s="18"/>
      <c r="F300" s="65"/>
      <c r="G300" s="62">
        <v>14076.0</v>
      </c>
      <c r="H300" s="17" t="s">
        <v>154</v>
      </c>
      <c r="I300" s="17" t="s">
        <v>160</v>
      </c>
      <c r="J300" s="17" t="s">
        <v>727</v>
      </c>
      <c r="K300" s="64" t="s">
        <v>155</v>
      </c>
      <c r="L300" s="66"/>
      <c r="M300" s="65"/>
      <c r="N300" s="66"/>
      <c r="O300" s="65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>
      <c r="A301" s="63">
        <v>45169.0</v>
      </c>
      <c r="B301" s="62">
        <v>35.0</v>
      </c>
      <c r="C301" s="17" t="s">
        <v>154</v>
      </c>
      <c r="D301" s="17" t="s">
        <v>145</v>
      </c>
      <c r="E301" s="18"/>
      <c r="F301" s="64" t="s">
        <v>155</v>
      </c>
      <c r="G301" s="66"/>
      <c r="H301" s="18"/>
      <c r="I301" s="18"/>
      <c r="J301" s="18"/>
      <c r="K301" s="65"/>
      <c r="L301" s="66"/>
      <c r="M301" s="65"/>
      <c r="N301" s="66"/>
      <c r="O301" s="65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>
      <c r="A302" s="120"/>
      <c r="B302" s="118"/>
      <c r="C302" s="25"/>
      <c r="D302" s="25"/>
      <c r="E302" s="25"/>
      <c r="F302" s="119"/>
      <c r="G302" s="118"/>
      <c r="H302" s="25"/>
      <c r="I302" s="25"/>
      <c r="J302" s="25"/>
      <c r="K302" s="119"/>
      <c r="L302" s="118"/>
      <c r="M302" s="119"/>
      <c r="N302" s="118"/>
      <c r="O302" s="119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>
      <c r="A303" s="120"/>
      <c r="B303" s="118"/>
      <c r="C303" s="25"/>
      <c r="D303" s="25"/>
      <c r="E303" s="25"/>
      <c r="F303" s="119"/>
      <c r="G303" s="118"/>
      <c r="H303" s="25"/>
      <c r="I303" s="25"/>
      <c r="J303" s="25"/>
      <c r="K303" s="119"/>
      <c r="L303" s="118"/>
      <c r="M303" s="119"/>
      <c r="N303" s="118"/>
      <c r="O303" s="119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>
      <c r="A304" s="63">
        <v>45172.0</v>
      </c>
      <c r="B304" s="62">
        <v>125.35</v>
      </c>
      <c r="C304" s="17" t="s">
        <v>154</v>
      </c>
      <c r="D304" s="17" t="s">
        <v>146</v>
      </c>
      <c r="E304" s="18"/>
      <c r="F304" s="64" t="s">
        <v>155</v>
      </c>
      <c r="G304" s="66"/>
      <c r="H304" s="18"/>
      <c r="I304" s="18"/>
      <c r="J304" s="18"/>
      <c r="K304" s="65"/>
      <c r="L304" s="66"/>
      <c r="M304" s="65"/>
      <c r="N304" s="66"/>
      <c r="O304" s="65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>
      <c r="A305" s="63">
        <v>45176.0</v>
      </c>
      <c r="B305" s="62">
        <v>1000.0</v>
      </c>
      <c r="C305" s="17" t="s">
        <v>154</v>
      </c>
      <c r="D305" s="17" t="s">
        <v>157</v>
      </c>
      <c r="E305" s="17" t="s">
        <v>728</v>
      </c>
      <c r="F305" s="64" t="s">
        <v>149</v>
      </c>
      <c r="G305" s="62">
        <v>6600.0</v>
      </c>
      <c r="H305" s="17" t="s">
        <v>154</v>
      </c>
      <c r="I305" s="17" t="s">
        <v>160</v>
      </c>
      <c r="J305" s="17" t="s">
        <v>729</v>
      </c>
      <c r="K305" s="64" t="s">
        <v>155</v>
      </c>
      <c r="L305" s="66"/>
      <c r="M305" s="65"/>
      <c r="N305" s="66"/>
      <c r="O305" s="65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>
      <c r="A306" s="63">
        <v>45177.0</v>
      </c>
      <c r="B306" s="62">
        <v>200.0</v>
      </c>
      <c r="C306" s="17" t="s">
        <v>154</v>
      </c>
      <c r="D306" s="17" t="s">
        <v>25</v>
      </c>
      <c r="E306" s="17" t="s">
        <v>729</v>
      </c>
      <c r="F306" s="64" t="s">
        <v>149</v>
      </c>
      <c r="G306" s="66"/>
      <c r="H306" s="18"/>
      <c r="I306" s="18"/>
      <c r="J306" s="18"/>
      <c r="K306" s="65"/>
      <c r="L306" s="66"/>
      <c r="M306" s="65"/>
      <c r="N306" s="66"/>
      <c r="O306" s="65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>
      <c r="A307" s="67"/>
      <c r="B307" s="62">
        <v>1000.0</v>
      </c>
      <c r="C307" s="17" t="s">
        <v>154</v>
      </c>
      <c r="D307" s="17" t="s">
        <v>24</v>
      </c>
      <c r="E307" s="17" t="s">
        <v>729</v>
      </c>
      <c r="F307" s="64" t="s">
        <v>149</v>
      </c>
      <c r="G307" s="66"/>
      <c r="H307" s="18"/>
      <c r="I307" s="18"/>
      <c r="J307" s="18"/>
      <c r="K307" s="65"/>
      <c r="L307" s="66"/>
      <c r="M307" s="65"/>
      <c r="N307" s="66"/>
      <c r="O307" s="65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>
      <c r="A308" s="63">
        <v>45178.0</v>
      </c>
      <c r="B308" s="62">
        <v>250.0</v>
      </c>
      <c r="C308" s="17" t="s">
        <v>204</v>
      </c>
      <c r="D308" s="17" t="s">
        <v>109</v>
      </c>
      <c r="E308" s="17" t="s">
        <v>730</v>
      </c>
      <c r="F308" s="64" t="s">
        <v>149</v>
      </c>
      <c r="G308" s="62">
        <v>1700.0</v>
      </c>
      <c r="H308" s="17" t="s">
        <v>204</v>
      </c>
      <c r="I308" s="17" t="s">
        <v>160</v>
      </c>
      <c r="J308" s="17" t="s">
        <v>730</v>
      </c>
      <c r="K308" s="64" t="s">
        <v>149</v>
      </c>
      <c r="L308" s="66"/>
      <c r="M308" s="65"/>
      <c r="N308" s="66"/>
      <c r="O308" s="65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>
      <c r="A309" s="67"/>
      <c r="B309" s="62">
        <v>250.0</v>
      </c>
      <c r="C309" s="17" t="s">
        <v>204</v>
      </c>
      <c r="D309" s="17" t="s">
        <v>111</v>
      </c>
      <c r="E309" s="17" t="s">
        <v>730</v>
      </c>
      <c r="F309" s="64" t="s">
        <v>149</v>
      </c>
      <c r="G309" s="66"/>
      <c r="H309" s="18"/>
      <c r="I309" s="18"/>
      <c r="J309" s="18"/>
      <c r="K309" s="65"/>
      <c r="L309" s="66"/>
      <c r="M309" s="65"/>
      <c r="N309" s="66"/>
      <c r="O309" s="65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>
      <c r="A310" s="67"/>
      <c r="B310" s="62">
        <v>250.0</v>
      </c>
      <c r="C310" s="17" t="s">
        <v>204</v>
      </c>
      <c r="D310" s="17" t="s">
        <v>110</v>
      </c>
      <c r="E310" s="17" t="s">
        <v>730</v>
      </c>
      <c r="F310" s="64" t="s">
        <v>149</v>
      </c>
      <c r="G310" s="66"/>
      <c r="H310" s="18"/>
      <c r="I310" s="18"/>
      <c r="J310" s="18"/>
      <c r="K310" s="65"/>
      <c r="L310" s="66"/>
      <c r="M310" s="65"/>
      <c r="N310" s="66"/>
      <c r="O310" s="65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>
      <c r="A311" s="67"/>
      <c r="B311" s="62">
        <v>250.0</v>
      </c>
      <c r="C311" s="17" t="s">
        <v>204</v>
      </c>
      <c r="D311" s="17" t="s">
        <v>113</v>
      </c>
      <c r="E311" s="17" t="s">
        <v>730</v>
      </c>
      <c r="F311" s="64" t="s">
        <v>149</v>
      </c>
      <c r="G311" s="66"/>
      <c r="H311" s="18"/>
      <c r="I311" s="18"/>
      <c r="J311" s="18"/>
      <c r="K311" s="65"/>
      <c r="L311" s="66"/>
      <c r="M311" s="65"/>
      <c r="N311" s="66"/>
      <c r="O311" s="65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>
      <c r="A312" s="67"/>
      <c r="B312" s="62">
        <v>250.0</v>
      </c>
      <c r="C312" s="17" t="s">
        <v>204</v>
      </c>
      <c r="D312" s="17" t="s">
        <v>112</v>
      </c>
      <c r="E312" s="17" t="s">
        <v>730</v>
      </c>
      <c r="F312" s="64" t="s">
        <v>149</v>
      </c>
      <c r="G312" s="66"/>
      <c r="H312" s="18"/>
      <c r="I312" s="18"/>
      <c r="J312" s="18"/>
      <c r="K312" s="65"/>
      <c r="L312" s="66"/>
      <c r="M312" s="65"/>
      <c r="N312" s="66"/>
      <c r="O312" s="65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>
      <c r="A313" s="67"/>
      <c r="B313" s="62">
        <v>200.0</v>
      </c>
      <c r="C313" s="17" t="s">
        <v>204</v>
      </c>
      <c r="D313" s="17" t="s">
        <v>24</v>
      </c>
      <c r="E313" s="17" t="s">
        <v>730</v>
      </c>
      <c r="F313" s="64" t="s">
        <v>149</v>
      </c>
      <c r="G313" s="66"/>
      <c r="H313" s="18"/>
      <c r="I313" s="18"/>
      <c r="J313" s="18"/>
      <c r="K313" s="65"/>
      <c r="L313" s="66"/>
      <c r="M313" s="65"/>
      <c r="N313" s="66"/>
      <c r="O313" s="65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>
      <c r="A314" s="63">
        <v>45179.0</v>
      </c>
      <c r="B314" s="62">
        <v>1000.0</v>
      </c>
      <c r="C314" s="17" t="s">
        <v>154</v>
      </c>
      <c r="D314" s="17" t="s">
        <v>24</v>
      </c>
      <c r="E314" s="17" t="s">
        <v>731</v>
      </c>
      <c r="F314" s="64" t="s">
        <v>149</v>
      </c>
      <c r="G314" s="66"/>
      <c r="H314" s="18"/>
      <c r="I314" s="18"/>
      <c r="J314" s="18"/>
      <c r="K314" s="65"/>
      <c r="L314" s="66"/>
      <c r="M314" s="65"/>
      <c r="N314" s="66"/>
      <c r="O314" s="65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>
      <c r="A315" s="67"/>
      <c r="B315" s="62">
        <v>300.0</v>
      </c>
      <c r="C315" s="17" t="s">
        <v>154</v>
      </c>
      <c r="D315" s="17" t="s">
        <v>25</v>
      </c>
      <c r="E315" s="17" t="s">
        <v>729</v>
      </c>
      <c r="F315" s="64" t="s">
        <v>149</v>
      </c>
      <c r="G315" s="66"/>
      <c r="H315" s="18"/>
      <c r="I315" s="18"/>
      <c r="J315" s="18"/>
      <c r="K315" s="65"/>
      <c r="L315" s="66"/>
      <c r="M315" s="65"/>
      <c r="N315" s="66"/>
      <c r="O315" s="65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>
      <c r="A316" s="63">
        <v>45181.0</v>
      </c>
      <c r="B316" s="66"/>
      <c r="C316" s="18"/>
      <c r="D316" s="18"/>
      <c r="E316" s="18"/>
      <c r="F316" s="65"/>
      <c r="G316" s="66"/>
      <c r="H316" s="18"/>
      <c r="I316" s="18"/>
      <c r="J316" s="18"/>
      <c r="K316" s="65"/>
      <c r="L316" s="62">
        <v>2500.0</v>
      </c>
      <c r="M316" s="65"/>
      <c r="N316" s="66"/>
      <c r="O316" s="65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>
      <c r="A317" s="63">
        <v>45184.0</v>
      </c>
      <c r="B317" s="62">
        <v>1000.0</v>
      </c>
      <c r="C317" s="17" t="s">
        <v>154</v>
      </c>
      <c r="D317" s="17" t="s">
        <v>24</v>
      </c>
      <c r="E317" s="17" t="s">
        <v>732</v>
      </c>
      <c r="F317" s="64" t="s">
        <v>149</v>
      </c>
      <c r="G317" s="66"/>
      <c r="H317" s="18"/>
      <c r="I317" s="18"/>
      <c r="J317" s="18"/>
      <c r="K317" s="65"/>
      <c r="L317" s="62">
        <v>1500.0</v>
      </c>
      <c r="M317" s="65"/>
      <c r="N317" s="66"/>
      <c r="O317" s="65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>
      <c r="A318" s="67"/>
      <c r="B318" s="62">
        <v>200.0</v>
      </c>
      <c r="C318" s="17" t="s">
        <v>154</v>
      </c>
      <c r="D318" s="17" t="s">
        <v>25</v>
      </c>
      <c r="E318" s="17" t="s">
        <v>732</v>
      </c>
      <c r="F318" s="64" t="s">
        <v>149</v>
      </c>
      <c r="G318" s="66"/>
      <c r="H318" s="18"/>
      <c r="I318" s="18"/>
      <c r="J318" s="18"/>
      <c r="K318" s="65"/>
      <c r="L318" s="66"/>
      <c r="M318" s="65"/>
      <c r="N318" s="66"/>
      <c r="O318" s="65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>
      <c r="A319" s="63">
        <v>45186.0</v>
      </c>
      <c r="B319" s="62">
        <v>200.0</v>
      </c>
      <c r="C319" s="17" t="s">
        <v>204</v>
      </c>
      <c r="D319" s="17" t="s">
        <v>24</v>
      </c>
      <c r="E319" s="17" t="s">
        <v>733</v>
      </c>
      <c r="F319" s="64" t="s">
        <v>149</v>
      </c>
      <c r="G319" s="62">
        <v>2100.0</v>
      </c>
      <c r="H319" s="17" t="s">
        <v>204</v>
      </c>
      <c r="I319" s="17" t="s">
        <v>160</v>
      </c>
      <c r="J319" s="17" t="s">
        <v>733</v>
      </c>
      <c r="K319" s="64" t="s">
        <v>149</v>
      </c>
      <c r="L319" s="66"/>
      <c r="M319" s="65"/>
      <c r="N319" s="66"/>
      <c r="O319" s="65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>
      <c r="A320" s="67"/>
      <c r="B320" s="62">
        <v>300.0</v>
      </c>
      <c r="C320" s="17" t="s">
        <v>204</v>
      </c>
      <c r="D320" s="17" t="s">
        <v>109</v>
      </c>
      <c r="E320" s="17" t="s">
        <v>733</v>
      </c>
      <c r="F320" s="64" t="s">
        <v>149</v>
      </c>
      <c r="G320" s="66"/>
      <c r="H320" s="18"/>
      <c r="I320" s="18"/>
      <c r="J320" s="18"/>
      <c r="K320" s="65"/>
      <c r="L320" s="66"/>
      <c r="M320" s="65"/>
      <c r="N320" s="66"/>
      <c r="O320" s="65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>
      <c r="A321" s="67"/>
      <c r="B321" s="62">
        <v>300.0</v>
      </c>
      <c r="C321" s="17" t="s">
        <v>204</v>
      </c>
      <c r="D321" s="17" t="s">
        <v>111</v>
      </c>
      <c r="E321" s="17" t="s">
        <v>733</v>
      </c>
      <c r="F321" s="64" t="s">
        <v>149</v>
      </c>
      <c r="G321" s="66"/>
      <c r="H321" s="18"/>
      <c r="I321" s="18"/>
      <c r="J321" s="18"/>
      <c r="K321" s="65"/>
      <c r="L321" s="66"/>
      <c r="M321" s="65"/>
      <c r="N321" s="66"/>
      <c r="O321" s="65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>
      <c r="A322" s="67"/>
      <c r="B322" s="62">
        <v>300.0</v>
      </c>
      <c r="C322" s="17" t="s">
        <v>204</v>
      </c>
      <c r="D322" s="17" t="s">
        <v>110</v>
      </c>
      <c r="E322" s="17" t="s">
        <v>733</v>
      </c>
      <c r="F322" s="64" t="s">
        <v>149</v>
      </c>
      <c r="G322" s="66"/>
      <c r="H322" s="18"/>
      <c r="I322" s="18"/>
      <c r="J322" s="18"/>
      <c r="K322" s="65"/>
      <c r="L322" s="66"/>
      <c r="M322" s="65"/>
      <c r="N322" s="66"/>
      <c r="O322" s="65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>
      <c r="A323" s="67"/>
      <c r="B323" s="62">
        <v>300.0</v>
      </c>
      <c r="C323" s="17" t="s">
        <v>204</v>
      </c>
      <c r="D323" s="17" t="s">
        <v>113</v>
      </c>
      <c r="E323" s="17" t="s">
        <v>733</v>
      </c>
      <c r="F323" s="64" t="s">
        <v>149</v>
      </c>
      <c r="G323" s="66"/>
      <c r="H323" s="18"/>
      <c r="I323" s="18"/>
      <c r="J323" s="18"/>
      <c r="K323" s="65"/>
      <c r="L323" s="66"/>
      <c r="M323" s="65"/>
      <c r="N323" s="66"/>
      <c r="O323" s="65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>
      <c r="A324" s="67"/>
      <c r="B324" s="62">
        <v>300.0</v>
      </c>
      <c r="C324" s="17" t="s">
        <v>204</v>
      </c>
      <c r="D324" s="17" t="s">
        <v>112</v>
      </c>
      <c r="E324" s="17" t="s">
        <v>733</v>
      </c>
      <c r="F324" s="64" t="s">
        <v>149</v>
      </c>
      <c r="G324" s="66"/>
      <c r="H324" s="18"/>
      <c r="I324" s="18"/>
      <c r="J324" s="18"/>
      <c r="K324" s="65"/>
      <c r="L324" s="66"/>
      <c r="M324" s="65"/>
      <c r="N324" s="66"/>
      <c r="O324" s="65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>
      <c r="A325" s="63">
        <v>45188.0</v>
      </c>
      <c r="B325" s="62">
        <v>2.5</v>
      </c>
      <c r="C325" s="17" t="s">
        <v>154</v>
      </c>
      <c r="D325" s="17" t="s">
        <v>139</v>
      </c>
      <c r="E325" s="18"/>
      <c r="F325" s="64" t="s">
        <v>155</v>
      </c>
      <c r="G325" s="62">
        <v>1491.0</v>
      </c>
      <c r="H325" s="17" t="s">
        <v>154</v>
      </c>
      <c r="I325" s="17" t="s">
        <v>9</v>
      </c>
      <c r="J325" s="17" t="s">
        <v>734</v>
      </c>
      <c r="K325" s="64" t="s">
        <v>155</v>
      </c>
      <c r="L325" s="62">
        <v>900.0</v>
      </c>
      <c r="M325" s="65"/>
      <c r="N325" s="66"/>
      <c r="O325" s="65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>
      <c r="A326" s="67"/>
      <c r="B326" s="62">
        <v>9.0</v>
      </c>
      <c r="C326" s="17" t="s">
        <v>154</v>
      </c>
      <c r="D326" s="17" t="s">
        <v>138</v>
      </c>
      <c r="E326" s="18"/>
      <c r="F326" s="64" t="s">
        <v>155</v>
      </c>
      <c r="G326" s="66"/>
      <c r="H326" s="18"/>
      <c r="I326" s="18"/>
      <c r="J326" s="18"/>
      <c r="K326" s="65"/>
      <c r="L326" s="62">
        <v>2000.0</v>
      </c>
      <c r="M326" s="65"/>
      <c r="N326" s="66"/>
      <c r="O326" s="65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>
      <c r="A327" s="67"/>
      <c r="B327" s="62">
        <v>7.0</v>
      </c>
      <c r="C327" s="17" t="s">
        <v>154</v>
      </c>
      <c r="D327" s="17" t="s">
        <v>138</v>
      </c>
      <c r="E327" s="18"/>
      <c r="F327" s="64" t="s">
        <v>155</v>
      </c>
      <c r="G327" s="66"/>
      <c r="H327" s="18"/>
      <c r="I327" s="18"/>
      <c r="J327" s="18"/>
      <c r="K327" s="65"/>
      <c r="L327" s="66"/>
      <c r="M327" s="65"/>
      <c r="N327" s="66"/>
      <c r="O327" s="65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>
      <c r="A328" s="63">
        <v>45190.0</v>
      </c>
      <c r="B328" s="62">
        <v>7.0</v>
      </c>
      <c r="C328" s="17" t="s">
        <v>154</v>
      </c>
      <c r="D328" s="17" t="s">
        <v>138</v>
      </c>
      <c r="E328" s="18"/>
      <c r="F328" s="64" t="s">
        <v>155</v>
      </c>
      <c r="G328" s="62">
        <v>11117.0</v>
      </c>
      <c r="H328" s="17" t="s">
        <v>154</v>
      </c>
      <c r="I328" s="17" t="s">
        <v>160</v>
      </c>
      <c r="J328" s="17" t="s">
        <v>735</v>
      </c>
      <c r="K328" s="64" t="s">
        <v>155</v>
      </c>
      <c r="L328" s="62">
        <v>2000.0</v>
      </c>
      <c r="M328" s="65"/>
      <c r="N328" s="66"/>
      <c r="O328" s="65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>
      <c r="A329" s="63">
        <v>45191.0</v>
      </c>
      <c r="B329" s="62">
        <v>26.0</v>
      </c>
      <c r="C329" s="17" t="s">
        <v>154</v>
      </c>
      <c r="D329" s="17" t="s">
        <v>143</v>
      </c>
      <c r="E329" s="18"/>
      <c r="F329" s="64" t="s">
        <v>155</v>
      </c>
      <c r="G329" s="66"/>
      <c r="H329" s="18"/>
      <c r="I329" s="18"/>
      <c r="J329" s="18"/>
      <c r="K329" s="65"/>
      <c r="L329" s="66"/>
      <c r="M329" s="65"/>
      <c r="N329" s="66"/>
      <c r="O329" s="65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>
      <c r="A330" s="67"/>
      <c r="B330" s="62">
        <v>0.51</v>
      </c>
      <c r="C330" s="17" t="s">
        <v>154</v>
      </c>
      <c r="D330" s="17" t="s">
        <v>139</v>
      </c>
      <c r="E330" s="18"/>
      <c r="F330" s="64" t="s">
        <v>155</v>
      </c>
      <c r="G330" s="66"/>
      <c r="H330" s="18"/>
      <c r="I330" s="18"/>
      <c r="J330" s="18"/>
      <c r="K330" s="65"/>
      <c r="L330" s="66"/>
      <c r="M330" s="65"/>
      <c r="N330" s="66"/>
      <c r="O330" s="65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>
      <c r="A331" s="63">
        <v>45192.0</v>
      </c>
      <c r="B331" s="69">
        <v>400.0</v>
      </c>
      <c r="C331" s="17" t="s">
        <v>204</v>
      </c>
      <c r="D331" s="17" t="s">
        <v>109</v>
      </c>
      <c r="E331" s="50" t="s">
        <v>736</v>
      </c>
      <c r="F331" s="64" t="s">
        <v>149</v>
      </c>
      <c r="G331" s="62">
        <v>2400.0</v>
      </c>
      <c r="H331" s="17" t="s">
        <v>204</v>
      </c>
      <c r="I331" s="17" t="s">
        <v>160</v>
      </c>
      <c r="J331" s="69" t="s">
        <v>736</v>
      </c>
      <c r="K331" s="64" t="s">
        <v>149</v>
      </c>
      <c r="L331" s="66"/>
      <c r="M331" s="65"/>
      <c r="N331" s="66"/>
      <c r="O331" s="65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>
      <c r="A332" s="67"/>
      <c r="B332" s="62">
        <v>400.0</v>
      </c>
      <c r="C332" s="17" t="s">
        <v>204</v>
      </c>
      <c r="D332" s="17" t="s">
        <v>111</v>
      </c>
      <c r="E332" s="17" t="s">
        <v>736</v>
      </c>
      <c r="F332" s="64" t="s">
        <v>149</v>
      </c>
      <c r="G332" s="66"/>
      <c r="H332" s="18"/>
      <c r="I332" s="18"/>
      <c r="J332" s="18"/>
      <c r="K332" s="65"/>
      <c r="L332" s="66"/>
      <c r="M332" s="65"/>
      <c r="N332" s="66"/>
      <c r="O332" s="65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>
      <c r="A333" s="67"/>
      <c r="B333" s="62">
        <v>400.0</v>
      </c>
      <c r="C333" s="17" t="s">
        <v>204</v>
      </c>
      <c r="D333" s="17" t="s">
        <v>110</v>
      </c>
      <c r="E333" s="17" t="s">
        <v>736</v>
      </c>
      <c r="F333" s="64" t="s">
        <v>149</v>
      </c>
      <c r="G333" s="66"/>
      <c r="H333" s="18"/>
      <c r="I333" s="18"/>
      <c r="J333" s="18"/>
      <c r="K333" s="65"/>
      <c r="L333" s="66"/>
      <c r="M333" s="65"/>
      <c r="N333" s="66"/>
      <c r="O333" s="65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>
      <c r="A334" s="67"/>
      <c r="B334" s="62">
        <v>400.0</v>
      </c>
      <c r="C334" s="17" t="s">
        <v>204</v>
      </c>
      <c r="D334" s="17" t="s">
        <v>113</v>
      </c>
      <c r="E334" s="17" t="s">
        <v>736</v>
      </c>
      <c r="F334" s="64" t="s">
        <v>149</v>
      </c>
      <c r="G334" s="66"/>
      <c r="H334" s="18"/>
      <c r="I334" s="18"/>
      <c r="J334" s="18"/>
      <c r="K334" s="65"/>
      <c r="L334" s="66"/>
      <c r="M334" s="65"/>
      <c r="N334" s="66"/>
      <c r="O334" s="65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>
      <c r="A335" s="67"/>
      <c r="B335" s="62">
        <v>400.0</v>
      </c>
      <c r="C335" s="17" t="s">
        <v>204</v>
      </c>
      <c r="D335" s="17" t="s">
        <v>112</v>
      </c>
      <c r="E335" s="17" t="s">
        <v>736</v>
      </c>
      <c r="F335" s="64" t="s">
        <v>149</v>
      </c>
      <c r="G335" s="66"/>
      <c r="H335" s="18"/>
      <c r="I335" s="18"/>
      <c r="J335" s="18"/>
      <c r="K335" s="65"/>
      <c r="L335" s="66"/>
      <c r="M335" s="65"/>
      <c r="N335" s="66"/>
      <c r="O335" s="65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>
      <c r="A336" s="67"/>
      <c r="B336" s="62">
        <v>200.0</v>
      </c>
      <c r="C336" s="17" t="s">
        <v>204</v>
      </c>
      <c r="D336" s="17" t="s">
        <v>24</v>
      </c>
      <c r="E336" s="17" t="s">
        <v>736</v>
      </c>
      <c r="F336" s="64" t="s">
        <v>149</v>
      </c>
      <c r="G336" s="66"/>
      <c r="H336" s="18"/>
      <c r="I336" s="18"/>
      <c r="J336" s="18"/>
      <c r="K336" s="65"/>
      <c r="L336" s="66"/>
      <c r="M336" s="65"/>
      <c r="N336" s="66"/>
      <c r="O336" s="65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>
      <c r="A337" s="63">
        <v>45195.0</v>
      </c>
      <c r="B337" s="62">
        <v>10000.0</v>
      </c>
      <c r="C337" s="17" t="s">
        <v>154</v>
      </c>
      <c r="D337" s="17" t="s">
        <v>157</v>
      </c>
      <c r="E337" s="17" t="s">
        <v>737</v>
      </c>
      <c r="F337" s="64" t="s">
        <v>155</v>
      </c>
      <c r="G337" s="62">
        <v>7453.0</v>
      </c>
      <c r="H337" s="17" t="s">
        <v>154</v>
      </c>
      <c r="I337" s="17" t="s">
        <v>160</v>
      </c>
      <c r="J337" s="17" t="s">
        <v>397</v>
      </c>
      <c r="K337" s="64" t="s">
        <v>155</v>
      </c>
      <c r="L337" s="62">
        <v>1500.0</v>
      </c>
      <c r="M337" s="65"/>
      <c r="N337" s="66"/>
      <c r="O337" s="65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>
      <c r="A338" s="67"/>
      <c r="B338" s="62">
        <v>8300.0</v>
      </c>
      <c r="C338" s="17" t="s">
        <v>154</v>
      </c>
      <c r="D338" s="17" t="s">
        <v>22</v>
      </c>
      <c r="E338" s="18"/>
      <c r="F338" s="64" t="s">
        <v>155</v>
      </c>
      <c r="G338" s="66"/>
      <c r="H338" s="18"/>
      <c r="I338" s="18"/>
      <c r="J338" s="18"/>
      <c r="K338" s="65"/>
      <c r="L338" s="66"/>
      <c r="M338" s="65"/>
      <c r="N338" s="66"/>
      <c r="O338" s="65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>
      <c r="A339" s="67"/>
      <c r="B339" s="62">
        <v>1500.0</v>
      </c>
      <c r="C339" s="17" t="s">
        <v>204</v>
      </c>
      <c r="D339" s="17" t="s">
        <v>22</v>
      </c>
      <c r="E339" s="18"/>
      <c r="F339" s="64" t="s">
        <v>149</v>
      </c>
      <c r="G339" s="66"/>
      <c r="H339" s="18"/>
      <c r="I339" s="18"/>
      <c r="J339" s="18"/>
      <c r="K339" s="65"/>
      <c r="L339" s="66"/>
      <c r="M339" s="65"/>
      <c r="N339" s="66"/>
      <c r="O339" s="65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>
      <c r="A340" s="67"/>
      <c r="B340" s="62">
        <v>0.45</v>
      </c>
      <c r="C340" s="17" t="s">
        <v>154</v>
      </c>
      <c r="D340" s="17" t="s">
        <v>139</v>
      </c>
      <c r="E340" s="18"/>
      <c r="F340" s="64" t="s">
        <v>155</v>
      </c>
      <c r="G340" s="66"/>
      <c r="H340" s="18"/>
      <c r="I340" s="18"/>
      <c r="J340" s="18"/>
      <c r="K340" s="65"/>
      <c r="L340" s="66"/>
      <c r="M340" s="65"/>
      <c r="N340" s="66"/>
      <c r="O340" s="65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>
      <c r="A341" s="67"/>
      <c r="B341" s="62">
        <v>5.25</v>
      </c>
      <c r="C341" s="17" t="s">
        <v>154</v>
      </c>
      <c r="D341" s="17" t="s">
        <v>138</v>
      </c>
      <c r="E341" s="18"/>
      <c r="F341" s="64" t="s">
        <v>155</v>
      </c>
      <c r="G341" s="66"/>
      <c r="H341" s="18"/>
      <c r="I341" s="18"/>
      <c r="J341" s="18"/>
      <c r="K341" s="65"/>
      <c r="L341" s="66"/>
      <c r="M341" s="65"/>
      <c r="N341" s="66"/>
      <c r="O341" s="65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>
      <c r="A342" s="63">
        <v>45197.0</v>
      </c>
      <c r="B342" s="62">
        <v>14.0</v>
      </c>
      <c r="C342" s="17" t="s">
        <v>154</v>
      </c>
      <c r="D342" s="17" t="s">
        <v>138</v>
      </c>
      <c r="E342" s="18"/>
      <c r="F342" s="64" t="s">
        <v>155</v>
      </c>
      <c r="G342" s="66"/>
      <c r="H342" s="18"/>
      <c r="I342" s="18"/>
      <c r="J342" s="18"/>
      <c r="K342" s="65"/>
      <c r="L342" s="62">
        <v>4000.0</v>
      </c>
      <c r="M342" s="65"/>
      <c r="N342" s="66"/>
      <c r="O342" s="65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>
      <c r="A343" s="63">
        <v>45198.0</v>
      </c>
      <c r="B343" s="66"/>
      <c r="C343" s="18"/>
      <c r="D343" s="18"/>
      <c r="E343" s="18"/>
      <c r="F343" s="65"/>
      <c r="G343" s="62">
        <v>6000.0</v>
      </c>
      <c r="H343" s="17" t="s">
        <v>154</v>
      </c>
      <c r="I343" s="17" t="s">
        <v>160</v>
      </c>
      <c r="J343" s="17" t="s">
        <v>738</v>
      </c>
      <c r="K343" s="64" t="s">
        <v>155</v>
      </c>
      <c r="L343" s="66"/>
      <c r="M343" s="65"/>
      <c r="N343" s="66"/>
      <c r="O343" s="65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>
      <c r="A344" s="63">
        <v>45199.0</v>
      </c>
      <c r="B344" s="62">
        <v>35.0</v>
      </c>
      <c r="C344" s="17" t="s">
        <v>154</v>
      </c>
      <c r="D344" s="17" t="s">
        <v>145</v>
      </c>
      <c r="E344" s="18"/>
      <c r="F344" s="64" t="s">
        <v>155</v>
      </c>
      <c r="G344" s="66"/>
      <c r="H344" s="18"/>
      <c r="I344" s="18"/>
      <c r="J344" s="18"/>
      <c r="K344" s="65"/>
      <c r="L344" s="66"/>
      <c r="M344" s="65"/>
      <c r="N344" s="66"/>
      <c r="O344" s="65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>
      <c r="A345" s="120"/>
      <c r="B345" s="118"/>
      <c r="C345" s="25"/>
      <c r="D345" s="25"/>
      <c r="E345" s="25"/>
      <c r="F345" s="119"/>
      <c r="G345" s="118"/>
      <c r="H345" s="25"/>
      <c r="I345" s="25"/>
      <c r="J345" s="25"/>
      <c r="K345" s="119"/>
      <c r="L345" s="118"/>
      <c r="M345" s="119"/>
      <c r="N345" s="118"/>
      <c r="O345" s="119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>
      <c r="A346" s="120"/>
      <c r="B346" s="118"/>
      <c r="C346" s="25"/>
      <c r="D346" s="25"/>
      <c r="E346" s="25"/>
      <c r="F346" s="119"/>
      <c r="G346" s="118"/>
      <c r="H346" s="25"/>
      <c r="I346" s="25"/>
      <c r="J346" s="25"/>
      <c r="K346" s="119"/>
      <c r="L346" s="118"/>
      <c r="M346" s="119"/>
      <c r="N346" s="118"/>
      <c r="O346" s="119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>
      <c r="A347" s="63">
        <v>45202.0</v>
      </c>
      <c r="B347" s="62">
        <v>160.61</v>
      </c>
      <c r="C347" s="17" t="s">
        <v>154</v>
      </c>
      <c r="D347" s="17" t="s">
        <v>146</v>
      </c>
      <c r="E347" s="18"/>
      <c r="F347" s="64" t="s">
        <v>155</v>
      </c>
      <c r="G347" s="66"/>
      <c r="H347" s="18"/>
      <c r="I347" s="18"/>
      <c r="J347" s="18"/>
      <c r="K347" s="65"/>
      <c r="L347" s="66"/>
      <c r="M347" s="65"/>
      <c r="N347" s="66"/>
      <c r="O347" s="65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>
      <c r="A348" s="67"/>
      <c r="B348" s="62">
        <v>2000.0</v>
      </c>
      <c r="C348" s="17" t="s">
        <v>154</v>
      </c>
      <c r="D348" s="17" t="s">
        <v>111</v>
      </c>
      <c r="E348" s="17" t="s">
        <v>739</v>
      </c>
      <c r="F348" s="64" t="s">
        <v>149</v>
      </c>
      <c r="G348" s="66"/>
      <c r="H348" s="18"/>
      <c r="I348" s="18"/>
      <c r="J348" s="18"/>
      <c r="K348" s="65"/>
      <c r="L348" s="66"/>
      <c r="M348" s="65"/>
      <c r="N348" s="66"/>
      <c r="O348" s="65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>
      <c r="A349" s="67"/>
      <c r="B349" s="62">
        <v>1500.0</v>
      </c>
      <c r="C349" s="17" t="s">
        <v>154</v>
      </c>
      <c r="D349" s="17" t="s">
        <v>111</v>
      </c>
      <c r="E349" s="17" t="s">
        <v>735</v>
      </c>
      <c r="F349" s="64" t="s">
        <v>149</v>
      </c>
      <c r="G349" s="66"/>
      <c r="H349" s="18"/>
      <c r="I349" s="18"/>
      <c r="J349" s="18"/>
      <c r="K349" s="65"/>
      <c r="L349" s="66"/>
      <c r="M349" s="65"/>
      <c r="N349" s="66"/>
      <c r="O349" s="65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>
      <c r="A350" s="67"/>
      <c r="B350" s="62">
        <v>2000.0</v>
      </c>
      <c r="C350" s="17" t="s">
        <v>154</v>
      </c>
      <c r="D350" s="17" t="s">
        <v>109</v>
      </c>
      <c r="E350" s="17" t="s">
        <v>739</v>
      </c>
      <c r="F350" s="64" t="s">
        <v>149</v>
      </c>
      <c r="G350" s="66"/>
      <c r="H350" s="18"/>
      <c r="I350" s="18"/>
      <c r="J350" s="18"/>
      <c r="K350" s="65"/>
      <c r="L350" s="66"/>
      <c r="M350" s="65"/>
      <c r="N350" s="66"/>
      <c r="O350" s="65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>
      <c r="A351" s="67"/>
      <c r="B351" s="62">
        <v>1500.0</v>
      </c>
      <c r="C351" s="17" t="s">
        <v>154</v>
      </c>
      <c r="D351" s="17" t="s">
        <v>109</v>
      </c>
      <c r="E351" s="17" t="s">
        <v>735</v>
      </c>
      <c r="F351" s="64" t="s">
        <v>149</v>
      </c>
      <c r="G351" s="66"/>
      <c r="H351" s="18"/>
      <c r="I351" s="18"/>
      <c r="J351" s="18"/>
      <c r="K351" s="65"/>
      <c r="L351" s="66"/>
      <c r="M351" s="65"/>
      <c r="N351" s="66"/>
      <c r="O351" s="65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>
      <c r="A352" s="67"/>
      <c r="B352" s="62">
        <v>1800.0</v>
      </c>
      <c r="C352" s="17" t="s">
        <v>204</v>
      </c>
      <c r="D352" s="17" t="s">
        <v>219</v>
      </c>
      <c r="E352" s="18"/>
      <c r="F352" s="64" t="s">
        <v>149</v>
      </c>
      <c r="G352" s="62">
        <v>8820.0</v>
      </c>
      <c r="H352" s="17" t="s">
        <v>154</v>
      </c>
      <c r="I352" s="17" t="s">
        <v>219</v>
      </c>
      <c r="J352" s="18"/>
      <c r="K352" s="64" t="s">
        <v>149</v>
      </c>
      <c r="L352" s="66"/>
      <c r="M352" s="65"/>
      <c r="N352" s="66"/>
      <c r="O352" s="65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>
      <c r="A353" s="67"/>
      <c r="B353" s="62">
        <v>480.0</v>
      </c>
      <c r="C353" s="17" t="s">
        <v>154</v>
      </c>
      <c r="D353" s="17" t="s">
        <v>691</v>
      </c>
      <c r="E353" s="18"/>
      <c r="F353" s="64" t="s">
        <v>149</v>
      </c>
      <c r="G353" s="66"/>
      <c r="H353" s="18"/>
      <c r="I353" s="18"/>
      <c r="J353" s="18"/>
      <c r="K353" s="65"/>
      <c r="L353" s="66"/>
      <c r="M353" s="65"/>
      <c r="N353" s="66"/>
      <c r="O353" s="65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>
      <c r="A354" s="63">
        <v>45204.0</v>
      </c>
      <c r="B354" s="62">
        <v>40.7</v>
      </c>
      <c r="C354" s="17" t="s">
        <v>154</v>
      </c>
      <c r="D354" s="17" t="s">
        <v>345</v>
      </c>
      <c r="E354" s="18"/>
      <c r="F354" s="64" t="s">
        <v>155</v>
      </c>
      <c r="G354" s="66"/>
      <c r="H354" s="18"/>
      <c r="I354" s="18"/>
      <c r="J354" s="18"/>
      <c r="K354" s="65"/>
      <c r="L354" s="62">
        <v>2000.0</v>
      </c>
      <c r="M354" s="65"/>
      <c r="N354" s="66"/>
      <c r="O354" s="65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>
      <c r="A355" s="63">
        <v>45205.0</v>
      </c>
      <c r="B355" s="62">
        <v>256.0</v>
      </c>
      <c r="C355" s="17" t="s">
        <v>154</v>
      </c>
      <c r="D355" s="17" t="s">
        <v>157</v>
      </c>
      <c r="E355" s="17" t="s">
        <v>740</v>
      </c>
      <c r="F355" s="64" t="s">
        <v>155</v>
      </c>
      <c r="G355" s="66"/>
      <c r="H355" s="18"/>
      <c r="I355" s="18"/>
      <c r="K355" s="65"/>
      <c r="L355" s="66"/>
      <c r="M355" s="65"/>
      <c r="N355" s="66"/>
      <c r="O355" s="65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>
      <c r="A356" s="63">
        <v>45206.0</v>
      </c>
      <c r="B356" s="62">
        <v>188.84</v>
      </c>
      <c r="C356" s="17" t="s">
        <v>154</v>
      </c>
      <c r="D356" s="17" t="s">
        <v>157</v>
      </c>
      <c r="E356" s="17" t="s">
        <v>741</v>
      </c>
      <c r="F356" s="64" t="s">
        <v>155</v>
      </c>
      <c r="G356" s="62">
        <v>15750.0</v>
      </c>
      <c r="H356" s="17" t="s">
        <v>154</v>
      </c>
      <c r="I356" s="17" t="s">
        <v>160</v>
      </c>
      <c r="J356" s="17" t="s">
        <v>742</v>
      </c>
      <c r="K356" s="64" t="s">
        <v>149</v>
      </c>
      <c r="L356" s="66"/>
      <c r="M356" s="65"/>
      <c r="N356" s="66"/>
      <c r="O356" s="65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>
      <c r="A357" s="63"/>
      <c r="B357" s="17">
        <v>2500.0</v>
      </c>
      <c r="C357" s="17" t="s">
        <v>154</v>
      </c>
      <c r="D357" s="17" t="s">
        <v>109</v>
      </c>
      <c r="E357" s="17" t="s">
        <v>742</v>
      </c>
      <c r="F357" s="64" t="s">
        <v>149</v>
      </c>
      <c r="G357" s="18"/>
      <c r="H357" s="18"/>
      <c r="I357" s="18"/>
      <c r="J357" s="18"/>
      <c r="K357" s="18"/>
      <c r="L357" s="66"/>
      <c r="M357" s="65"/>
      <c r="N357" s="66"/>
      <c r="O357" s="65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>
      <c r="A358" s="63"/>
      <c r="B358" s="17">
        <v>2500.0</v>
      </c>
      <c r="C358" s="17" t="s">
        <v>154</v>
      </c>
      <c r="D358" s="17" t="s">
        <v>111</v>
      </c>
      <c r="E358" s="17" t="s">
        <v>742</v>
      </c>
      <c r="F358" s="64" t="s">
        <v>149</v>
      </c>
      <c r="G358" s="18"/>
      <c r="H358" s="18"/>
      <c r="I358" s="18"/>
      <c r="J358" s="18"/>
      <c r="K358" s="18"/>
      <c r="L358" s="66"/>
      <c r="M358" s="65"/>
      <c r="N358" s="66"/>
      <c r="O358" s="65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>
      <c r="A359" s="63"/>
      <c r="B359" s="17">
        <v>2500.0</v>
      </c>
      <c r="C359" s="17" t="s">
        <v>154</v>
      </c>
      <c r="D359" s="17" t="s">
        <v>113</v>
      </c>
      <c r="E359" s="17" t="s">
        <v>742</v>
      </c>
      <c r="F359" s="64" t="s">
        <v>149</v>
      </c>
      <c r="G359" s="18"/>
      <c r="H359" s="18"/>
      <c r="I359" s="18"/>
      <c r="J359" s="18"/>
      <c r="K359" s="18"/>
      <c r="L359" s="66"/>
      <c r="M359" s="65"/>
      <c r="N359" s="66"/>
      <c r="O359" s="65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>
      <c r="A360" s="63"/>
      <c r="B360" s="17">
        <v>2500.0</v>
      </c>
      <c r="C360" s="17" t="s">
        <v>154</v>
      </c>
      <c r="D360" s="17" t="s">
        <v>110</v>
      </c>
      <c r="E360" s="17" t="s">
        <v>742</v>
      </c>
      <c r="F360" s="64" t="s">
        <v>149</v>
      </c>
      <c r="G360" s="18"/>
      <c r="H360" s="18"/>
      <c r="I360" s="18"/>
      <c r="J360" s="18"/>
      <c r="K360" s="18"/>
      <c r="L360" s="66"/>
      <c r="M360" s="65"/>
      <c r="N360" s="66"/>
      <c r="O360" s="65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>
      <c r="A361" s="63"/>
      <c r="B361" s="17">
        <v>2500.0</v>
      </c>
      <c r="C361" s="17" t="s">
        <v>154</v>
      </c>
      <c r="D361" s="17" t="s">
        <v>112</v>
      </c>
      <c r="E361" s="17" t="s">
        <v>742</v>
      </c>
      <c r="F361" s="64" t="s">
        <v>149</v>
      </c>
      <c r="G361" s="18"/>
      <c r="H361" s="18"/>
      <c r="I361" s="18"/>
      <c r="J361" s="18"/>
      <c r="K361" s="18"/>
      <c r="L361" s="66"/>
      <c r="M361" s="65"/>
      <c r="N361" s="66"/>
      <c r="O361" s="65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>
      <c r="A362" s="63"/>
      <c r="B362" s="17">
        <v>2000.0</v>
      </c>
      <c r="C362" s="17" t="s">
        <v>154</v>
      </c>
      <c r="D362" s="17" t="s">
        <v>22</v>
      </c>
      <c r="E362" s="17" t="s">
        <v>742</v>
      </c>
      <c r="F362" s="64" t="s">
        <v>149</v>
      </c>
      <c r="G362" s="18"/>
      <c r="H362" s="18"/>
      <c r="I362" s="18"/>
      <c r="J362" s="18"/>
      <c r="K362" s="18"/>
      <c r="L362" s="66"/>
      <c r="M362" s="65"/>
      <c r="N362" s="66"/>
      <c r="O362" s="65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>
      <c r="A363" s="63"/>
      <c r="B363" s="17">
        <v>1250.0</v>
      </c>
      <c r="C363" s="17" t="s">
        <v>154</v>
      </c>
      <c r="D363" s="17" t="s">
        <v>24</v>
      </c>
      <c r="E363" s="17" t="s">
        <v>742</v>
      </c>
      <c r="F363" s="64" t="s">
        <v>149</v>
      </c>
      <c r="G363" s="18"/>
      <c r="H363" s="18"/>
      <c r="I363" s="18"/>
      <c r="J363" s="18"/>
      <c r="K363" s="18"/>
      <c r="L363" s="66"/>
      <c r="M363" s="65"/>
      <c r="N363" s="66"/>
      <c r="O363" s="65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>
      <c r="A364" s="63"/>
      <c r="B364" s="17">
        <v>2000.0</v>
      </c>
      <c r="C364" s="17" t="s">
        <v>154</v>
      </c>
      <c r="D364" s="17" t="s">
        <v>25</v>
      </c>
      <c r="E364" s="17" t="s">
        <v>742</v>
      </c>
      <c r="F364" s="64" t="s">
        <v>149</v>
      </c>
      <c r="G364" s="18"/>
      <c r="H364" s="18"/>
      <c r="I364" s="18"/>
      <c r="J364" s="18"/>
      <c r="K364" s="18"/>
      <c r="L364" s="66"/>
      <c r="M364" s="65"/>
      <c r="N364" s="66"/>
      <c r="O364" s="65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>
      <c r="A365" s="63">
        <v>45207.0</v>
      </c>
      <c r="B365" s="69">
        <v>2.0</v>
      </c>
      <c r="C365" s="17" t="s">
        <v>154</v>
      </c>
      <c r="D365" s="17" t="s">
        <v>138</v>
      </c>
      <c r="F365" s="64" t="s">
        <v>155</v>
      </c>
      <c r="G365" s="34"/>
      <c r="J365" s="34"/>
      <c r="L365" s="62">
        <v>900.0</v>
      </c>
      <c r="M365" s="65"/>
      <c r="N365" s="66"/>
      <c r="O365" s="65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>
      <c r="A366" s="67"/>
      <c r="B366" s="69">
        <v>9.0</v>
      </c>
      <c r="C366" s="17" t="s">
        <v>154</v>
      </c>
      <c r="D366" s="17" t="s">
        <v>138</v>
      </c>
      <c r="F366" s="64" t="s">
        <v>155</v>
      </c>
      <c r="G366" s="34"/>
      <c r="J366" s="34"/>
      <c r="L366" s="66"/>
      <c r="M366" s="65"/>
      <c r="N366" s="66"/>
      <c r="O366" s="65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>
      <c r="A367" s="63">
        <v>45208.0</v>
      </c>
      <c r="B367" s="34"/>
      <c r="F367" s="65"/>
      <c r="G367" s="34"/>
      <c r="J367" s="34"/>
      <c r="L367" s="62">
        <v>2500.0</v>
      </c>
      <c r="M367" s="65"/>
      <c r="N367" s="66"/>
      <c r="O367" s="65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>
      <c r="A368" s="63">
        <v>45224.0</v>
      </c>
      <c r="B368" s="69">
        <v>6000.0</v>
      </c>
      <c r="C368" s="17" t="s">
        <v>154</v>
      </c>
      <c r="D368" s="17" t="s">
        <v>157</v>
      </c>
      <c r="E368" s="50" t="s">
        <v>743</v>
      </c>
      <c r="F368" s="64" t="s">
        <v>149</v>
      </c>
      <c r="G368" s="62">
        <v>6000.0</v>
      </c>
      <c r="H368" s="17" t="s">
        <v>154</v>
      </c>
      <c r="I368" s="17" t="s">
        <v>157</v>
      </c>
      <c r="J368" s="69" t="s">
        <v>743</v>
      </c>
      <c r="K368" s="64" t="s">
        <v>155</v>
      </c>
      <c r="L368" s="66"/>
      <c r="M368" s="65"/>
      <c r="N368" s="66"/>
      <c r="O368" s="65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>
      <c r="A369" s="67"/>
      <c r="B369" s="69">
        <v>3555.0</v>
      </c>
      <c r="C369" s="17" t="s">
        <v>154</v>
      </c>
      <c r="D369" s="17" t="s">
        <v>141</v>
      </c>
      <c r="F369" s="64" t="s">
        <v>155</v>
      </c>
      <c r="G369" s="34"/>
      <c r="J369" s="34"/>
      <c r="L369" s="66"/>
      <c r="M369" s="65"/>
      <c r="N369" s="66"/>
      <c r="O369" s="65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>
      <c r="A370" s="67"/>
      <c r="B370" s="69">
        <v>0.51</v>
      </c>
      <c r="C370" s="17" t="s">
        <v>154</v>
      </c>
      <c r="D370" s="17" t="s">
        <v>139</v>
      </c>
      <c r="F370" s="64" t="s">
        <v>155</v>
      </c>
      <c r="G370" s="34"/>
      <c r="J370" s="34"/>
      <c r="L370" s="66"/>
      <c r="M370" s="65"/>
      <c r="N370" s="66"/>
      <c r="O370" s="65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>
      <c r="A371" s="67"/>
      <c r="B371" s="69">
        <v>204.0</v>
      </c>
      <c r="C371" s="17" t="s">
        <v>154</v>
      </c>
      <c r="D371" s="17" t="s">
        <v>141</v>
      </c>
      <c r="F371" s="64" t="s">
        <v>155</v>
      </c>
      <c r="G371" s="34"/>
      <c r="J371" s="34"/>
      <c r="L371" s="66"/>
      <c r="M371" s="65"/>
      <c r="N371" s="66"/>
      <c r="O371" s="65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>
      <c r="A372" s="67"/>
      <c r="B372" s="69">
        <v>0.51</v>
      </c>
      <c r="C372" s="17" t="s">
        <v>154</v>
      </c>
      <c r="D372" s="17" t="s">
        <v>139</v>
      </c>
      <c r="F372" s="64" t="s">
        <v>155</v>
      </c>
      <c r="G372" s="34"/>
      <c r="J372" s="34"/>
      <c r="L372" s="66"/>
      <c r="M372" s="65"/>
      <c r="N372" s="66"/>
      <c r="O372" s="65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>
      <c r="A373" s="67"/>
      <c r="B373" s="69">
        <v>671.0</v>
      </c>
      <c r="C373" s="17" t="s">
        <v>154</v>
      </c>
      <c r="D373" s="17" t="s">
        <v>212</v>
      </c>
      <c r="F373" s="64" t="s">
        <v>155</v>
      </c>
      <c r="G373" s="34"/>
      <c r="J373" s="34"/>
      <c r="L373" s="66"/>
      <c r="M373" s="65"/>
      <c r="N373" s="66"/>
      <c r="O373" s="65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>
      <c r="A374" s="67"/>
      <c r="B374" s="69">
        <v>0.51</v>
      </c>
      <c r="C374" s="17" t="s">
        <v>154</v>
      </c>
      <c r="D374" s="17" t="s">
        <v>139</v>
      </c>
      <c r="F374" s="64" t="s">
        <v>155</v>
      </c>
      <c r="L374" s="66"/>
      <c r="M374" s="65"/>
      <c r="N374" s="66"/>
      <c r="O374" s="65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>
      <c r="A375" s="63">
        <v>45225.0</v>
      </c>
      <c r="B375" s="69">
        <v>116.62</v>
      </c>
      <c r="C375" s="17" t="s">
        <v>154</v>
      </c>
      <c r="D375" s="17" t="s">
        <v>157</v>
      </c>
      <c r="E375" s="50" t="s">
        <v>744</v>
      </c>
      <c r="F375" s="64" t="s">
        <v>155</v>
      </c>
      <c r="G375" s="69">
        <v>1490.0</v>
      </c>
      <c r="H375" s="17" t="s">
        <v>154</v>
      </c>
      <c r="I375" s="17" t="s">
        <v>9</v>
      </c>
      <c r="J375" s="69" t="s">
        <v>745</v>
      </c>
      <c r="K375" s="64" t="s">
        <v>155</v>
      </c>
      <c r="L375" s="66"/>
      <c r="M375" s="65"/>
      <c r="N375" s="66"/>
      <c r="O375" s="65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>
      <c r="A376" s="63">
        <v>45226.0</v>
      </c>
      <c r="B376" s="34"/>
      <c r="F376" s="65"/>
      <c r="G376" s="69">
        <v>13872.0</v>
      </c>
      <c r="H376" s="17" t="s">
        <v>154</v>
      </c>
      <c r="I376" s="17" t="s">
        <v>160</v>
      </c>
      <c r="J376" s="69" t="s">
        <v>746</v>
      </c>
      <c r="K376" s="64" t="s">
        <v>155</v>
      </c>
      <c r="L376" s="66"/>
      <c r="M376" s="65"/>
      <c r="N376" s="66"/>
      <c r="O376" s="65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>
      <c r="A377" s="63">
        <v>45227.0</v>
      </c>
      <c r="B377" s="62">
        <v>500.0</v>
      </c>
      <c r="C377" s="17" t="s">
        <v>154</v>
      </c>
      <c r="D377" s="17" t="s">
        <v>24</v>
      </c>
      <c r="E377" s="17" t="s">
        <v>747</v>
      </c>
      <c r="F377" s="64" t="s">
        <v>149</v>
      </c>
      <c r="G377" s="62">
        <v>1500.0</v>
      </c>
      <c r="H377" s="17" t="s">
        <v>154</v>
      </c>
      <c r="I377" s="17" t="s">
        <v>9</v>
      </c>
      <c r="J377" s="17" t="s">
        <v>467</v>
      </c>
      <c r="K377" s="64" t="s">
        <v>149</v>
      </c>
      <c r="L377" s="66"/>
      <c r="M377" s="65"/>
      <c r="N377" s="66"/>
      <c r="O377" s="65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>
      <c r="A378" s="67"/>
      <c r="B378" s="62">
        <v>100.0</v>
      </c>
      <c r="C378" s="17" t="s">
        <v>204</v>
      </c>
      <c r="D378" s="17" t="s">
        <v>24</v>
      </c>
      <c r="E378" s="17" t="s">
        <v>748</v>
      </c>
      <c r="F378" s="64" t="s">
        <v>149</v>
      </c>
      <c r="G378" s="62">
        <v>2800.0</v>
      </c>
      <c r="H378" s="17" t="s">
        <v>204</v>
      </c>
      <c r="I378" s="17" t="s">
        <v>160</v>
      </c>
      <c r="J378" s="69" t="s">
        <v>749</v>
      </c>
      <c r="K378" s="64" t="s">
        <v>149</v>
      </c>
      <c r="L378" s="66"/>
      <c r="M378" s="65"/>
      <c r="N378" s="66"/>
      <c r="O378" s="65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>
      <c r="A379" s="67"/>
      <c r="B379" s="62">
        <v>500.0</v>
      </c>
      <c r="C379" s="17" t="s">
        <v>154</v>
      </c>
      <c r="D379" s="17" t="s">
        <v>24</v>
      </c>
      <c r="E379" s="17" t="s">
        <v>748</v>
      </c>
      <c r="F379" s="64" t="s">
        <v>149</v>
      </c>
      <c r="G379" s="66"/>
      <c r="H379" s="18"/>
      <c r="I379" s="18"/>
      <c r="J379" s="18"/>
      <c r="K379" s="65"/>
      <c r="L379" s="66"/>
      <c r="M379" s="65"/>
      <c r="N379" s="66"/>
      <c r="O379" s="65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>
      <c r="A380" s="67"/>
      <c r="B380" s="62">
        <v>250.0</v>
      </c>
      <c r="C380" s="17" t="s">
        <v>154</v>
      </c>
      <c r="D380" s="17" t="s">
        <v>25</v>
      </c>
      <c r="E380" s="17" t="s">
        <v>748</v>
      </c>
      <c r="F380" s="64" t="s">
        <v>149</v>
      </c>
      <c r="G380" s="66"/>
      <c r="H380" s="18"/>
      <c r="I380" s="18"/>
      <c r="J380" s="18"/>
      <c r="K380" s="65"/>
      <c r="L380" s="66"/>
      <c r="M380" s="65"/>
      <c r="N380" s="66"/>
      <c r="O380" s="65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>
      <c r="A381" s="67"/>
      <c r="B381" s="69">
        <v>450.0</v>
      </c>
      <c r="C381" s="17" t="s">
        <v>204</v>
      </c>
      <c r="D381" s="17" t="s">
        <v>109</v>
      </c>
      <c r="E381" s="17" t="s">
        <v>748</v>
      </c>
      <c r="F381" s="64" t="s">
        <v>149</v>
      </c>
      <c r="G381" s="66"/>
      <c r="H381" s="18"/>
      <c r="I381" s="18"/>
      <c r="J381" s="18"/>
      <c r="K381" s="65"/>
      <c r="L381" s="66"/>
      <c r="M381" s="65"/>
      <c r="N381" s="66"/>
      <c r="O381" s="65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>
      <c r="A382" s="67"/>
      <c r="B382" s="62">
        <v>450.0</v>
      </c>
      <c r="C382" s="17" t="s">
        <v>204</v>
      </c>
      <c r="D382" s="17" t="s">
        <v>111</v>
      </c>
      <c r="E382" s="17" t="s">
        <v>748</v>
      </c>
      <c r="F382" s="82" t="s">
        <v>149</v>
      </c>
      <c r="G382" s="66"/>
      <c r="H382" s="18"/>
      <c r="I382" s="18"/>
      <c r="J382" s="18"/>
      <c r="K382" s="65"/>
      <c r="L382" s="66"/>
      <c r="M382" s="65"/>
      <c r="N382" s="66"/>
      <c r="O382" s="65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>
      <c r="A383" s="67"/>
      <c r="B383" s="62">
        <v>450.0</v>
      </c>
      <c r="C383" s="17" t="s">
        <v>204</v>
      </c>
      <c r="D383" s="17" t="s">
        <v>110</v>
      </c>
      <c r="E383" s="17" t="s">
        <v>748</v>
      </c>
      <c r="F383" s="122" t="s">
        <v>149</v>
      </c>
      <c r="G383" s="66"/>
      <c r="H383" s="18"/>
      <c r="I383" s="18"/>
      <c r="J383" s="18"/>
      <c r="K383" s="65"/>
      <c r="L383" s="66"/>
      <c r="M383" s="65"/>
      <c r="N383" s="66"/>
      <c r="O383" s="65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>
      <c r="A384" s="67"/>
      <c r="B384" s="62">
        <v>450.0</v>
      </c>
      <c r="C384" s="17" t="s">
        <v>204</v>
      </c>
      <c r="D384" s="17" t="s">
        <v>113</v>
      </c>
      <c r="E384" s="17" t="s">
        <v>748</v>
      </c>
      <c r="F384" s="122" t="s">
        <v>149</v>
      </c>
      <c r="G384" s="66"/>
      <c r="H384" s="18"/>
      <c r="I384" s="18"/>
      <c r="J384" s="18"/>
      <c r="K384" s="65"/>
      <c r="L384" s="66"/>
      <c r="M384" s="65"/>
      <c r="N384" s="66"/>
      <c r="O384" s="65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>
      <c r="A385" s="67"/>
      <c r="B385" s="62">
        <v>450.0</v>
      </c>
      <c r="C385" s="17" t="s">
        <v>204</v>
      </c>
      <c r="D385" s="17" t="s">
        <v>112</v>
      </c>
      <c r="E385" s="17" t="s">
        <v>748</v>
      </c>
      <c r="F385" s="122" t="s">
        <v>149</v>
      </c>
      <c r="G385" s="66"/>
      <c r="H385" s="18"/>
      <c r="I385" s="18"/>
      <c r="J385" s="18"/>
      <c r="K385" s="65"/>
      <c r="L385" s="66"/>
      <c r="M385" s="65"/>
      <c r="N385" s="66"/>
      <c r="O385" s="65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>
      <c r="A386" s="63">
        <v>45230.0</v>
      </c>
      <c r="B386" s="69">
        <v>35.0</v>
      </c>
      <c r="C386" s="17" t="s">
        <v>154</v>
      </c>
      <c r="D386" s="17" t="s">
        <v>145</v>
      </c>
      <c r="F386" s="64" t="s">
        <v>155</v>
      </c>
      <c r="G386" s="34"/>
      <c r="J386" s="34"/>
      <c r="L386" s="66"/>
      <c r="M386" s="65"/>
      <c r="N386" s="66"/>
      <c r="O386" s="65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>
      <c r="A387" s="120"/>
      <c r="B387" s="118"/>
      <c r="C387" s="25"/>
      <c r="D387" s="25"/>
      <c r="E387" s="25"/>
      <c r="F387" s="119"/>
      <c r="G387" s="118"/>
      <c r="H387" s="25"/>
      <c r="I387" s="25"/>
      <c r="J387" s="25"/>
      <c r="K387" s="119"/>
      <c r="L387" s="118"/>
      <c r="M387" s="119"/>
      <c r="N387" s="118"/>
      <c r="O387" s="119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>
      <c r="A388" s="120"/>
      <c r="B388" s="118"/>
      <c r="C388" s="25"/>
      <c r="D388" s="25"/>
      <c r="E388" s="25"/>
      <c r="F388" s="119"/>
      <c r="G388" s="118"/>
      <c r="H388" s="25"/>
      <c r="I388" s="25"/>
      <c r="J388" s="25"/>
      <c r="K388" s="119"/>
      <c r="L388" s="118"/>
      <c r="M388" s="119"/>
      <c r="N388" s="118"/>
      <c r="O388" s="119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>
      <c r="A389" s="63">
        <v>45231.0</v>
      </c>
      <c r="B389" s="62">
        <v>380.8</v>
      </c>
      <c r="C389" s="17" t="s">
        <v>154</v>
      </c>
      <c r="D389" s="17" t="s">
        <v>157</v>
      </c>
      <c r="E389" s="17" t="s">
        <v>750</v>
      </c>
      <c r="F389" s="64" t="s">
        <v>155</v>
      </c>
      <c r="G389" s="62">
        <v>1490.0</v>
      </c>
      <c r="H389" s="17" t="s">
        <v>154</v>
      </c>
      <c r="I389" s="17" t="s">
        <v>9</v>
      </c>
      <c r="J389" s="17" t="s">
        <v>751</v>
      </c>
      <c r="K389" s="64" t="s">
        <v>155</v>
      </c>
      <c r="L389" s="66"/>
      <c r="M389" s="65"/>
      <c r="N389" s="66"/>
      <c r="O389" s="65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>
      <c r="A390" s="67"/>
      <c r="B390" s="62">
        <v>0.51</v>
      </c>
      <c r="C390" s="17" t="s">
        <v>154</v>
      </c>
      <c r="D390" s="17" t="s">
        <v>139</v>
      </c>
      <c r="F390" s="64" t="s">
        <v>155</v>
      </c>
      <c r="G390" s="66"/>
      <c r="H390" s="18"/>
      <c r="I390" s="18"/>
      <c r="J390" s="18"/>
      <c r="K390" s="65"/>
      <c r="L390" s="66"/>
      <c r="M390" s="65"/>
      <c r="N390" s="66"/>
      <c r="O390" s="65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>
      <c r="A391" s="63">
        <v>45233.0</v>
      </c>
      <c r="B391" s="62">
        <v>160.44</v>
      </c>
      <c r="C391" s="17" t="s">
        <v>154</v>
      </c>
      <c r="D391" s="17" t="s">
        <v>146</v>
      </c>
      <c r="E391" s="18"/>
      <c r="F391" s="64" t="s">
        <v>155</v>
      </c>
      <c r="G391" s="66"/>
      <c r="H391" s="18"/>
      <c r="I391" s="18"/>
      <c r="J391" s="18"/>
      <c r="K391" s="65"/>
      <c r="L391" s="62">
        <v>500.0</v>
      </c>
      <c r="M391" s="65"/>
      <c r="N391" s="66"/>
      <c r="O391" s="65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>
      <c r="A392" s="63">
        <v>45238.0</v>
      </c>
      <c r="B392" s="62">
        <v>100.0</v>
      </c>
      <c r="C392" s="17" t="s">
        <v>154</v>
      </c>
      <c r="D392" s="17" t="s">
        <v>157</v>
      </c>
      <c r="E392" s="17" t="s">
        <v>752</v>
      </c>
      <c r="F392" s="64" t="s">
        <v>155</v>
      </c>
      <c r="G392" s="66"/>
      <c r="H392" s="18"/>
      <c r="I392" s="18"/>
      <c r="J392" s="18"/>
      <c r="K392" s="65"/>
      <c r="L392" s="66"/>
      <c r="M392" s="65"/>
      <c r="N392" s="66"/>
      <c r="O392" s="65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>
      <c r="A393" s="67"/>
      <c r="B393" s="62">
        <v>0.51</v>
      </c>
      <c r="C393" s="17" t="s">
        <v>154</v>
      </c>
      <c r="D393" s="17" t="s">
        <v>139</v>
      </c>
      <c r="F393" s="64" t="s">
        <v>155</v>
      </c>
      <c r="G393" s="66"/>
      <c r="H393" s="18"/>
      <c r="I393" s="18"/>
      <c r="J393" s="18"/>
      <c r="K393" s="65"/>
      <c r="L393" s="66"/>
      <c r="M393" s="65"/>
      <c r="N393" s="66"/>
      <c r="O393" s="65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>
      <c r="A394" s="63">
        <v>45239.0</v>
      </c>
      <c r="B394" s="62">
        <v>3.47</v>
      </c>
      <c r="C394" s="17" t="s">
        <v>154</v>
      </c>
      <c r="D394" s="17" t="s">
        <v>138</v>
      </c>
      <c r="E394" s="18"/>
      <c r="F394" s="64" t="s">
        <v>155</v>
      </c>
      <c r="G394" s="66"/>
      <c r="H394" s="18"/>
      <c r="I394" s="18"/>
      <c r="J394" s="18"/>
      <c r="K394" s="65"/>
      <c r="L394" s="62">
        <v>4000.0</v>
      </c>
      <c r="M394" s="65"/>
      <c r="N394" s="66"/>
      <c r="O394" s="65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>
      <c r="A395" s="67"/>
      <c r="B395" s="62">
        <v>1000.0</v>
      </c>
      <c r="C395" s="17" t="s">
        <v>154</v>
      </c>
      <c r="D395" s="17" t="s">
        <v>157</v>
      </c>
      <c r="E395" s="17" t="s">
        <v>753</v>
      </c>
      <c r="F395" s="64" t="s">
        <v>155</v>
      </c>
      <c r="G395" s="66"/>
      <c r="H395" s="18"/>
      <c r="I395" s="18"/>
      <c r="J395" s="18"/>
      <c r="K395" s="65"/>
      <c r="L395" s="62">
        <v>990.0</v>
      </c>
      <c r="M395" s="65"/>
      <c r="N395" s="66"/>
      <c r="O395" s="65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>
      <c r="A396" s="63">
        <v>45244.0</v>
      </c>
      <c r="B396" s="62">
        <v>2.5</v>
      </c>
      <c r="C396" s="17" t="s">
        <v>154</v>
      </c>
      <c r="D396" s="17" t="s">
        <v>138</v>
      </c>
      <c r="E396" s="18"/>
      <c r="F396" s="64" t="s">
        <v>155</v>
      </c>
      <c r="G396" s="66"/>
      <c r="H396" s="18"/>
      <c r="I396" s="18"/>
      <c r="J396" s="18"/>
      <c r="K396" s="65"/>
      <c r="L396" s="62">
        <v>200.0</v>
      </c>
      <c r="M396" s="65"/>
      <c r="N396" s="66"/>
      <c r="O396" s="65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>
      <c r="A397" s="67"/>
      <c r="B397" s="62">
        <v>2.0</v>
      </c>
      <c r="C397" s="17" t="s">
        <v>154</v>
      </c>
      <c r="D397" s="17" t="s">
        <v>138</v>
      </c>
      <c r="E397" s="18"/>
      <c r="F397" s="64" t="s">
        <v>155</v>
      </c>
      <c r="G397" s="66"/>
      <c r="H397" s="18"/>
      <c r="I397" s="18"/>
      <c r="J397" s="18"/>
      <c r="K397" s="65"/>
      <c r="L397" s="62">
        <v>1000.0</v>
      </c>
      <c r="M397" s="65"/>
      <c r="N397" s="66"/>
      <c r="O397" s="65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>
      <c r="A398" s="67"/>
      <c r="B398" s="62">
        <v>3.5</v>
      </c>
      <c r="C398" s="17" t="s">
        <v>154</v>
      </c>
      <c r="D398" s="17" t="s">
        <v>138</v>
      </c>
      <c r="E398" s="18"/>
      <c r="F398" s="64" t="s">
        <v>155</v>
      </c>
      <c r="G398" s="66"/>
      <c r="H398" s="18"/>
      <c r="I398" s="18"/>
      <c r="J398" s="18"/>
      <c r="K398" s="65"/>
      <c r="L398" s="66"/>
      <c r="M398" s="65"/>
      <c r="N398" s="66"/>
      <c r="O398" s="65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>
      <c r="A399" s="63">
        <v>45245.0</v>
      </c>
      <c r="B399" s="66"/>
      <c r="C399" s="18"/>
      <c r="D399" s="18"/>
      <c r="E399" s="18"/>
      <c r="F399" s="65"/>
      <c r="G399" s="62">
        <v>10000.0</v>
      </c>
      <c r="H399" s="17" t="s">
        <v>154</v>
      </c>
      <c r="I399" s="17" t="s">
        <v>160</v>
      </c>
      <c r="J399" s="17" t="s">
        <v>754</v>
      </c>
      <c r="K399" s="64" t="s">
        <v>155</v>
      </c>
      <c r="L399" s="66"/>
      <c r="M399" s="65"/>
      <c r="N399" s="66"/>
      <c r="O399" s="65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>
      <c r="A400" s="63">
        <v>45247.0</v>
      </c>
      <c r="B400" s="62">
        <v>1.75</v>
      </c>
      <c r="C400" s="17" t="s">
        <v>154</v>
      </c>
      <c r="D400" s="17" t="s">
        <v>138</v>
      </c>
      <c r="E400" s="18"/>
      <c r="F400" s="64" t="s">
        <v>155</v>
      </c>
      <c r="G400" s="66"/>
      <c r="H400" s="18"/>
      <c r="I400" s="18"/>
      <c r="J400" s="18"/>
      <c r="K400" s="65"/>
      <c r="L400" s="62">
        <v>500.0</v>
      </c>
      <c r="M400" s="65"/>
      <c r="N400" s="66"/>
      <c r="O400" s="65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>
      <c r="A401" s="63">
        <v>45252.0</v>
      </c>
      <c r="B401" s="62">
        <v>7.0</v>
      </c>
      <c r="C401" s="17" t="s">
        <v>154</v>
      </c>
      <c r="D401" s="17" t="s">
        <v>138</v>
      </c>
      <c r="E401" s="18"/>
      <c r="F401" s="64" t="s">
        <v>155</v>
      </c>
      <c r="G401" s="66"/>
      <c r="H401" s="18"/>
      <c r="I401" s="18"/>
      <c r="J401" s="18"/>
      <c r="K401" s="65"/>
      <c r="L401" s="62">
        <v>2000.0</v>
      </c>
      <c r="M401" s="65"/>
      <c r="N401" s="66"/>
      <c r="O401" s="65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>
      <c r="A402" s="63">
        <v>45257.0</v>
      </c>
      <c r="B402" s="62">
        <v>14896.0</v>
      </c>
      <c r="C402" s="17" t="s">
        <v>154</v>
      </c>
      <c r="D402" s="17" t="s">
        <v>414</v>
      </c>
      <c r="E402" s="18"/>
      <c r="F402" s="64" t="s">
        <v>155</v>
      </c>
      <c r="G402" s="66"/>
      <c r="H402" s="18"/>
      <c r="I402" s="18"/>
      <c r="J402" s="18"/>
      <c r="K402" s="65"/>
      <c r="L402" s="66"/>
      <c r="M402" s="65"/>
      <c r="N402" s="66"/>
      <c r="O402" s="65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>
      <c r="A403" s="67"/>
      <c r="B403" s="62">
        <v>0.51</v>
      </c>
      <c r="C403" s="17" t="s">
        <v>154</v>
      </c>
      <c r="D403" s="17" t="s">
        <v>139</v>
      </c>
      <c r="E403" s="18"/>
      <c r="F403" s="64" t="s">
        <v>155</v>
      </c>
      <c r="G403" s="66"/>
      <c r="H403" s="18"/>
      <c r="I403" s="18"/>
      <c r="J403" s="18"/>
      <c r="K403" s="65"/>
      <c r="L403" s="66"/>
      <c r="M403" s="65"/>
      <c r="N403" s="66"/>
      <c r="O403" s="65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>
      <c r="A404" s="67"/>
      <c r="B404" s="62">
        <v>29.0</v>
      </c>
      <c r="C404" s="17" t="s">
        <v>154</v>
      </c>
      <c r="D404" s="17" t="s">
        <v>143</v>
      </c>
      <c r="E404" s="18"/>
      <c r="F404" s="64" t="s">
        <v>155</v>
      </c>
      <c r="G404" s="66"/>
      <c r="H404" s="18"/>
      <c r="I404" s="18"/>
      <c r="J404" s="18"/>
      <c r="K404" s="65"/>
      <c r="L404" s="66"/>
      <c r="M404" s="65"/>
      <c r="N404" s="66"/>
      <c r="O404" s="65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>
      <c r="A405" s="63">
        <v>45259.0</v>
      </c>
      <c r="B405" s="62">
        <v>20000.0</v>
      </c>
      <c r="C405" s="17" t="s">
        <v>154</v>
      </c>
      <c r="D405" s="17" t="s">
        <v>157</v>
      </c>
      <c r="E405" s="17" t="s">
        <v>755</v>
      </c>
      <c r="F405" s="64" t="s">
        <v>149</v>
      </c>
      <c r="G405" s="62">
        <v>20000.0</v>
      </c>
      <c r="H405" s="17" t="s">
        <v>154</v>
      </c>
      <c r="I405" s="17" t="s">
        <v>157</v>
      </c>
      <c r="J405" s="17" t="s">
        <v>755</v>
      </c>
      <c r="K405" s="64" t="s">
        <v>155</v>
      </c>
      <c r="L405" s="66"/>
      <c r="M405" s="65"/>
      <c r="N405" s="66"/>
      <c r="O405" s="65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>
      <c r="A406" s="63">
        <v>45260.0</v>
      </c>
      <c r="B406" s="62">
        <v>35.0</v>
      </c>
      <c r="C406" s="17" t="s">
        <v>154</v>
      </c>
      <c r="D406" s="17" t="s">
        <v>145</v>
      </c>
      <c r="F406" s="64" t="s">
        <v>155</v>
      </c>
      <c r="G406" s="66"/>
      <c r="H406" s="18"/>
      <c r="I406" s="18"/>
      <c r="J406" s="18"/>
      <c r="K406" s="65"/>
      <c r="L406" s="66"/>
      <c r="M406" s="65"/>
      <c r="N406" s="66"/>
      <c r="O406" s="65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>
      <c r="A407" s="67"/>
      <c r="B407" s="62">
        <v>7000.0</v>
      </c>
      <c r="C407" s="17" t="s">
        <v>154</v>
      </c>
      <c r="D407" s="17" t="s">
        <v>22</v>
      </c>
      <c r="E407" s="18"/>
      <c r="F407" s="64" t="s">
        <v>149</v>
      </c>
      <c r="G407" s="66"/>
      <c r="H407" s="18"/>
      <c r="I407" s="18"/>
      <c r="J407" s="18"/>
      <c r="K407" s="65"/>
      <c r="L407" s="66"/>
      <c r="M407" s="65"/>
      <c r="N407" s="66"/>
      <c r="O407" s="65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>
      <c r="A408" s="120"/>
      <c r="B408" s="118"/>
      <c r="C408" s="25"/>
      <c r="D408" s="25"/>
      <c r="E408" s="25"/>
      <c r="F408" s="119"/>
      <c r="G408" s="118"/>
      <c r="H408" s="25"/>
      <c r="I408" s="25"/>
      <c r="J408" s="25"/>
      <c r="K408" s="119"/>
      <c r="L408" s="118"/>
      <c r="M408" s="119"/>
      <c r="N408" s="118"/>
      <c r="O408" s="119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>
      <c r="A409" s="120"/>
      <c r="B409" s="118"/>
      <c r="C409" s="25"/>
      <c r="D409" s="25"/>
      <c r="E409" s="25"/>
      <c r="F409" s="119"/>
      <c r="G409" s="118"/>
      <c r="H409" s="25"/>
      <c r="I409" s="25"/>
      <c r="J409" s="25"/>
      <c r="K409" s="119"/>
      <c r="L409" s="118"/>
      <c r="M409" s="119"/>
      <c r="N409" s="118"/>
      <c r="O409" s="119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>
      <c r="A410" s="63">
        <v>45263.0</v>
      </c>
      <c r="B410" s="62">
        <v>160.54</v>
      </c>
      <c r="C410" s="17" t="s">
        <v>154</v>
      </c>
      <c r="D410" s="17" t="s">
        <v>146</v>
      </c>
      <c r="E410" s="18"/>
      <c r="F410" s="64" t="s">
        <v>155</v>
      </c>
      <c r="G410" s="66"/>
      <c r="H410" s="18"/>
      <c r="I410" s="18"/>
      <c r="J410" s="18"/>
      <c r="K410" s="65"/>
      <c r="L410" s="66"/>
      <c r="M410" s="65"/>
      <c r="N410" s="66"/>
      <c r="O410" s="65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>
      <c r="A411" s="63">
        <v>45265.0</v>
      </c>
      <c r="B411" s="62">
        <v>1350.0</v>
      </c>
      <c r="C411" s="17" t="s">
        <v>204</v>
      </c>
      <c r="D411" s="17" t="s">
        <v>219</v>
      </c>
      <c r="E411" s="18"/>
      <c r="F411" s="64" t="s">
        <v>149</v>
      </c>
      <c r="G411" s="62">
        <v>4400.0</v>
      </c>
      <c r="H411" s="17" t="s">
        <v>154</v>
      </c>
      <c r="I411" s="17" t="s">
        <v>160</v>
      </c>
      <c r="J411" s="17" t="s">
        <v>756</v>
      </c>
      <c r="K411" s="64" t="s">
        <v>155</v>
      </c>
      <c r="L411" s="66"/>
      <c r="M411" s="65"/>
      <c r="N411" s="66"/>
      <c r="O411" s="65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>
      <c r="A412" s="67"/>
      <c r="B412" s="62">
        <v>120.0</v>
      </c>
      <c r="C412" s="17" t="s">
        <v>154</v>
      </c>
      <c r="D412" s="17" t="s">
        <v>691</v>
      </c>
      <c r="E412" s="18"/>
      <c r="F412" s="64" t="s">
        <v>149</v>
      </c>
      <c r="G412" s="62">
        <v>6550.0</v>
      </c>
      <c r="H412" s="17" t="s">
        <v>154</v>
      </c>
      <c r="I412" s="17" t="s">
        <v>219</v>
      </c>
      <c r="J412" s="18"/>
      <c r="K412" s="64" t="s">
        <v>149</v>
      </c>
      <c r="L412" s="66"/>
      <c r="M412" s="65"/>
      <c r="N412" s="66"/>
      <c r="O412" s="65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>
      <c r="A413" s="63">
        <v>45635.0</v>
      </c>
      <c r="B413" s="62"/>
      <c r="C413" s="18"/>
      <c r="D413" s="18"/>
      <c r="E413" s="17"/>
      <c r="F413" s="64"/>
      <c r="G413" s="66"/>
      <c r="H413" s="18"/>
      <c r="I413" s="18"/>
      <c r="J413" s="18"/>
      <c r="K413" s="65"/>
      <c r="L413" s="62">
        <v>2500.0</v>
      </c>
      <c r="M413" s="65"/>
      <c r="N413" s="66"/>
      <c r="O413" s="65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>
      <c r="A414" s="63">
        <v>45270.0</v>
      </c>
      <c r="B414" s="62">
        <v>1000.0</v>
      </c>
      <c r="C414" s="17" t="s">
        <v>154</v>
      </c>
      <c r="D414" s="17" t="s">
        <v>24</v>
      </c>
      <c r="E414" s="17" t="s">
        <v>757</v>
      </c>
      <c r="F414" s="64" t="s">
        <v>149</v>
      </c>
      <c r="G414" s="66"/>
      <c r="H414" s="18"/>
      <c r="I414" s="18"/>
      <c r="J414" s="18"/>
      <c r="K414" s="65"/>
      <c r="L414" s="66"/>
      <c r="M414" s="65"/>
      <c r="N414" s="66"/>
      <c r="O414" s="65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>
      <c r="A415" s="63">
        <v>45639.0</v>
      </c>
      <c r="B415" s="66"/>
      <c r="C415" s="18"/>
      <c r="D415" s="18"/>
      <c r="E415" s="18"/>
      <c r="F415" s="65"/>
      <c r="G415" s="66"/>
      <c r="H415" s="18"/>
      <c r="I415" s="18"/>
      <c r="J415" s="18"/>
      <c r="K415" s="65"/>
      <c r="L415" s="62">
        <v>2500.0</v>
      </c>
      <c r="M415" s="65"/>
      <c r="N415" s="66"/>
      <c r="O415" s="65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>
      <c r="A416" s="63">
        <v>45641.0</v>
      </c>
      <c r="B416" s="66"/>
      <c r="C416" s="18"/>
      <c r="D416" s="18"/>
      <c r="E416" s="18"/>
      <c r="F416" s="65"/>
      <c r="G416" s="62">
        <v>9944.0</v>
      </c>
      <c r="H416" s="17" t="s">
        <v>154</v>
      </c>
      <c r="I416" s="17" t="s">
        <v>160</v>
      </c>
      <c r="J416" s="17" t="s">
        <v>758</v>
      </c>
      <c r="K416" s="64" t="s">
        <v>155</v>
      </c>
      <c r="L416" s="62"/>
      <c r="M416" s="65"/>
      <c r="N416" s="66"/>
      <c r="O416" s="65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>
      <c r="A417" s="63">
        <v>45276.0</v>
      </c>
      <c r="B417" s="62">
        <v>2000.0</v>
      </c>
      <c r="C417" s="17" t="s">
        <v>154</v>
      </c>
      <c r="D417" s="17" t="s">
        <v>24</v>
      </c>
      <c r="E417" s="17" t="s">
        <v>759</v>
      </c>
      <c r="F417" s="64" t="s">
        <v>149</v>
      </c>
      <c r="G417" s="66"/>
      <c r="H417" s="18"/>
      <c r="I417" s="18"/>
      <c r="J417" s="18"/>
      <c r="K417" s="65"/>
      <c r="L417" s="62">
        <v>2500.0</v>
      </c>
      <c r="M417" s="65"/>
      <c r="N417" s="66"/>
      <c r="O417" s="65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>
      <c r="A418" s="63"/>
      <c r="B418" s="62">
        <v>8.75</v>
      </c>
      <c r="C418" s="17" t="s">
        <v>154</v>
      </c>
      <c r="D418" s="17" t="s">
        <v>138</v>
      </c>
      <c r="E418" s="18"/>
      <c r="F418" s="64" t="s">
        <v>155</v>
      </c>
      <c r="G418" s="66"/>
      <c r="H418" s="18"/>
      <c r="I418" s="18"/>
      <c r="J418" s="18"/>
      <c r="K418" s="65"/>
      <c r="L418" s="66"/>
      <c r="M418" s="65"/>
      <c r="N418" s="66"/>
      <c r="O418" s="65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>
      <c r="A419" s="63">
        <v>45277.0</v>
      </c>
      <c r="B419" s="62">
        <v>300.0</v>
      </c>
      <c r="C419" s="17" t="s">
        <v>154</v>
      </c>
      <c r="D419" s="17" t="s">
        <v>157</v>
      </c>
      <c r="E419" s="17" t="s">
        <v>760</v>
      </c>
      <c r="F419" s="64" t="s">
        <v>149</v>
      </c>
      <c r="G419" s="66"/>
      <c r="H419" s="18"/>
      <c r="I419" s="18"/>
      <c r="J419" s="18"/>
      <c r="K419" s="65"/>
      <c r="L419" s="66"/>
      <c r="M419" s="65"/>
      <c r="N419" s="66"/>
      <c r="O419" s="65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>
      <c r="A420" s="67"/>
      <c r="B420" s="62">
        <v>300.0</v>
      </c>
      <c r="C420" s="17" t="s">
        <v>154</v>
      </c>
      <c r="D420" s="17" t="s">
        <v>25</v>
      </c>
      <c r="E420" s="17" t="s">
        <v>761</v>
      </c>
      <c r="F420" s="64" t="s">
        <v>149</v>
      </c>
      <c r="G420" s="66"/>
      <c r="H420" s="18"/>
      <c r="I420" s="18"/>
      <c r="J420" s="18"/>
      <c r="K420" s="65"/>
      <c r="L420" s="66"/>
      <c r="M420" s="65"/>
      <c r="N420" s="66"/>
      <c r="O420" s="65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>
      <c r="A421" s="63">
        <v>45644.0</v>
      </c>
      <c r="B421" s="62">
        <v>5.25</v>
      </c>
      <c r="C421" s="17" t="s">
        <v>154</v>
      </c>
      <c r="D421" s="17" t="s">
        <v>138</v>
      </c>
      <c r="E421" s="18"/>
      <c r="F421" s="64" t="s">
        <v>155</v>
      </c>
      <c r="G421" s="66"/>
      <c r="H421" s="18"/>
      <c r="I421" s="18"/>
      <c r="J421" s="18"/>
      <c r="K421" s="65"/>
      <c r="L421" s="62">
        <v>1500.0</v>
      </c>
      <c r="M421" s="65"/>
      <c r="N421" s="66"/>
      <c r="O421" s="65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>
      <c r="A422" s="63">
        <v>45645.0</v>
      </c>
      <c r="B422" s="66"/>
      <c r="C422" s="18"/>
      <c r="D422" s="18"/>
      <c r="E422" s="18"/>
      <c r="F422" s="65"/>
      <c r="G422" s="62">
        <v>9196.0</v>
      </c>
      <c r="H422" s="17" t="s">
        <v>154</v>
      </c>
      <c r="I422" s="17" t="s">
        <v>160</v>
      </c>
      <c r="J422" s="17" t="s">
        <v>762</v>
      </c>
      <c r="K422" s="65"/>
      <c r="L422" s="66"/>
      <c r="M422" s="65"/>
      <c r="N422" s="66"/>
      <c r="O422" s="65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>
      <c r="A423" s="63"/>
      <c r="B423" s="62"/>
      <c r="C423" s="18"/>
      <c r="D423" s="18"/>
      <c r="E423" s="18"/>
      <c r="F423" s="65"/>
      <c r="G423" s="62">
        <v>1490.0</v>
      </c>
      <c r="H423" s="17" t="s">
        <v>154</v>
      </c>
      <c r="I423" s="17" t="s">
        <v>9</v>
      </c>
      <c r="J423" s="17" t="s">
        <v>763</v>
      </c>
      <c r="K423" s="65"/>
      <c r="L423" s="66"/>
      <c r="M423" s="65"/>
      <c r="N423" s="66"/>
      <c r="O423" s="65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>
      <c r="A424" s="63">
        <v>45646.0</v>
      </c>
      <c r="B424" s="62">
        <v>29.0</v>
      </c>
      <c r="C424" s="17" t="s">
        <v>154</v>
      </c>
      <c r="D424" s="17" t="s">
        <v>143</v>
      </c>
      <c r="E424" s="18"/>
      <c r="F424" s="64" t="s">
        <v>155</v>
      </c>
      <c r="G424" s="62">
        <v>4600.0</v>
      </c>
      <c r="H424" s="17" t="s">
        <v>154</v>
      </c>
      <c r="I424" s="17" t="s">
        <v>160</v>
      </c>
      <c r="J424" s="17" t="s">
        <v>764</v>
      </c>
      <c r="K424" s="65"/>
      <c r="L424" s="62">
        <v>5000.0</v>
      </c>
      <c r="M424" s="65"/>
      <c r="N424" s="66"/>
      <c r="O424" s="65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>
      <c r="A425" s="63"/>
      <c r="B425" s="62">
        <v>0.51</v>
      </c>
      <c r="C425" s="17" t="s">
        <v>154</v>
      </c>
      <c r="D425" s="17" t="s">
        <v>139</v>
      </c>
      <c r="E425" s="18"/>
      <c r="F425" s="64" t="s">
        <v>155</v>
      </c>
      <c r="G425" s="62">
        <v>4600.0</v>
      </c>
      <c r="H425" s="17" t="s">
        <v>154</v>
      </c>
      <c r="I425" s="17" t="s">
        <v>160</v>
      </c>
      <c r="J425" s="17" t="s">
        <v>764</v>
      </c>
      <c r="K425" s="65"/>
      <c r="L425" s="66"/>
      <c r="M425" s="65"/>
      <c r="N425" s="66"/>
      <c r="O425" s="65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>
      <c r="A426" s="63"/>
      <c r="B426" s="62">
        <v>17.5</v>
      </c>
      <c r="C426" s="17" t="s">
        <v>154</v>
      </c>
      <c r="D426" s="17" t="s">
        <v>138</v>
      </c>
      <c r="E426" s="18"/>
      <c r="F426" s="64" t="s">
        <v>155</v>
      </c>
      <c r="G426" s="66"/>
      <c r="H426" s="18"/>
      <c r="I426" s="18"/>
      <c r="J426" s="18"/>
      <c r="K426" s="65"/>
      <c r="L426" s="66"/>
      <c r="M426" s="65"/>
      <c r="N426" s="66"/>
      <c r="O426" s="65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>
      <c r="A427" s="63">
        <v>45283.0</v>
      </c>
      <c r="B427" s="62">
        <v>5000.0</v>
      </c>
      <c r="C427" s="17" t="s">
        <v>154</v>
      </c>
      <c r="D427" s="17" t="s">
        <v>113</v>
      </c>
      <c r="E427" s="17" t="s">
        <v>765</v>
      </c>
      <c r="F427" s="64" t="s">
        <v>149</v>
      </c>
      <c r="G427" s="66"/>
      <c r="H427" s="18"/>
      <c r="I427" s="18"/>
      <c r="J427" s="18"/>
      <c r="K427" s="65"/>
      <c r="L427" s="62">
        <v>5000.0</v>
      </c>
      <c r="M427" s="65"/>
      <c r="N427" s="66"/>
      <c r="O427" s="65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>
      <c r="A428" s="67"/>
      <c r="B428" s="62">
        <v>17.5</v>
      </c>
      <c r="C428" s="17" t="s">
        <v>154</v>
      </c>
      <c r="D428" s="17" t="s">
        <v>138</v>
      </c>
      <c r="E428" s="18"/>
      <c r="F428" s="64" t="s">
        <v>155</v>
      </c>
      <c r="G428" s="66"/>
      <c r="H428" s="18"/>
      <c r="I428" s="18"/>
      <c r="J428" s="18"/>
      <c r="K428" s="65"/>
      <c r="L428" s="66"/>
      <c r="M428" s="65"/>
      <c r="N428" s="66"/>
      <c r="O428" s="65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>
      <c r="A429" s="63">
        <v>45656.0</v>
      </c>
      <c r="B429" s="62">
        <v>6350.0</v>
      </c>
      <c r="C429" s="17" t="s">
        <v>154</v>
      </c>
      <c r="D429" s="17" t="s">
        <v>113</v>
      </c>
      <c r="E429" s="17" t="s">
        <v>766</v>
      </c>
      <c r="F429" s="64" t="s">
        <v>149</v>
      </c>
      <c r="G429" s="62">
        <v>8500.0</v>
      </c>
      <c r="H429" s="17" t="s">
        <v>154</v>
      </c>
      <c r="I429" s="17" t="s">
        <v>160</v>
      </c>
      <c r="J429" s="17" t="s">
        <v>767</v>
      </c>
      <c r="K429" s="65"/>
      <c r="L429" s="62">
        <v>7850.0</v>
      </c>
      <c r="M429" s="65"/>
      <c r="N429" s="66"/>
      <c r="O429" s="65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>
      <c r="A430" s="67"/>
      <c r="B430" s="62">
        <v>2150.0</v>
      </c>
      <c r="C430" s="17" t="s">
        <v>154</v>
      </c>
      <c r="D430" s="17" t="s">
        <v>113</v>
      </c>
      <c r="E430" s="17" t="s">
        <v>768</v>
      </c>
      <c r="F430" s="64" t="s">
        <v>149</v>
      </c>
      <c r="G430" s="66"/>
      <c r="H430" s="18"/>
      <c r="I430" s="18"/>
      <c r="J430" s="18"/>
      <c r="K430" s="65"/>
      <c r="L430" s="66"/>
      <c r="M430" s="65"/>
      <c r="N430" s="66"/>
      <c r="O430" s="65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>
      <c r="A431" s="67"/>
      <c r="B431" s="62">
        <v>7850.0</v>
      </c>
      <c r="C431" s="17" t="s">
        <v>154</v>
      </c>
      <c r="D431" s="17" t="s">
        <v>111</v>
      </c>
      <c r="E431" s="17" t="s">
        <v>769</v>
      </c>
      <c r="F431" s="64" t="s">
        <v>149</v>
      </c>
      <c r="G431" s="66"/>
      <c r="H431" s="18"/>
      <c r="I431" s="18"/>
      <c r="J431" s="18"/>
      <c r="K431" s="65"/>
      <c r="L431" s="66"/>
      <c r="M431" s="65"/>
      <c r="N431" s="66"/>
      <c r="O431" s="65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>
      <c r="A432" s="67"/>
      <c r="B432" s="62">
        <v>3500.0</v>
      </c>
      <c r="C432" s="17" t="s">
        <v>154</v>
      </c>
      <c r="D432" s="17" t="s">
        <v>109</v>
      </c>
      <c r="E432" s="17" t="s">
        <v>770</v>
      </c>
      <c r="F432" s="64" t="s">
        <v>149</v>
      </c>
      <c r="G432" s="66"/>
      <c r="H432" s="18"/>
      <c r="I432" s="18"/>
      <c r="J432" s="18"/>
      <c r="K432" s="65"/>
      <c r="L432" s="66"/>
      <c r="M432" s="65"/>
      <c r="N432" s="66"/>
      <c r="O432" s="65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>
      <c r="A433" s="63"/>
      <c r="B433" s="62"/>
      <c r="C433" s="18"/>
      <c r="D433" s="18"/>
      <c r="E433" s="17"/>
      <c r="F433" s="65"/>
      <c r="G433" s="66"/>
      <c r="H433" s="18"/>
      <c r="I433" s="18"/>
      <c r="J433" s="18"/>
      <c r="K433" s="65"/>
      <c r="L433" s="66"/>
      <c r="M433" s="65"/>
      <c r="N433" s="66"/>
      <c r="O433" s="65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>
      <c r="A434" s="67"/>
      <c r="B434" s="62"/>
      <c r="C434" s="18"/>
      <c r="D434" s="18"/>
      <c r="E434" s="17"/>
      <c r="F434" s="65"/>
      <c r="G434" s="66"/>
      <c r="H434" s="18"/>
      <c r="I434" s="18"/>
      <c r="J434" s="18"/>
      <c r="K434" s="65"/>
      <c r="L434" s="66"/>
      <c r="M434" s="65"/>
      <c r="N434" s="66"/>
      <c r="O434" s="65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>
      <c r="A435" s="67"/>
      <c r="B435" s="62"/>
      <c r="C435" s="18"/>
      <c r="D435" s="18"/>
      <c r="E435" s="17"/>
      <c r="F435" s="65"/>
      <c r="G435" s="66"/>
      <c r="H435" s="18"/>
      <c r="I435" s="18"/>
      <c r="J435" s="18"/>
      <c r="K435" s="65"/>
      <c r="L435" s="66"/>
      <c r="M435" s="65"/>
      <c r="N435" s="66"/>
      <c r="O435" s="65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>
      <c r="A436" s="67"/>
      <c r="B436" s="62"/>
      <c r="C436" s="18"/>
      <c r="D436" s="18"/>
      <c r="E436" s="17"/>
      <c r="F436" s="65"/>
      <c r="G436" s="66"/>
      <c r="H436" s="18"/>
      <c r="I436" s="18"/>
      <c r="J436" s="18"/>
      <c r="K436" s="65"/>
      <c r="L436" s="66"/>
      <c r="M436" s="65"/>
      <c r="N436" s="66"/>
      <c r="O436" s="65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>
      <c r="A437" s="63"/>
      <c r="B437" s="62"/>
      <c r="C437" s="18"/>
      <c r="D437" s="18"/>
      <c r="E437" s="17"/>
      <c r="F437" s="65"/>
      <c r="G437" s="66"/>
      <c r="H437" s="18"/>
      <c r="I437" s="18"/>
      <c r="J437" s="18"/>
      <c r="K437" s="65"/>
      <c r="L437" s="66"/>
      <c r="M437" s="65"/>
      <c r="N437" s="66"/>
      <c r="O437" s="65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>
      <c r="A438" s="63"/>
      <c r="B438" s="62"/>
      <c r="C438" s="18"/>
      <c r="D438" s="18"/>
      <c r="E438" s="17"/>
      <c r="F438" s="65"/>
      <c r="G438" s="66"/>
      <c r="H438" s="18"/>
      <c r="I438" s="18"/>
      <c r="J438" s="18"/>
      <c r="K438" s="65"/>
      <c r="L438" s="66"/>
      <c r="M438" s="65"/>
      <c r="N438" s="66"/>
      <c r="O438" s="65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>
      <c r="A439" s="63"/>
      <c r="B439" s="66"/>
      <c r="C439" s="18"/>
      <c r="D439" s="18"/>
      <c r="E439" s="18"/>
      <c r="F439" s="65"/>
      <c r="G439" s="62"/>
      <c r="H439" s="18"/>
      <c r="I439" s="18"/>
      <c r="J439" s="18"/>
      <c r="K439" s="65"/>
      <c r="L439" s="66"/>
      <c r="M439" s="65"/>
      <c r="N439" s="66"/>
      <c r="O439" s="65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>
      <c r="A440" s="63"/>
      <c r="B440" s="62"/>
      <c r="C440" s="18"/>
      <c r="D440" s="18"/>
      <c r="E440" s="18"/>
      <c r="F440" s="65"/>
      <c r="G440" s="66"/>
      <c r="H440" s="18"/>
      <c r="I440" s="18"/>
      <c r="J440" s="18"/>
      <c r="K440" s="65"/>
      <c r="L440" s="66"/>
      <c r="M440" s="65"/>
      <c r="N440" s="66"/>
      <c r="O440" s="65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>
      <c r="A441" s="67"/>
      <c r="B441" s="66"/>
      <c r="C441" s="18"/>
      <c r="D441" s="18"/>
      <c r="E441" s="18"/>
      <c r="F441" s="65"/>
      <c r="G441" s="66"/>
      <c r="H441" s="18"/>
      <c r="I441" s="18"/>
      <c r="J441" s="18"/>
      <c r="K441" s="65"/>
      <c r="L441" s="66"/>
      <c r="M441" s="65"/>
      <c r="N441" s="66"/>
      <c r="O441" s="65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>
      <c r="A442" s="67"/>
      <c r="B442" s="66"/>
      <c r="C442" s="18"/>
      <c r="D442" s="18"/>
      <c r="E442" s="18"/>
      <c r="F442" s="65"/>
      <c r="G442" s="66"/>
      <c r="H442" s="18"/>
      <c r="I442" s="18"/>
      <c r="J442" s="18"/>
      <c r="K442" s="65"/>
      <c r="L442" s="66"/>
      <c r="M442" s="65"/>
      <c r="N442" s="66"/>
      <c r="O442" s="65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>
      <c r="A443" s="67"/>
      <c r="B443" s="66"/>
      <c r="C443" s="18"/>
      <c r="D443" s="18"/>
      <c r="E443" s="18"/>
      <c r="F443" s="65"/>
      <c r="G443" s="66"/>
      <c r="H443" s="18"/>
      <c r="I443" s="18"/>
      <c r="J443" s="18"/>
      <c r="K443" s="65"/>
      <c r="L443" s="66"/>
      <c r="M443" s="65"/>
      <c r="N443" s="66"/>
      <c r="O443" s="65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>
      <c r="A444" s="67"/>
      <c r="B444" s="66"/>
      <c r="C444" s="18"/>
      <c r="D444" s="18"/>
      <c r="E444" s="18"/>
      <c r="F444" s="65"/>
      <c r="G444" s="66"/>
      <c r="H444" s="18"/>
      <c r="I444" s="18"/>
      <c r="J444" s="18"/>
      <c r="K444" s="65"/>
      <c r="L444" s="66"/>
      <c r="M444" s="65"/>
      <c r="N444" s="66"/>
      <c r="O444" s="65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>
      <c r="A445" s="67"/>
      <c r="B445" s="66"/>
      <c r="C445" s="18"/>
      <c r="D445" s="18"/>
      <c r="E445" s="18"/>
      <c r="F445" s="65"/>
      <c r="G445" s="66"/>
      <c r="H445" s="18"/>
      <c r="I445" s="18"/>
      <c r="J445" s="18"/>
      <c r="K445" s="65"/>
      <c r="L445" s="66"/>
      <c r="M445" s="65"/>
      <c r="N445" s="66"/>
      <c r="O445" s="65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>
      <c r="A446" s="67"/>
      <c r="B446" s="66"/>
      <c r="C446" s="18"/>
      <c r="D446" s="18"/>
      <c r="E446" s="18"/>
      <c r="F446" s="65"/>
      <c r="G446" s="66"/>
      <c r="H446" s="18"/>
      <c r="I446" s="18"/>
      <c r="J446" s="18"/>
      <c r="K446" s="65"/>
      <c r="L446" s="66"/>
      <c r="M446" s="65"/>
      <c r="N446" s="66"/>
      <c r="O446" s="65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>
      <c r="A447" s="67"/>
      <c r="B447" s="66"/>
      <c r="C447" s="18"/>
      <c r="D447" s="18"/>
      <c r="E447" s="18"/>
      <c r="F447" s="65"/>
      <c r="G447" s="66"/>
      <c r="H447" s="18"/>
      <c r="I447" s="18"/>
      <c r="J447" s="18"/>
      <c r="K447" s="65"/>
      <c r="L447" s="66"/>
      <c r="M447" s="65"/>
      <c r="N447" s="66"/>
      <c r="O447" s="65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>
      <c r="A448" s="67"/>
      <c r="B448" s="66"/>
      <c r="C448" s="18"/>
      <c r="D448" s="18"/>
      <c r="E448" s="18"/>
      <c r="F448" s="65"/>
      <c r="G448" s="66"/>
      <c r="H448" s="18"/>
      <c r="I448" s="18"/>
      <c r="J448" s="18"/>
      <c r="K448" s="65"/>
      <c r="L448" s="66"/>
      <c r="M448" s="65"/>
      <c r="N448" s="66"/>
      <c r="O448" s="65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>
      <c r="A449" s="67"/>
      <c r="B449" s="66"/>
      <c r="C449" s="18"/>
      <c r="D449" s="18"/>
      <c r="E449" s="18"/>
      <c r="F449" s="65"/>
      <c r="G449" s="66"/>
      <c r="H449" s="18"/>
      <c r="I449" s="18"/>
      <c r="J449" s="18"/>
      <c r="K449" s="65"/>
      <c r="L449" s="66"/>
      <c r="M449" s="65"/>
      <c r="N449" s="66"/>
      <c r="O449" s="65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>
      <c r="A450" s="67"/>
      <c r="B450" s="66"/>
      <c r="C450" s="18"/>
      <c r="D450" s="18"/>
      <c r="E450" s="18"/>
      <c r="F450" s="65"/>
      <c r="G450" s="66"/>
      <c r="H450" s="18"/>
      <c r="I450" s="18"/>
      <c r="J450" s="18"/>
      <c r="K450" s="65"/>
      <c r="L450" s="66"/>
      <c r="M450" s="65"/>
      <c r="N450" s="66"/>
      <c r="O450" s="65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>
      <c r="A451" s="67"/>
      <c r="B451" s="66"/>
      <c r="C451" s="18"/>
      <c r="D451" s="18"/>
      <c r="E451" s="18"/>
      <c r="F451" s="65"/>
      <c r="G451" s="66"/>
      <c r="H451" s="18"/>
      <c r="I451" s="18"/>
      <c r="J451" s="18"/>
      <c r="K451" s="65"/>
      <c r="L451" s="66"/>
      <c r="M451" s="65"/>
      <c r="N451" s="66"/>
      <c r="O451" s="65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>
      <c r="A452" s="67"/>
      <c r="B452" s="66"/>
      <c r="C452" s="18"/>
      <c r="D452" s="18"/>
      <c r="E452" s="18"/>
      <c r="F452" s="65"/>
      <c r="G452" s="66"/>
      <c r="H452" s="18"/>
      <c r="I452" s="18"/>
      <c r="J452" s="18"/>
      <c r="K452" s="65"/>
      <c r="L452" s="66"/>
      <c r="M452" s="65"/>
      <c r="N452" s="66"/>
      <c r="O452" s="65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>
      <c r="A453" s="67"/>
      <c r="B453" s="66"/>
      <c r="C453" s="18"/>
      <c r="D453" s="18"/>
      <c r="E453" s="18"/>
      <c r="F453" s="65"/>
      <c r="G453" s="66"/>
      <c r="H453" s="18"/>
      <c r="I453" s="18"/>
      <c r="J453" s="18"/>
      <c r="K453" s="65"/>
      <c r="L453" s="66"/>
      <c r="M453" s="65"/>
      <c r="N453" s="66"/>
      <c r="O453" s="65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>
      <c r="A454" s="67"/>
      <c r="B454" s="66"/>
      <c r="C454" s="18"/>
      <c r="D454" s="18"/>
      <c r="E454" s="18"/>
      <c r="F454" s="65"/>
      <c r="G454" s="66"/>
      <c r="H454" s="18"/>
      <c r="I454" s="18"/>
      <c r="J454" s="18"/>
      <c r="K454" s="65"/>
      <c r="L454" s="66"/>
      <c r="M454" s="65"/>
      <c r="N454" s="66"/>
      <c r="O454" s="65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>
      <c r="A455" s="67"/>
      <c r="B455" s="66"/>
      <c r="C455" s="18"/>
      <c r="D455" s="18"/>
      <c r="E455" s="18"/>
      <c r="F455" s="65"/>
      <c r="G455" s="66"/>
      <c r="H455" s="18"/>
      <c r="I455" s="18"/>
      <c r="J455" s="18"/>
      <c r="K455" s="65"/>
      <c r="L455" s="66"/>
      <c r="M455" s="65"/>
      <c r="N455" s="66"/>
      <c r="O455" s="65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>
      <c r="A456" s="67"/>
      <c r="B456" s="66"/>
      <c r="C456" s="18"/>
      <c r="D456" s="18"/>
      <c r="E456" s="18"/>
      <c r="F456" s="65"/>
      <c r="G456" s="66"/>
      <c r="H456" s="18"/>
      <c r="I456" s="18"/>
      <c r="J456" s="18"/>
      <c r="K456" s="65"/>
      <c r="L456" s="66"/>
      <c r="M456" s="65"/>
      <c r="N456" s="66"/>
      <c r="O456" s="65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>
      <c r="A457" s="67"/>
      <c r="B457" s="66"/>
      <c r="C457" s="18"/>
      <c r="D457" s="18"/>
      <c r="E457" s="18"/>
      <c r="F457" s="65"/>
      <c r="G457" s="66"/>
      <c r="H457" s="18"/>
      <c r="I457" s="18"/>
      <c r="J457" s="18"/>
      <c r="K457" s="65"/>
      <c r="L457" s="66"/>
      <c r="M457" s="65"/>
      <c r="N457" s="66"/>
      <c r="O457" s="65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>
      <c r="A458" s="67"/>
      <c r="B458" s="66"/>
      <c r="C458" s="18"/>
      <c r="D458" s="18"/>
      <c r="E458" s="18"/>
      <c r="F458" s="65"/>
      <c r="G458" s="66"/>
      <c r="H458" s="18"/>
      <c r="I458" s="18"/>
      <c r="J458" s="18"/>
      <c r="K458" s="65"/>
      <c r="L458" s="66"/>
      <c r="M458" s="65"/>
      <c r="N458" s="66"/>
      <c r="O458" s="65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>
      <c r="A459" s="67"/>
      <c r="B459" s="66"/>
      <c r="C459" s="18"/>
      <c r="D459" s="18"/>
      <c r="E459" s="18"/>
      <c r="F459" s="65"/>
      <c r="G459" s="66"/>
      <c r="H459" s="18"/>
      <c r="I459" s="18"/>
      <c r="J459" s="18"/>
      <c r="K459" s="65"/>
      <c r="L459" s="66"/>
      <c r="M459" s="65"/>
      <c r="N459" s="66"/>
      <c r="O459" s="65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>
      <c r="A460" s="67"/>
      <c r="B460" s="66"/>
      <c r="C460" s="18"/>
      <c r="D460" s="18"/>
      <c r="E460" s="18"/>
      <c r="F460" s="65"/>
      <c r="G460" s="66"/>
      <c r="H460" s="18"/>
      <c r="I460" s="18"/>
      <c r="J460" s="18"/>
      <c r="K460" s="65"/>
      <c r="L460" s="66"/>
      <c r="M460" s="65"/>
      <c r="N460" s="66"/>
      <c r="O460" s="65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>
      <c r="A461" s="67"/>
      <c r="B461" s="66"/>
      <c r="C461" s="18"/>
      <c r="D461" s="18"/>
      <c r="E461" s="18"/>
      <c r="F461" s="65"/>
      <c r="G461" s="66"/>
      <c r="H461" s="18"/>
      <c r="I461" s="18"/>
      <c r="J461" s="18"/>
      <c r="K461" s="65"/>
      <c r="L461" s="66"/>
      <c r="M461" s="65"/>
      <c r="N461" s="66"/>
      <c r="O461" s="65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>
      <c r="A462" s="67"/>
      <c r="B462" s="66"/>
      <c r="C462" s="18"/>
      <c r="D462" s="18"/>
      <c r="E462" s="18"/>
      <c r="F462" s="65"/>
      <c r="G462" s="66"/>
      <c r="H462" s="18"/>
      <c r="I462" s="18"/>
      <c r="J462" s="18"/>
      <c r="K462" s="65"/>
      <c r="L462" s="66"/>
      <c r="M462" s="65"/>
      <c r="N462" s="66"/>
      <c r="O462" s="65"/>
      <c r="P462" s="18"/>
      <c r="Q462" s="18"/>
      <c r="R462" s="18"/>
      <c r="S462" s="18"/>
      <c r="T462" s="18"/>
      <c r="U462" s="18"/>
      <c r="V462" s="18"/>
      <c r="W462" s="18"/>
      <c r="X462" s="18"/>
      <c r="Y462" s="18"/>
    </row>
    <row r="463">
      <c r="A463" s="67"/>
      <c r="B463" s="66"/>
      <c r="C463" s="18"/>
      <c r="D463" s="18"/>
      <c r="E463" s="18"/>
      <c r="F463" s="65"/>
      <c r="G463" s="66"/>
      <c r="H463" s="18"/>
      <c r="I463" s="18"/>
      <c r="J463" s="18"/>
      <c r="K463" s="65"/>
      <c r="L463" s="66"/>
      <c r="M463" s="65"/>
      <c r="N463" s="66"/>
      <c r="O463" s="65"/>
      <c r="P463" s="18"/>
      <c r="Q463" s="18"/>
      <c r="R463" s="18"/>
      <c r="S463" s="18"/>
      <c r="T463" s="18"/>
      <c r="U463" s="18"/>
      <c r="V463" s="18"/>
      <c r="W463" s="18"/>
      <c r="X463" s="18"/>
      <c r="Y463" s="18"/>
    </row>
    <row r="464">
      <c r="A464" s="67"/>
      <c r="B464" s="66"/>
      <c r="C464" s="18"/>
      <c r="D464" s="18"/>
      <c r="E464" s="18"/>
      <c r="F464" s="65"/>
      <c r="G464" s="66"/>
      <c r="H464" s="18"/>
      <c r="I464" s="18"/>
      <c r="J464" s="18"/>
      <c r="K464" s="65"/>
      <c r="L464" s="66"/>
      <c r="M464" s="65"/>
      <c r="N464" s="66"/>
      <c r="O464" s="65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>
      <c r="A465" s="67"/>
      <c r="B465" s="66"/>
      <c r="C465" s="18"/>
      <c r="D465" s="18"/>
      <c r="E465" s="18"/>
      <c r="F465" s="65"/>
      <c r="G465" s="66"/>
      <c r="H465" s="18"/>
      <c r="I465" s="18"/>
      <c r="J465" s="18"/>
      <c r="K465" s="65"/>
      <c r="L465" s="66"/>
      <c r="M465" s="65"/>
      <c r="N465" s="66"/>
      <c r="O465" s="65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>
      <c r="A466" s="67"/>
      <c r="B466" s="66"/>
      <c r="C466" s="18"/>
      <c r="D466" s="18"/>
      <c r="E466" s="18"/>
      <c r="F466" s="65"/>
      <c r="G466" s="66"/>
      <c r="H466" s="18"/>
      <c r="I466" s="18"/>
      <c r="J466" s="18"/>
      <c r="K466" s="65"/>
      <c r="L466" s="66"/>
      <c r="M466" s="65"/>
      <c r="N466" s="66"/>
      <c r="O466" s="65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>
      <c r="A467" s="67"/>
      <c r="B467" s="66"/>
      <c r="C467" s="18"/>
      <c r="D467" s="18"/>
      <c r="E467" s="18"/>
      <c r="F467" s="65"/>
      <c r="G467" s="66"/>
      <c r="H467" s="18"/>
      <c r="I467" s="18"/>
      <c r="J467" s="18"/>
      <c r="K467" s="65"/>
      <c r="L467" s="66"/>
      <c r="M467" s="65"/>
      <c r="N467" s="66"/>
      <c r="O467" s="65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>
      <c r="A468" s="67"/>
      <c r="B468" s="66"/>
      <c r="C468" s="18"/>
      <c r="D468" s="18"/>
      <c r="E468" s="18"/>
      <c r="F468" s="65"/>
      <c r="G468" s="66"/>
      <c r="H468" s="18"/>
      <c r="I468" s="18"/>
      <c r="J468" s="18"/>
      <c r="K468" s="65"/>
      <c r="L468" s="66"/>
      <c r="M468" s="65"/>
      <c r="N468" s="66"/>
      <c r="O468" s="65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>
      <c r="A469" s="67"/>
      <c r="B469" s="66"/>
      <c r="C469" s="18"/>
      <c r="D469" s="18"/>
      <c r="E469" s="18"/>
      <c r="F469" s="65"/>
      <c r="G469" s="66"/>
      <c r="H469" s="18"/>
      <c r="I469" s="18"/>
      <c r="J469" s="18"/>
      <c r="K469" s="65"/>
      <c r="L469" s="66"/>
      <c r="M469" s="65"/>
      <c r="N469" s="66"/>
      <c r="O469" s="65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>
      <c r="A470" s="67"/>
      <c r="B470" s="66"/>
      <c r="C470" s="18"/>
      <c r="D470" s="18"/>
      <c r="E470" s="18"/>
      <c r="F470" s="65"/>
      <c r="G470" s="66"/>
      <c r="H470" s="18"/>
      <c r="I470" s="18"/>
      <c r="J470" s="18"/>
      <c r="K470" s="65"/>
      <c r="L470" s="66"/>
      <c r="M470" s="65"/>
      <c r="N470" s="66"/>
      <c r="O470" s="65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>
      <c r="A471" s="67"/>
      <c r="B471" s="66"/>
      <c r="C471" s="18"/>
      <c r="D471" s="18"/>
      <c r="E471" s="18"/>
      <c r="F471" s="65"/>
      <c r="G471" s="66"/>
      <c r="H471" s="18"/>
      <c r="I471" s="18"/>
      <c r="J471" s="18"/>
      <c r="K471" s="65"/>
      <c r="L471" s="66"/>
      <c r="M471" s="65"/>
      <c r="N471" s="66"/>
      <c r="O471" s="65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>
      <c r="A472" s="67"/>
      <c r="B472" s="66"/>
      <c r="C472" s="18"/>
      <c r="D472" s="18"/>
      <c r="E472" s="18"/>
      <c r="F472" s="65"/>
      <c r="G472" s="66"/>
      <c r="H472" s="18"/>
      <c r="I472" s="18"/>
      <c r="J472" s="18"/>
      <c r="K472" s="65"/>
      <c r="L472" s="66"/>
      <c r="M472" s="65"/>
      <c r="N472" s="66"/>
      <c r="O472" s="65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>
      <c r="A473" s="67"/>
      <c r="B473" s="66"/>
      <c r="C473" s="18"/>
      <c r="D473" s="18"/>
      <c r="E473" s="18"/>
      <c r="F473" s="65"/>
      <c r="G473" s="66"/>
      <c r="H473" s="18"/>
      <c r="I473" s="18"/>
      <c r="J473" s="18"/>
      <c r="K473" s="65"/>
      <c r="L473" s="66"/>
      <c r="M473" s="65"/>
      <c r="N473" s="66"/>
      <c r="O473" s="65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>
      <c r="A474" s="67"/>
      <c r="B474" s="66"/>
      <c r="C474" s="18"/>
      <c r="D474" s="18"/>
      <c r="E474" s="18"/>
      <c r="F474" s="65"/>
      <c r="G474" s="66"/>
      <c r="H474" s="18"/>
      <c r="I474" s="18"/>
      <c r="J474" s="18"/>
      <c r="K474" s="65"/>
      <c r="L474" s="66"/>
      <c r="M474" s="65"/>
      <c r="N474" s="66"/>
      <c r="O474" s="65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>
      <c r="A475" s="67"/>
      <c r="B475" s="66"/>
      <c r="C475" s="18"/>
      <c r="D475" s="18"/>
      <c r="E475" s="18"/>
      <c r="F475" s="65"/>
      <c r="G475" s="66"/>
      <c r="H475" s="18"/>
      <c r="I475" s="18"/>
      <c r="J475" s="18"/>
      <c r="K475" s="65"/>
      <c r="L475" s="66"/>
      <c r="M475" s="65"/>
      <c r="N475" s="66"/>
      <c r="O475" s="65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>
      <c r="A476" s="67"/>
      <c r="B476" s="66"/>
      <c r="C476" s="18"/>
      <c r="D476" s="18"/>
      <c r="E476" s="18"/>
      <c r="F476" s="65"/>
      <c r="G476" s="66"/>
      <c r="H476" s="18"/>
      <c r="I476" s="18"/>
      <c r="J476" s="18"/>
      <c r="K476" s="65"/>
      <c r="L476" s="66"/>
      <c r="M476" s="65"/>
      <c r="N476" s="66"/>
      <c r="O476" s="65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>
      <c r="A477" s="67"/>
      <c r="B477" s="66"/>
      <c r="C477" s="18"/>
      <c r="D477" s="18"/>
      <c r="E477" s="18"/>
      <c r="F477" s="65"/>
      <c r="G477" s="66"/>
      <c r="H477" s="18"/>
      <c r="I477" s="18"/>
      <c r="J477" s="18"/>
      <c r="K477" s="65"/>
      <c r="L477" s="66"/>
      <c r="M477" s="65"/>
      <c r="N477" s="66"/>
      <c r="O477" s="65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>
      <c r="A478" s="67"/>
      <c r="B478" s="66"/>
      <c r="C478" s="18"/>
      <c r="D478" s="18"/>
      <c r="E478" s="18"/>
      <c r="F478" s="65"/>
      <c r="G478" s="66"/>
      <c r="H478" s="18"/>
      <c r="I478" s="18"/>
      <c r="J478" s="18"/>
      <c r="K478" s="65"/>
      <c r="L478" s="66"/>
      <c r="M478" s="65"/>
      <c r="N478" s="66"/>
      <c r="O478" s="65"/>
      <c r="P478" s="18"/>
      <c r="Q478" s="18"/>
      <c r="R478" s="18"/>
      <c r="S478" s="18"/>
      <c r="T478" s="18"/>
      <c r="U478" s="18"/>
      <c r="V478" s="18"/>
      <c r="W478" s="18"/>
      <c r="X478" s="18"/>
      <c r="Y478" s="18"/>
    </row>
    <row r="479">
      <c r="A479" s="67"/>
      <c r="B479" s="66"/>
      <c r="C479" s="18"/>
      <c r="D479" s="18"/>
      <c r="E479" s="18"/>
      <c r="F479" s="65"/>
      <c r="G479" s="66"/>
      <c r="H479" s="18"/>
      <c r="I479" s="18"/>
      <c r="J479" s="18"/>
      <c r="K479" s="65"/>
      <c r="L479" s="66"/>
      <c r="M479" s="65"/>
      <c r="N479" s="66"/>
      <c r="O479" s="65"/>
      <c r="P479" s="18"/>
      <c r="Q479" s="18"/>
      <c r="R479" s="18"/>
      <c r="S479" s="18"/>
      <c r="T479" s="18"/>
      <c r="U479" s="18"/>
      <c r="V479" s="18"/>
      <c r="W479" s="18"/>
      <c r="X479" s="18"/>
      <c r="Y479" s="18"/>
    </row>
    <row r="480">
      <c r="A480" s="67"/>
      <c r="B480" s="66"/>
      <c r="C480" s="18"/>
      <c r="D480" s="18"/>
      <c r="E480" s="18"/>
      <c r="F480" s="65"/>
      <c r="G480" s="66"/>
      <c r="H480" s="18"/>
      <c r="I480" s="18"/>
      <c r="J480" s="18"/>
      <c r="K480" s="65"/>
      <c r="L480" s="66"/>
      <c r="M480" s="65"/>
      <c r="N480" s="66"/>
      <c r="O480" s="65"/>
      <c r="P480" s="18"/>
      <c r="Q480" s="18"/>
      <c r="R480" s="18"/>
      <c r="S480" s="18"/>
      <c r="T480" s="18"/>
      <c r="U480" s="18"/>
      <c r="V480" s="18"/>
      <c r="W480" s="18"/>
      <c r="X480" s="18"/>
      <c r="Y480" s="18"/>
    </row>
    <row r="481">
      <c r="A481" s="67"/>
      <c r="B481" s="66"/>
      <c r="C481" s="18"/>
      <c r="D481" s="18"/>
      <c r="E481" s="18"/>
      <c r="F481" s="65"/>
      <c r="G481" s="66"/>
      <c r="H481" s="18"/>
      <c r="I481" s="18"/>
      <c r="J481" s="18"/>
      <c r="K481" s="65"/>
      <c r="L481" s="66"/>
      <c r="M481" s="65"/>
      <c r="N481" s="66"/>
      <c r="O481" s="65"/>
      <c r="P481" s="18"/>
      <c r="Q481" s="18"/>
      <c r="R481" s="18"/>
      <c r="S481" s="18"/>
      <c r="T481" s="18"/>
      <c r="U481" s="18"/>
      <c r="V481" s="18"/>
      <c r="W481" s="18"/>
      <c r="X481" s="18"/>
      <c r="Y481" s="18"/>
    </row>
    <row r="482">
      <c r="A482" s="67"/>
      <c r="B482" s="66"/>
      <c r="C482" s="18"/>
      <c r="D482" s="18"/>
      <c r="E482" s="18"/>
      <c r="F482" s="65"/>
      <c r="G482" s="66"/>
      <c r="H482" s="18"/>
      <c r="I482" s="18"/>
      <c r="J482" s="18"/>
      <c r="K482" s="65"/>
      <c r="L482" s="66"/>
      <c r="M482" s="65"/>
      <c r="N482" s="66"/>
      <c r="O482" s="65"/>
      <c r="P482" s="18"/>
      <c r="Q482" s="18"/>
      <c r="R482" s="18"/>
      <c r="S482" s="18"/>
      <c r="T482" s="18"/>
      <c r="U482" s="18"/>
      <c r="V482" s="18"/>
      <c r="W482" s="18"/>
      <c r="X482" s="18"/>
      <c r="Y482" s="18"/>
    </row>
    <row r="483">
      <c r="A483" s="67"/>
      <c r="B483" s="66"/>
      <c r="C483" s="18"/>
      <c r="D483" s="18"/>
      <c r="E483" s="18"/>
      <c r="F483" s="65"/>
      <c r="G483" s="66"/>
      <c r="H483" s="18"/>
      <c r="I483" s="18"/>
      <c r="J483" s="18"/>
      <c r="K483" s="65"/>
      <c r="L483" s="66"/>
      <c r="M483" s="65"/>
      <c r="N483" s="66"/>
      <c r="O483" s="65"/>
      <c r="P483" s="18"/>
      <c r="Q483" s="18"/>
      <c r="R483" s="18"/>
      <c r="S483" s="18"/>
      <c r="T483" s="18"/>
      <c r="U483" s="18"/>
      <c r="V483" s="18"/>
      <c r="W483" s="18"/>
      <c r="X483" s="18"/>
      <c r="Y483" s="18"/>
    </row>
    <row r="484">
      <c r="A484" s="67"/>
      <c r="B484" s="66"/>
      <c r="C484" s="18"/>
      <c r="D484" s="18"/>
      <c r="E484" s="18"/>
      <c r="F484" s="65"/>
      <c r="G484" s="66"/>
      <c r="H484" s="18"/>
      <c r="I484" s="18"/>
      <c r="J484" s="18"/>
      <c r="K484" s="65"/>
      <c r="L484" s="66"/>
      <c r="M484" s="65"/>
      <c r="N484" s="66"/>
      <c r="O484" s="65"/>
      <c r="P484" s="18"/>
      <c r="Q484" s="18"/>
      <c r="R484" s="18"/>
      <c r="S484" s="18"/>
      <c r="T484" s="18"/>
      <c r="U484" s="18"/>
      <c r="V484" s="18"/>
      <c r="W484" s="18"/>
      <c r="X484" s="18"/>
      <c r="Y484" s="18"/>
    </row>
    <row r="485">
      <c r="A485" s="67"/>
      <c r="B485" s="66"/>
      <c r="C485" s="18"/>
      <c r="D485" s="18"/>
      <c r="E485" s="18"/>
      <c r="F485" s="65"/>
      <c r="G485" s="66"/>
      <c r="H485" s="18"/>
      <c r="I485" s="18"/>
      <c r="J485" s="18"/>
      <c r="K485" s="65"/>
      <c r="L485" s="66"/>
      <c r="M485" s="65"/>
      <c r="N485" s="66"/>
      <c r="O485" s="65"/>
      <c r="P485" s="18"/>
      <c r="Q485" s="18"/>
      <c r="R485" s="18"/>
      <c r="S485" s="18"/>
      <c r="T485" s="18"/>
      <c r="U485" s="18"/>
      <c r="V485" s="18"/>
      <c r="W485" s="18"/>
      <c r="X485" s="18"/>
      <c r="Y485" s="18"/>
    </row>
    <row r="486">
      <c r="A486" s="67"/>
      <c r="B486" s="66"/>
      <c r="C486" s="18"/>
      <c r="D486" s="18"/>
      <c r="E486" s="18"/>
      <c r="F486" s="65"/>
      <c r="G486" s="66"/>
      <c r="H486" s="18"/>
      <c r="I486" s="18"/>
      <c r="J486" s="18"/>
      <c r="K486" s="65"/>
      <c r="L486" s="66"/>
      <c r="M486" s="65"/>
      <c r="N486" s="66"/>
      <c r="O486" s="65"/>
      <c r="P486" s="18"/>
      <c r="Q486" s="18"/>
      <c r="R486" s="18"/>
      <c r="S486" s="18"/>
      <c r="T486" s="18"/>
      <c r="U486" s="18"/>
      <c r="V486" s="18"/>
      <c r="W486" s="18"/>
      <c r="X486" s="18"/>
      <c r="Y486" s="18"/>
    </row>
    <row r="487">
      <c r="A487" s="67"/>
      <c r="B487" s="66"/>
      <c r="C487" s="18"/>
      <c r="D487" s="18"/>
      <c r="E487" s="18"/>
      <c r="F487" s="65"/>
      <c r="G487" s="66"/>
      <c r="H487" s="18"/>
      <c r="I487" s="18"/>
      <c r="J487" s="18"/>
      <c r="K487" s="65"/>
      <c r="L487" s="66"/>
      <c r="M487" s="65"/>
      <c r="N487" s="66"/>
      <c r="O487" s="65"/>
      <c r="P487" s="18"/>
      <c r="Q487" s="18"/>
      <c r="R487" s="18"/>
      <c r="S487" s="18"/>
      <c r="T487" s="18"/>
      <c r="U487" s="18"/>
      <c r="V487" s="18"/>
      <c r="W487" s="18"/>
      <c r="X487" s="18"/>
      <c r="Y487" s="18"/>
    </row>
    <row r="488">
      <c r="A488" s="67"/>
      <c r="B488" s="66"/>
      <c r="C488" s="18"/>
      <c r="D488" s="18"/>
      <c r="E488" s="18"/>
      <c r="F488" s="65"/>
      <c r="G488" s="66"/>
      <c r="H488" s="18"/>
      <c r="I488" s="18"/>
      <c r="J488" s="18"/>
      <c r="K488" s="65"/>
      <c r="L488" s="66"/>
      <c r="M488" s="65"/>
      <c r="N488" s="66"/>
      <c r="O488" s="65"/>
      <c r="P488" s="18"/>
      <c r="Q488" s="18"/>
      <c r="R488" s="18"/>
      <c r="S488" s="18"/>
      <c r="T488" s="18"/>
      <c r="U488" s="18"/>
      <c r="V488" s="18"/>
      <c r="W488" s="18"/>
      <c r="X488" s="18"/>
      <c r="Y488" s="18"/>
    </row>
    <row r="489">
      <c r="A489" s="67"/>
      <c r="B489" s="66"/>
      <c r="C489" s="18"/>
      <c r="D489" s="18"/>
      <c r="E489" s="18"/>
      <c r="F489" s="65"/>
      <c r="G489" s="66"/>
      <c r="H489" s="18"/>
      <c r="I489" s="18"/>
      <c r="J489" s="18"/>
      <c r="K489" s="65"/>
      <c r="L489" s="66"/>
      <c r="M489" s="65"/>
      <c r="N489" s="66"/>
      <c r="O489" s="65"/>
      <c r="P489" s="18"/>
      <c r="Q489" s="18"/>
      <c r="R489" s="18"/>
      <c r="S489" s="18"/>
      <c r="T489" s="18"/>
      <c r="U489" s="18"/>
      <c r="V489" s="18"/>
      <c r="W489" s="18"/>
      <c r="X489" s="18"/>
      <c r="Y489" s="18"/>
    </row>
    <row r="490">
      <c r="A490" s="67"/>
      <c r="B490" s="66"/>
      <c r="C490" s="18"/>
      <c r="D490" s="18"/>
      <c r="E490" s="18"/>
      <c r="F490" s="65"/>
      <c r="G490" s="66"/>
      <c r="H490" s="18"/>
      <c r="I490" s="18"/>
      <c r="J490" s="18"/>
      <c r="K490" s="65"/>
      <c r="L490" s="66"/>
      <c r="M490" s="65"/>
      <c r="N490" s="66"/>
      <c r="O490" s="65"/>
      <c r="P490" s="18"/>
      <c r="Q490" s="18"/>
      <c r="R490" s="18"/>
      <c r="S490" s="18"/>
      <c r="T490" s="18"/>
      <c r="U490" s="18"/>
      <c r="V490" s="18"/>
      <c r="W490" s="18"/>
      <c r="X490" s="18"/>
      <c r="Y490" s="18"/>
    </row>
    <row r="491">
      <c r="A491" s="67"/>
      <c r="B491" s="66"/>
      <c r="C491" s="18"/>
      <c r="D491" s="18"/>
      <c r="E491" s="18"/>
      <c r="F491" s="65"/>
      <c r="G491" s="66"/>
      <c r="H491" s="18"/>
      <c r="I491" s="18"/>
      <c r="J491" s="18"/>
      <c r="K491" s="65"/>
      <c r="L491" s="66"/>
      <c r="M491" s="65"/>
      <c r="N491" s="66"/>
      <c r="O491" s="65"/>
      <c r="P491" s="18"/>
      <c r="Q491" s="18"/>
      <c r="R491" s="18"/>
      <c r="S491" s="18"/>
      <c r="T491" s="18"/>
      <c r="U491" s="18"/>
      <c r="V491" s="18"/>
      <c r="W491" s="18"/>
      <c r="X491" s="18"/>
      <c r="Y491" s="18"/>
    </row>
    <row r="492">
      <c r="A492" s="67"/>
      <c r="B492" s="66"/>
      <c r="C492" s="18"/>
      <c r="D492" s="18"/>
      <c r="E492" s="18"/>
      <c r="F492" s="65"/>
      <c r="G492" s="66"/>
      <c r="H492" s="18"/>
      <c r="I492" s="18"/>
      <c r="J492" s="18"/>
      <c r="K492" s="65"/>
      <c r="L492" s="66"/>
      <c r="M492" s="65"/>
      <c r="N492" s="66"/>
      <c r="O492" s="65"/>
      <c r="P492" s="18"/>
      <c r="Q492" s="18"/>
      <c r="R492" s="18"/>
      <c r="S492" s="18"/>
      <c r="T492" s="18"/>
      <c r="U492" s="18"/>
      <c r="V492" s="18"/>
      <c r="W492" s="18"/>
      <c r="X492" s="18"/>
      <c r="Y492" s="18"/>
    </row>
    <row r="493">
      <c r="A493" s="67"/>
      <c r="B493" s="66"/>
      <c r="C493" s="18"/>
      <c r="D493" s="18"/>
      <c r="E493" s="18"/>
      <c r="F493" s="65"/>
      <c r="G493" s="66"/>
      <c r="H493" s="18"/>
      <c r="I493" s="18"/>
      <c r="J493" s="18"/>
      <c r="K493" s="65"/>
      <c r="L493" s="66"/>
      <c r="M493" s="65"/>
      <c r="N493" s="66"/>
      <c r="O493" s="65"/>
      <c r="P493" s="18"/>
      <c r="Q493" s="18"/>
      <c r="R493" s="18"/>
      <c r="S493" s="18"/>
      <c r="T493" s="18"/>
      <c r="U493" s="18"/>
      <c r="V493" s="18"/>
      <c r="W493" s="18"/>
      <c r="X493" s="18"/>
      <c r="Y493" s="18"/>
    </row>
    <row r="494">
      <c r="A494" s="67"/>
      <c r="B494" s="66"/>
      <c r="C494" s="18"/>
      <c r="D494" s="18"/>
      <c r="E494" s="18"/>
      <c r="F494" s="65"/>
      <c r="G494" s="66"/>
      <c r="H494" s="18"/>
      <c r="I494" s="18"/>
      <c r="J494" s="18"/>
      <c r="K494" s="65"/>
      <c r="L494" s="66"/>
      <c r="M494" s="65"/>
      <c r="N494" s="66"/>
      <c r="O494" s="65"/>
      <c r="P494" s="18"/>
      <c r="Q494" s="18"/>
      <c r="R494" s="18"/>
      <c r="S494" s="18"/>
      <c r="T494" s="18"/>
      <c r="U494" s="18"/>
      <c r="V494" s="18"/>
      <c r="W494" s="18"/>
      <c r="X494" s="18"/>
      <c r="Y494" s="18"/>
    </row>
    <row r="495">
      <c r="A495" s="67"/>
      <c r="B495" s="66"/>
      <c r="C495" s="18"/>
      <c r="D495" s="18"/>
      <c r="E495" s="18"/>
      <c r="F495" s="65"/>
      <c r="G495" s="66"/>
      <c r="H495" s="18"/>
      <c r="I495" s="18"/>
      <c r="J495" s="18"/>
      <c r="K495" s="65"/>
      <c r="L495" s="66"/>
      <c r="M495" s="65"/>
      <c r="N495" s="66"/>
      <c r="O495" s="65"/>
      <c r="P495" s="18"/>
      <c r="Q495" s="18"/>
      <c r="R495" s="18"/>
      <c r="S495" s="18"/>
      <c r="T495" s="18"/>
      <c r="U495" s="18"/>
      <c r="V495" s="18"/>
      <c r="W495" s="18"/>
      <c r="X495" s="18"/>
      <c r="Y495" s="18"/>
    </row>
    <row r="496">
      <c r="A496" s="67"/>
      <c r="B496" s="66"/>
      <c r="C496" s="18"/>
      <c r="D496" s="18"/>
      <c r="E496" s="18"/>
      <c r="F496" s="65"/>
      <c r="G496" s="66"/>
      <c r="H496" s="18"/>
      <c r="I496" s="18"/>
      <c r="J496" s="18"/>
      <c r="K496" s="65"/>
      <c r="L496" s="66"/>
      <c r="M496" s="65"/>
      <c r="N496" s="66"/>
      <c r="O496" s="65"/>
      <c r="P496" s="18"/>
      <c r="Q496" s="18"/>
      <c r="R496" s="18"/>
      <c r="S496" s="18"/>
      <c r="T496" s="18"/>
      <c r="U496" s="18"/>
      <c r="V496" s="18"/>
      <c r="W496" s="18"/>
      <c r="X496" s="18"/>
      <c r="Y496" s="18"/>
    </row>
    <row r="497">
      <c r="A497" s="67"/>
      <c r="B497" s="66"/>
      <c r="C497" s="18"/>
      <c r="D497" s="18"/>
      <c r="E497" s="18"/>
      <c r="F497" s="65"/>
      <c r="G497" s="66"/>
      <c r="H497" s="18"/>
      <c r="I497" s="18"/>
      <c r="J497" s="18"/>
      <c r="K497" s="65"/>
      <c r="L497" s="66"/>
      <c r="M497" s="65"/>
      <c r="N497" s="66"/>
      <c r="O497" s="65"/>
      <c r="P497" s="18"/>
      <c r="Q497" s="18"/>
      <c r="R497" s="18"/>
      <c r="S497" s="18"/>
      <c r="T497" s="18"/>
      <c r="U497" s="18"/>
      <c r="V497" s="18"/>
      <c r="W497" s="18"/>
      <c r="X497" s="18"/>
      <c r="Y497" s="18"/>
    </row>
    <row r="498">
      <c r="A498" s="67"/>
      <c r="B498" s="66"/>
      <c r="C498" s="18"/>
      <c r="D498" s="18"/>
      <c r="E498" s="18"/>
      <c r="F498" s="65"/>
      <c r="G498" s="66"/>
      <c r="H498" s="18"/>
      <c r="I498" s="18"/>
      <c r="J498" s="18"/>
      <c r="K498" s="65"/>
      <c r="L498" s="66"/>
      <c r="M498" s="65"/>
      <c r="N498" s="66"/>
      <c r="O498" s="65"/>
      <c r="P498" s="18"/>
      <c r="Q498" s="18"/>
      <c r="R498" s="18"/>
      <c r="S498" s="18"/>
      <c r="T498" s="18"/>
      <c r="U498" s="18"/>
      <c r="V498" s="18"/>
      <c r="W498" s="18"/>
      <c r="X498" s="18"/>
      <c r="Y498" s="18"/>
    </row>
    <row r="499">
      <c r="A499" s="67"/>
      <c r="B499" s="66"/>
      <c r="C499" s="18"/>
      <c r="D499" s="18"/>
      <c r="E499" s="18"/>
      <c r="F499" s="65"/>
      <c r="G499" s="66"/>
      <c r="H499" s="18"/>
      <c r="I499" s="18"/>
      <c r="J499" s="18"/>
      <c r="K499" s="65"/>
      <c r="L499" s="66"/>
      <c r="M499" s="65"/>
      <c r="N499" s="66"/>
      <c r="O499" s="65"/>
      <c r="P499" s="18"/>
      <c r="Q499" s="18"/>
      <c r="R499" s="18"/>
      <c r="S499" s="18"/>
      <c r="T499" s="18"/>
      <c r="U499" s="18"/>
      <c r="V499" s="18"/>
      <c r="W499" s="18"/>
      <c r="X499" s="18"/>
      <c r="Y499" s="18"/>
    </row>
    <row r="500">
      <c r="A500" s="67"/>
      <c r="B500" s="66"/>
      <c r="C500" s="18"/>
      <c r="D500" s="18"/>
      <c r="E500" s="18"/>
      <c r="F500" s="65"/>
      <c r="G500" s="66"/>
      <c r="H500" s="18"/>
      <c r="I500" s="18"/>
      <c r="J500" s="18"/>
      <c r="K500" s="65"/>
      <c r="L500" s="66"/>
      <c r="M500" s="65"/>
      <c r="N500" s="66"/>
      <c r="O500" s="65"/>
      <c r="P500" s="18"/>
      <c r="Q500" s="18"/>
      <c r="R500" s="18"/>
      <c r="S500" s="18"/>
      <c r="T500" s="18"/>
      <c r="U500" s="18"/>
      <c r="V500" s="18"/>
      <c r="W500" s="18"/>
      <c r="X500" s="18"/>
      <c r="Y500" s="18"/>
    </row>
    <row r="501">
      <c r="A501" s="67"/>
      <c r="B501" s="66"/>
      <c r="C501" s="18"/>
      <c r="D501" s="18"/>
      <c r="E501" s="18"/>
      <c r="F501" s="65"/>
      <c r="G501" s="66"/>
      <c r="H501" s="18"/>
      <c r="I501" s="18"/>
      <c r="J501" s="18"/>
      <c r="K501" s="65"/>
      <c r="L501" s="66"/>
      <c r="M501" s="65"/>
      <c r="N501" s="66"/>
      <c r="O501" s="65"/>
      <c r="P501" s="18"/>
      <c r="Q501" s="18"/>
      <c r="R501" s="18"/>
      <c r="S501" s="18"/>
      <c r="T501" s="18"/>
      <c r="U501" s="18"/>
      <c r="V501" s="18"/>
      <c r="W501" s="18"/>
      <c r="X501" s="18"/>
      <c r="Y501" s="18"/>
    </row>
    <row r="502">
      <c r="A502" s="67"/>
      <c r="B502" s="66"/>
      <c r="C502" s="18"/>
      <c r="D502" s="18"/>
      <c r="E502" s="18"/>
      <c r="F502" s="65"/>
      <c r="G502" s="66"/>
      <c r="H502" s="18"/>
      <c r="I502" s="18"/>
      <c r="J502" s="18"/>
      <c r="K502" s="65"/>
      <c r="L502" s="66"/>
      <c r="M502" s="65"/>
      <c r="N502" s="66"/>
      <c r="O502" s="65"/>
      <c r="P502" s="18"/>
      <c r="Q502" s="18"/>
      <c r="R502" s="18"/>
      <c r="S502" s="18"/>
      <c r="T502" s="18"/>
      <c r="U502" s="18"/>
      <c r="V502" s="18"/>
      <c r="W502" s="18"/>
      <c r="X502" s="18"/>
      <c r="Y502" s="18"/>
    </row>
    <row r="503">
      <c r="A503" s="67"/>
      <c r="B503" s="66"/>
      <c r="C503" s="18"/>
      <c r="D503" s="18"/>
      <c r="E503" s="18"/>
      <c r="F503" s="65"/>
      <c r="G503" s="66"/>
      <c r="H503" s="18"/>
      <c r="I503" s="18"/>
      <c r="J503" s="18"/>
      <c r="K503" s="65"/>
      <c r="L503" s="66"/>
      <c r="M503" s="65"/>
      <c r="N503" s="66"/>
      <c r="O503" s="65"/>
      <c r="P503" s="18"/>
      <c r="Q503" s="18"/>
      <c r="R503" s="18"/>
      <c r="S503" s="18"/>
      <c r="T503" s="18"/>
      <c r="U503" s="18"/>
      <c r="V503" s="18"/>
      <c r="W503" s="18"/>
      <c r="X503" s="18"/>
      <c r="Y503" s="18"/>
    </row>
    <row r="504">
      <c r="A504" s="67"/>
      <c r="B504" s="66"/>
      <c r="C504" s="18"/>
      <c r="D504" s="18"/>
      <c r="E504" s="18"/>
      <c r="F504" s="65"/>
      <c r="G504" s="66"/>
      <c r="H504" s="18"/>
      <c r="I504" s="18"/>
      <c r="J504" s="18"/>
      <c r="K504" s="65"/>
      <c r="L504" s="66"/>
      <c r="M504" s="65"/>
      <c r="N504" s="66"/>
      <c r="O504" s="65"/>
      <c r="P504" s="18"/>
      <c r="Q504" s="18"/>
      <c r="R504" s="18"/>
      <c r="S504" s="18"/>
      <c r="T504" s="18"/>
      <c r="U504" s="18"/>
      <c r="V504" s="18"/>
      <c r="W504" s="18"/>
      <c r="X504" s="18"/>
      <c r="Y504" s="18"/>
    </row>
    <row r="505">
      <c r="A505" s="67"/>
      <c r="B505" s="66"/>
      <c r="C505" s="18"/>
      <c r="D505" s="18"/>
      <c r="E505" s="18"/>
      <c r="F505" s="65"/>
      <c r="G505" s="66"/>
      <c r="H505" s="18"/>
      <c r="I505" s="18"/>
      <c r="J505" s="18"/>
      <c r="K505" s="65"/>
      <c r="L505" s="66"/>
      <c r="M505" s="65"/>
      <c r="N505" s="66"/>
      <c r="O505" s="65"/>
      <c r="P505" s="18"/>
      <c r="Q505" s="18"/>
      <c r="R505" s="18"/>
      <c r="S505" s="18"/>
      <c r="T505" s="18"/>
      <c r="U505" s="18"/>
      <c r="V505" s="18"/>
      <c r="W505" s="18"/>
      <c r="X505" s="18"/>
      <c r="Y505" s="18"/>
    </row>
    <row r="506">
      <c r="A506" s="67"/>
      <c r="B506" s="66"/>
      <c r="C506" s="18"/>
      <c r="D506" s="18"/>
      <c r="E506" s="18"/>
      <c r="F506" s="65"/>
      <c r="G506" s="66"/>
      <c r="H506" s="18"/>
      <c r="I506" s="18"/>
      <c r="J506" s="18"/>
      <c r="K506" s="65"/>
      <c r="L506" s="66"/>
      <c r="M506" s="65"/>
      <c r="N506" s="66"/>
      <c r="O506" s="65"/>
      <c r="P506" s="18"/>
      <c r="Q506" s="18"/>
      <c r="R506" s="18"/>
      <c r="S506" s="18"/>
      <c r="T506" s="18"/>
      <c r="U506" s="18"/>
      <c r="V506" s="18"/>
      <c r="W506" s="18"/>
      <c r="X506" s="18"/>
      <c r="Y506" s="18"/>
    </row>
    <row r="507">
      <c r="A507" s="67"/>
      <c r="B507" s="66"/>
      <c r="C507" s="18"/>
      <c r="D507" s="18"/>
      <c r="E507" s="18"/>
      <c r="F507" s="65"/>
      <c r="G507" s="66"/>
      <c r="H507" s="18"/>
      <c r="I507" s="18"/>
      <c r="J507" s="18"/>
      <c r="K507" s="65"/>
      <c r="L507" s="66"/>
      <c r="M507" s="65"/>
      <c r="N507" s="66"/>
      <c r="O507" s="65"/>
      <c r="P507" s="18"/>
      <c r="Q507" s="18"/>
      <c r="R507" s="18"/>
      <c r="S507" s="18"/>
      <c r="T507" s="18"/>
      <c r="U507" s="18"/>
      <c r="V507" s="18"/>
      <c r="W507" s="18"/>
      <c r="X507" s="18"/>
      <c r="Y507" s="18"/>
    </row>
    <row r="508">
      <c r="A508" s="67"/>
      <c r="B508" s="66"/>
      <c r="C508" s="18"/>
      <c r="D508" s="18"/>
      <c r="E508" s="18"/>
      <c r="F508" s="65"/>
      <c r="G508" s="66"/>
      <c r="H508" s="18"/>
      <c r="I508" s="18"/>
      <c r="J508" s="18"/>
      <c r="K508" s="65"/>
      <c r="L508" s="66"/>
      <c r="M508" s="65"/>
      <c r="N508" s="66"/>
      <c r="O508" s="65"/>
      <c r="P508" s="18"/>
      <c r="Q508" s="18"/>
      <c r="R508" s="18"/>
      <c r="S508" s="18"/>
      <c r="T508" s="18"/>
      <c r="U508" s="18"/>
      <c r="V508" s="18"/>
      <c r="W508" s="18"/>
      <c r="X508" s="18"/>
      <c r="Y508" s="18"/>
    </row>
    <row r="509">
      <c r="A509" s="67"/>
      <c r="B509" s="66"/>
      <c r="C509" s="18"/>
      <c r="D509" s="18"/>
      <c r="E509" s="18"/>
      <c r="F509" s="65"/>
      <c r="G509" s="66"/>
      <c r="H509" s="18"/>
      <c r="I509" s="18"/>
      <c r="J509" s="18"/>
      <c r="K509" s="65"/>
      <c r="L509" s="66"/>
      <c r="M509" s="65"/>
      <c r="N509" s="66"/>
      <c r="O509" s="65"/>
      <c r="P509" s="18"/>
      <c r="Q509" s="18"/>
      <c r="R509" s="18"/>
      <c r="S509" s="18"/>
      <c r="T509" s="18"/>
      <c r="U509" s="18"/>
      <c r="V509" s="18"/>
      <c r="W509" s="18"/>
      <c r="X509" s="18"/>
      <c r="Y509" s="18"/>
    </row>
    <row r="510">
      <c r="A510" s="67"/>
      <c r="B510" s="66"/>
      <c r="C510" s="18"/>
      <c r="D510" s="18"/>
      <c r="E510" s="18"/>
      <c r="F510" s="65"/>
      <c r="G510" s="66"/>
      <c r="H510" s="18"/>
      <c r="I510" s="18"/>
      <c r="J510" s="18"/>
      <c r="K510" s="65"/>
      <c r="L510" s="66"/>
      <c r="M510" s="65"/>
      <c r="N510" s="66"/>
      <c r="O510" s="65"/>
      <c r="P510" s="18"/>
      <c r="Q510" s="18"/>
      <c r="R510" s="18"/>
      <c r="S510" s="18"/>
      <c r="T510" s="18"/>
      <c r="U510" s="18"/>
      <c r="V510" s="18"/>
      <c r="W510" s="18"/>
      <c r="X510" s="18"/>
      <c r="Y510" s="18"/>
    </row>
    <row r="511">
      <c r="A511" s="67"/>
      <c r="B511" s="66"/>
      <c r="C511" s="18"/>
      <c r="D511" s="18"/>
      <c r="E511" s="18"/>
      <c r="F511" s="65"/>
      <c r="G511" s="66"/>
      <c r="H511" s="18"/>
      <c r="I511" s="18"/>
      <c r="J511" s="18"/>
      <c r="K511" s="65"/>
      <c r="L511" s="66"/>
      <c r="M511" s="65"/>
      <c r="N511" s="66"/>
      <c r="O511" s="65"/>
      <c r="P511" s="18"/>
      <c r="Q511" s="18"/>
      <c r="R511" s="18"/>
      <c r="S511" s="18"/>
      <c r="T511" s="18"/>
      <c r="U511" s="18"/>
      <c r="V511" s="18"/>
      <c r="W511" s="18"/>
      <c r="X511" s="18"/>
      <c r="Y511" s="18"/>
    </row>
    <row r="512">
      <c r="A512" s="67"/>
      <c r="B512" s="66"/>
      <c r="C512" s="18"/>
      <c r="D512" s="18"/>
      <c r="E512" s="18"/>
      <c r="F512" s="65"/>
      <c r="G512" s="66"/>
      <c r="H512" s="18"/>
      <c r="I512" s="18"/>
      <c r="J512" s="18"/>
      <c r="K512" s="65"/>
      <c r="L512" s="66"/>
      <c r="M512" s="65"/>
      <c r="N512" s="66"/>
      <c r="O512" s="65"/>
      <c r="P512" s="18"/>
      <c r="Q512" s="18"/>
      <c r="R512" s="18"/>
      <c r="S512" s="18"/>
      <c r="T512" s="18"/>
      <c r="U512" s="18"/>
      <c r="V512" s="18"/>
      <c r="W512" s="18"/>
      <c r="X512" s="18"/>
      <c r="Y512" s="18"/>
    </row>
    <row r="513">
      <c r="A513" s="67"/>
      <c r="B513" s="66"/>
      <c r="C513" s="18"/>
      <c r="D513" s="18"/>
      <c r="E513" s="18"/>
      <c r="F513" s="65"/>
      <c r="G513" s="66"/>
      <c r="H513" s="18"/>
      <c r="I513" s="18"/>
      <c r="J513" s="18"/>
      <c r="K513" s="65"/>
      <c r="L513" s="66"/>
      <c r="M513" s="65"/>
      <c r="N513" s="66"/>
      <c r="O513" s="65"/>
      <c r="P513" s="18"/>
      <c r="Q513" s="18"/>
      <c r="R513" s="18"/>
      <c r="S513" s="18"/>
      <c r="T513" s="18"/>
      <c r="U513" s="18"/>
      <c r="V513" s="18"/>
      <c r="W513" s="18"/>
      <c r="X513" s="18"/>
      <c r="Y513" s="18"/>
    </row>
    <row r="514">
      <c r="A514" s="67"/>
      <c r="B514" s="66"/>
      <c r="C514" s="18"/>
      <c r="D514" s="18"/>
      <c r="E514" s="18"/>
      <c r="F514" s="65"/>
      <c r="G514" s="66"/>
      <c r="H514" s="18"/>
      <c r="I514" s="18"/>
      <c r="J514" s="18"/>
      <c r="K514" s="65"/>
      <c r="L514" s="66"/>
      <c r="M514" s="65"/>
      <c r="N514" s="66"/>
      <c r="O514" s="65"/>
      <c r="P514" s="18"/>
      <c r="Q514" s="18"/>
      <c r="R514" s="18"/>
      <c r="S514" s="18"/>
      <c r="T514" s="18"/>
      <c r="U514" s="18"/>
      <c r="V514" s="18"/>
      <c r="W514" s="18"/>
      <c r="X514" s="18"/>
      <c r="Y514" s="18"/>
    </row>
    <row r="515">
      <c r="A515" s="67"/>
      <c r="B515" s="66"/>
      <c r="C515" s="18"/>
      <c r="D515" s="18"/>
      <c r="E515" s="18"/>
      <c r="F515" s="65"/>
      <c r="G515" s="66"/>
      <c r="H515" s="18"/>
      <c r="I515" s="18"/>
      <c r="J515" s="18"/>
      <c r="K515" s="65"/>
      <c r="L515" s="66"/>
      <c r="M515" s="65"/>
      <c r="N515" s="66"/>
      <c r="O515" s="65"/>
      <c r="P515" s="18"/>
      <c r="Q515" s="18"/>
      <c r="R515" s="18"/>
      <c r="S515" s="18"/>
      <c r="T515" s="18"/>
      <c r="U515" s="18"/>
      <c r="V515" s="18"/>
      <c r="W515" s="18"/>
      <c r="X515" s="18"/>
      <c r="Y515" s="18"/>
    </row>
    <row r="516">
      <c r="A516" s="67"/>
      <c r="B516" s="66"/>
      <c r="C516" s="18"/>
      <c r="D516" s="18"/>
      <c r="E516" s="18"/>
      <c r="F516" s="65"/>
      <c r="G516" s="66"/>
      <c r="H516" s="18"/>
      <c r="I516" s="18"/>
      <c r="J516" s="18"/>
      <c r="K516" s="65"/>
      <c r="L516" s="66"/>
      <c r="M516" s="65"/>
      <c r="N516" s="66"/>
      <c r="O516" s="65"/>
      <c r="P516" s="18"/>
      <c r="Q516" s="18"/>
      <c r="R516" s="18"/>
      <c r="S516" s="18"/>
      <c r="T516" s="18"/>
      <c r="U516" s="18"/>
      <c r="V516" s="18"/>
      <c r="W516" s="18"/>
      <c r="X516" s="18"/>
      <c r="Y516" s="18"/>
    </row>
    <row r="517">
      <c r="A517" s="67"/>
      <c r="B517" s="66"/>
      <c r="C517" s="18"/>
      <c r="D517" s="18"/>
      <c r="E517" s="18"/>
      <c r="F517" s="65"/>
      <c r="G517" s="66"/>
      <c r="H517" s="18"/>
      <c r="I517" s="18"/>
      <c r="J517" s="18"/>
      <c r="K517" s="65"/>
      <c r="L517" s="66"/>
      <c r="M517" s="65"/>
      <c r="N517" s="66"/>
      <c r="O517" s="65"/>
      <c r="P517" s="18"/>
      <c r="Q517" s="18"/>
      <c r="R517" s="18"/>
      <c r="S517" s="18"/>
      <c r="T517" s="18"/>
      <c r="U517" s="18"/>
      <c r="V517" s="18"/>
      <c r="W517" s="18"/>
      <c r="X517" s="18"/>
      <c r="Y517" s="18"/>
    </row>
    <row r="518">
      <c r="A518" s="67"/>
      <c r="B518" s="66"/>
      <c r="C518" s="18"/>
      <c r="D518" s="18"/>
      <c r="E518" s="18"/>
      <c r="F518" s="65"/>
      <c r="G518" s="66"/>
      <c r="H518" s="18"/>
      <c r="I518" s="18"/>
      <c r="J518" s="18"/>
      <c r="K518" s="65"/>
      <c r="L518" s="66"/>
      <c r="M518" s="65"/>
      <c r="N518" s="66"/>
      <c r="O518" s="65"/>
      <c r="P518" s="18"/>
      <c r="Q518" s="18"/>
      <c r="R518" s="18"/>
      <c r="S518" s="18"/>
      <c r="T518" s="18"/>
      <c r="U518" s="18"/>
      <c r="V518" s="18"/>
      <c r="W518" s="18"/>
      <c r="X518" s="18"/>
      <c r="Y518" s="18"/>
    </row>
    <row r="519">
      <c r="A519" s="67"/>
      <c r="B519" s="66"/>
      <c r="C519" s="18"/>
      <c r="D519" s="18"/>
      <c r="E519" s="18"/>
      <c r="F519" s="65"/>
      <c r="G519" s="66"/>
      <c r="H519" s="18"/>
      <c r="I519" s="18"/>
      <c r="J519" s="18"/>
      <c r="K519" s="65"/>
      <c r="L519" s="66"/>
      <c r="M519" s="65"/>
      <c r="N519" s="66"/>
      <c r="O519" s="65"/>
      <c r="P519" s="18"/>
      <c r="Q519" s="18"/>
      <c r="R519" s="18"/>
      <c r="S519" s="18"/>
      <c r="T519" s="18"/>
      <c r="U519" s="18"/>
      <c r="V519" s="18"/>
      <c r="W519" s="18"/>
      <c r="X519" s="18"/>
      <c r="Y519" s="18"/>
    </row>
    <row r="520">
      <c r="A520" s="67"/>
      <c r="B520" s="66"/>
      <c r="C520" s="18"/>
      <c r="D520" s="18"/>
      <c r="E520" s="18"/>
      <c r="F520" s="65"/>
      <c r="G520" s="66"/>
      <c r="H520" s="18"/>
      <c r="I520" s="18"/>
      <c r="J520" s="18"/>
      <c r="K520" s="65"/>
      <c r="L520" s="66"/>
      <c r="M520" s="65"/>
      <c r="N520" s="66"/>
      <c r="O520" s="65"/>
      <c r="P520" s="18"/>
      <c r="Q520" s="18"/>
      <c r="R520" s="18"/>
      <c r="S520" s="18"/>
      <c r="T520" s="18"/>
      <c r="U520" s="18"/>
      <c r="V520" s="18"/>
      <c r="W520" s="18"/>
      <c r="X520" s="18"/>
      <c r="Y520" s="18"/>
    </row>
    <row r="521">
      <c r="A521" s="67"/>
      <c r="B521" s="66"/>
      <c r="C521" s="18"/>
      <c r="D521" s="18"/>
      <c r="E521" s="18"/>
      <c r="F521" s="65"/>
      <c r="G521" s="66"/>
      <c r="H521" s="18"/>
      <c r="I521" s="18"/>
      <c r="J521" s="18"/>
      <c r="K521" s="65"/>
      <c r="L521" s="66"/>
      <c r="M521" s="65"/>
      <c r="N521" s="66"/>
      <c r="O521" s="65"/>
      <c r="P521" s="18"/>
      <c r="Q521" s="18"/>
      <c r="R521" s="18"/>
      <c r="S521" s="18"/>
      <c r="T521" s="18"/>
      <c r="U521" s="18"/>
      <c r="V521" s="18"/>
      <c r="W521" s="18"/>
      <c r="X521" s="18"/>
      <c r="Y521" s="18"/>
    </row>
    <row r="522">
      <c r="A522" s="67"/>
      <c r="B522" s="66"/>
      <c r="C522" s="18"/>
      <c r="D522" s="18"/>
      <c r="E522" s="18"/>
      <c r="F522" s="65"/>
      <c r="G522" s="66"/>
      <c r="H522" s="18"/>
      <c r="I522" s="18"/>
      <c r="J522" s="18"/>
      <c r="K522" s="65"/>
      <c r="L522" s="66"/>
      <c r="M522" s="65"/>
      <c r="N522" s="66"/>
      <c r="O522" s="65"/>
      <c r="P522" s="18"/>
      <c r="Q522" s="18"/>
      <c r="R522" s="18"/>
      <c r="S522" s="18"/>
      <c r="T522" s="18"/>
      <c r="U522" s="18"/>
      <c r="V522" s="18"/>
      <c r="W522" s="18"/>
      <c r="X522" s="18"/>
      <c r="Y522" s="18"/>
    </row>
    <row r="523">
      <c r="A523" s="67"/>
      <c r="B523" s="66"/>
      <c r="C523" s="18"/>
      <c r="D523" s="18"/>
      <c r="E523" s="18"/>
      <c r="F523" s="65"/>
      <c r="G523" s="66"/>
      <c r="H523" s="18"/>
      <c r="I523" s="18"/>
      <c r="J523" s="18"/>
      <c r="K523" s="65"/>
      <c r="L523" s="66"/>
      <c r="M523" s="65"/>
      <c r="N523" s="66"/>
      <c r="O523" s="65"/>
      <c r="P523" s="18"/>
      <c r="Q523" s="18"/>
      <c r="R523" s="18"/>
      <c r="S523" s="18"/>
      <c r="T523" s="18"/>
      <c r="U523" s="18"/>
      <c r="V523" s="18"/>
      <c r="W523" s="18"/>
      <c r="X523" s="18"/>
      <c r="Y523" s="18"/>
    </row>
    <row r="524">
      <c r="A524" s="67"/>
      <c r="B524" s="66"/>
      <c r="C524" s="18"/>
      <c r="D524" s="18"/>
      <c r="E524" s="18"/>
      <c r="F524" s="65"/>
      <c r="G524" s="66"/>
      <c r="H524" s="18"/>
      <c r="I524" s="18"/>
      <c r="J524" s="18"/>
      <c r="K524" s="65"/>
      <c r="L524" s="66"/>
      <c r="M524" s="65"/>
      <c r="N524" s="66"/>
      <c r="O524" s="65"/>
      <c r="P524" s="18"/>
      <c r="Q524" s="18"/>
      <c r="R524" s="18"/>
      <c r="S524" s="18"/>
      <c r="T524" s="18"/>
      <c r="U524" s="18"/>
      <c r="V524" s="18"/>
      <c r="W524" s="18"/>
      <c r="X524" s="18"/>
      <c r="Y524" s="18"/>
    </row>
    <row r="525">
      <c r="A525" s="67"/>
      <c r="B525" s="66"/>
      <c r="C525" s="18"/>
      <c r="D525" s="18"/>
      <c r="E525" s="18"/>
      <c r="F525" s="65"/>
      <c r="G525" s="66"/>
      <c r="H525" s="18"/>
      <c r="I525" s="18"/>
      <c r="J525" s="18"/>
      <c r="K525" s="65"/>
      <c r="L525" s="66"/>
      <c r="M525" s="65"/>
      <c r="N525" s="66"/>
      <c r="O525" s="65"/>
      <c r="P525" s="18"/>
      <c r="Q525" s="18"/>
      <c r="R525" s="18"/>
      <c r="S525" s="18"/>
      <c r="T525" s="18"/>
      <c r="U525" s="18"/>
      <c r="V525" s="18"/>
      <c r="W525" s="18"/>
      <c r="X525" s="18"/>
      <c r="Y525" s="18"/>
    </row>
    <row r="526">
      <c r="A526" s="67"/>
      <c r="B526" s="66"/>
      <c r="C526" s="18"/>
      <c r="D526" s="18"/>
      <c r="E526" s="18"/>
      <c r="F526" s="65"/>
      <c r="G526" s="66"/>
      <c r="H526" s="18"/>
      <c r="I526" s="18"/>
      <c r="J526" s="18"/>
      <c r="K526" s="65"/>
      <c r="L526" s="66"/>
      <c r="M526" s="65"/>
      <c r="N526" s="66"/>
      <c r="O526" s="65"/>
      <c r="P526" s="18"/>
      <c r="Q526" s="18"/>
      <c r="R526" s="18"/>
      <c r="S526" s="18"/>
      <c r="T526" s="18"/>
      <c r="U526" s="18"/>
      <c r="V526" s="18"/>
      <c r="W526" s="18"/>
      <c r="X526" s="18"/>
      <c r="Y526" s="18"/>
    </row>
    <row r="527">
      <c r="A527" s="67"/>
      <c r="B527" s="66"/>
      <c r="C527" s="18"/>
      <c r="D527" s="18"/>
      <c r="E527" s="18"/>
      <c r="F527" s="65"/>
      <c r="G527" s="66"/>
      <c r="H527" s="18"/>
      <c r="I527" s="18"/>
      <c r="J527" s="18"/>
      <c r="K527" s="65"/>
      <c r="L527" s="66"/>
      <c r="M527" s="65"/>
      <c r="N527" s="66"/>
      <c r="O527" s="65"/>
      <c r="P527" s="18"/>
      <c r="Q527" s="18"/>
      <c r="R527" s="18"/>
      <c r="S527" s="18"/>
      <c r="T527" s="18"/>
      <c r="U527" s="18"/>
      <c r="V527" s="18"/>
      <c r="W527" s="18"/>
      <c r="X527" s="18"/>
      <c r="Y527" s="18"/>
    </row>
    <row r="528">
      <c r="A528" s="67"/>
      <c r="B528" s="66"/>
      <c r="C528" s="18"/>
      <c r="D528" s="18"/>
      <c r="E528" s="18"/>
      <c r="F528" s="65"/>
      <c r="G528" s="66"/>
      <c r="H528" s="18"/>
      <c r="I528" s="18"/>
      <c r="J528" s="18"/>
      <c r="K528" s="65"/>
      <c r="L528" s="66"/>
      <c r="M528" s="65"/>
      <c r="N528" s="66"/>
      <c r="O528" s="65"/>
      <c r="P528" s="18"/>
      <c r="Q528" s="18"/>
      <c r="R528" s="18"/>
      <c r="S528" s="18"/>
      <c r="T528" s="18"/>
      <c r="U528" s="18"/>
      <c r="V528" s="18"/>
      <c r="W528" s="18"/>
      <c r="X528" s="18"/>
      <c r="Y528" s="18"/>
    </row>
    <row r="529">
      <c r="A529" s="67"/>
      <c r="B529" s="66"/>
      <c r="C529" s="18"/>
      <c r="D529" s="18"/>
      <c r="E529" s="18"/>
      <c r="F529" s="65"/>
      <c r="G529" s="66"/>
      <c r="H529" s="18"/>
      <c r="I529" s="18"/>
      <c r="J529" s="18"/>
      <c r="K529" s="65"/>
      <c r="L529" s="66"/>
      <c r="M529" s="65"/>
      <c r="N529" s="66"/>
      <c r="O529" s="65"/>
      <c r="P529" s="18"/>
      <c r="Q529" s="18"/>
      <c r="R529" s="18"/>
      <c r="S529" s="18"/>
      <c r="T529" s="18"/>
      <c r="U529" s="18"/>
      <c r="V529" s="18"/>
      <c r="W529" s="18"/>
      <c r="X529" s="18"/>
      <c r="Y529" s="18"/>
    </row>
    <row r="530">
      <c r="A530" s="67"/>
      <c r="B530" s="66"/>
      <c r="C530" s="18"/>
      <c r="D530" s="18"/>
      <c r="E530" s="18"/>
      <c r="F530" s="65"/>
      <c r="G530" s="66"/>
      <c r="H530" s="18"/>
      <c r="I530" s="18"/>
      <c r="J530" s="18"/>
      <c r="K530" s="65"/>
      <c r="L530" s="66"/>
      <c r="M530" s="65"/>
      <c r="N530" s="66"/>
      <c r="O530" s="65"/>
      <c r="P530" s="18"/>
      <c r="Q530" s="18"/>
      <c r="R530" s="18"/>
      <c r="S530" s="18"/>
      <c r="T530" s="18"/>
      <c r="U530" s="18"/>
      <c r="V530" s="18"/>
      <c r="W530" s="18"/>
      <c r="X530" s="18"/>
      <c r="Y530" s="18"/>
    </row>
    <row r="531">
      <c r="A531" s="67"/>
      <c r="B531" s="66"/>
      <c r="C531" s="18"/>
      <c r="D531" s="18"/>
      <c r="E531" s="18"/>
      <c r="F531" s="65"/>
      <c r="G531" s="66"/>
      <c r="H531" s="18"/>
      <c r="I531" s="18"/>
      <c r="J531" s="18"/>
      <c r="K531" s="65"/>
      <c r="L531" s="66"/>
      <c r="M531" s="65"/>
      <c r="N531" s="66"/>
      <c r="O531" s="65"/>
      <c r="P531" s="18"/>
      <c r="Q531" s="18"/>
      <c r="R531" s="18"/>
      <c r="S531" s="18"/>
      <c r="T531" s="18"/>
      <c r="U531" s="18"/>
      <c r="V531" s="18"/>
      <c r="W531" s="18"/>
      <c r="X531" s="18"/>
      <c r="Y531" s="18"/>
    </row>
    <row r="532">
      <c r="A532" s="67"/>
      <c r="B532" s="66"/>
      <c r="C532" s="18"/>
      <c r="D532" s="18"/>
      <c r="E532" s="18"/>
      <c r="F532" s="65"/>
      <c r="G532" s="66"/>
      <c r="H532" s="18"/>
      <c r="I532" s="18"/>
      <c r="J532" s="18"/>
      <c r="K532" s="65"/>
      <c r="L532" s="66"/>
      <c r="M532" s="65"/>
      <c r="N532" s="66"/>
      <c r="O532" s="65"/>
      <c r="P532" s="18"/>
      <c r="Q532" s="18"/>
      <c r="R532" s="18"/>
      <c r="S532" s="18"/>
      <c r="T532" s="18"/>
      <c r="U532" s="18"/>
      <c r="V532" s="18"/>
      <c r="W532" s="18"/>
      <c r="X532" s="18"/>
      <c r="Y532" s="18"/>
    </row>
    <row r="533">
      <c r="A533" s="67"/>
      <c r="B533" s="66"/>
      <c r="C533" s="18"/>
      <c r="D533" s="18"/>
      <c r="E533" s="18"/>
      <c r="F533" s="65"/>
      <c r="G533" s="66"/>
      <c r="H533" s="18"/>
      <c r="I533" s="18"/>
      <c r="J533" s="18"/>
      <c r="K533" s="65"/>
      <c r="L533" s="66"/>
      <c r="M533" s="65"/>
      <c r="N533" s="66"/>
      <c r="O533" s="65"/>
      <c r="P533" s="18"/>
      <c r="Q533" s="18"/>
      <c r="R533" s="18"/>
      <c r="S533" s="18"/>
      <c r="T533" s="18"/>
      <c r="U533" s="18"/>
      <c r="V533" s="18"/>
      <c r="W533" s="18"/>
      <c r="X533" s="18"/>
      <c r="Y533" s="18"/>
    </row>
    <row r="534">
      <c r="A534" s="67"/>
      <c r="B534" s="66"/>
      <c r="C534" s="18"/>
      <c r="D534" s="18"/>
      <c r="E534" s="18"/>
      <c r="F534" s="65"/>
      <c r="G534" s="66"/>
      <c r="H534" s="18"/>
      <c r="I534" s="18"/>
      <c r="J534" s="18"/>
      <c r="K534" s="65"/>
      <c r="L534" s="66"/>
      <c r="M534" s="65"/>
      <c r="N534" s="66"/>
      <c r="O534" s="65"/>
      <c r="P534" s="18"/>
      <c r="Q534" s="18"/>
      <c r="R534" s="18"/>
      <c r="S534" s="18"/>
      <c r="T534" s="18"/>
      <c r="U534" s="18"/>
      <c r="V534" s="18"/>
      <c r="W534" s="18"/>
      <c r="X534" s="18"/>
      <c r="Y534" s="18"/>
    </row>
    <row r="535">
      <c r="A535" s="67"/>
      <c r="B535" s="66"/>
      <c r="C535" s="18"/>
      <c r="D535" s="18"/>
      <c r="E535" s="18"/>
      <c r="F535" s="65"/>
      <c r="G535" s="66"/>
      <c r="H535" s="18"/>
      <c r="I535" s="18"/>
      <c r="J535" s="18"/>
      <c r="K535" s="65"/>
      <c r="L535" s="66"/>
      <c r="M535" s="65"/>
      <c r="N535" s="66"/>
      <c r="O535" s="65"/>
      <c r="P535" s="18"/>
      <c r="Q535" s="18"/>
      <c r="R535" s="18"/>
      <c r="S535" s="18"/>
      <c r="T535" s="18"/>
      <c r="U535" s="18"/>
      <c r="V535" s="18"/>
      <c r="W535" s="18"/>
      <c r="X535" s="18"/>
      <c r="Y535" s="18"/>
    </row>
    <row r="536">
      <c r="A536" s="67"/>
      <c r="B536" s="66"/>
      <c r="C536" s="18"/>
      <c r="D536" s="18"/>
      <c r="E536" s="18"/>
      <c r="F536" s="65"/>
      <c r="G536" s="66"/>
      <c r="H536" s="18"/>
      <c r="I536" s="18"/>
      <c r="J536" s="18"/>
      <c r="K536" s="65"/>
      <c r="L536" s="66"/>
      <c r="M536" s="65"/>
      <c r="N536" s="66"/>
      <c r="O536" s="65"/>
      <c r="P536" s="18"/>
      <c r="Q536" s="18"/>
      <c r="R536" s="18"/>
      <c r="S536" s="18"/>
      <c r="T536" s="18"/>
      <c r="U536" s="18"/>
      <c r="V536" s="18"/>
      <c r="W536" s="18"/>
      <c r="X536" s="18"/>
      <c r="Y536" s="18"/>
    </row>
    <row r="537">
      <c r="A537" s="67"/>
      <c r="B537" s="66"/>
      <c r="C537" s="18"/>
      <c r="D537" s="18"/>
      <c r="E537" s="18"/>
      <c r="F537" s="65"/>
      <c r="G537" s="66"/>
      <c r="H537" s="18"/>
      <c r="I537" s="18"/>
      <c r="J537" s="18"/>
      <c r="K537" s="65"/>
      <c r="L537" s="66"/>
      <c r="M537" s="65"/>
      <c r="N537" s="66"/>
      <c r="O537" s="65"/>
      <c r="P537" s="18"/>
      <c r="Q537" s="18"/>
      <c r="R537" s="18"/>
      <c r="S537" s="18"/>
      <c r="T537" s="18"/>
      <c r="U537" s="18"/>
      <c r="V537" s="18"/>
      <c r="W537" s="18"/>
      <c r="X537" s="18"/>
      <c r="Y537" s="18"/>
    </row>
    <row r="538">
      <c r="A538" s="67"/>
      <c r="B538" s="66"/>
      <c r="C538" s="18"/>
      <c r="D538" s="18"/>
      <c r="E538" s="18"/>
      <c r="F538" s="65"/>
      <c r="G538" s="66"/>
      <c r="H538" s="18"/>
      <c r="I538" s="18"/>
      <c r="J538" s="18"/>
      <c r="K538" s="65"/>
      <c r="L538" s="66"/>
      <c r="M538" s="65"/>
      <c r="N538" s="66"/>
      <c r="O538" s="65"/>
      <c r="P538" s="18"/>
      <c r="Q538" s="18"/>
      <c r="R538" s="18"/>
      <c r="S538" s="18"/>
      <c r="T538" s="18"/>
      <c r="U538" s="18"/>
      <c r="V538" s="18"/>
      <c r="W538" s="18"/>
      <c r="X538" s="18"/>
      <c r="Y538" s="18"/>
    </row>
    <row r="539">
      <c r="A539" s="67"/>
      <c r="B539" s="66"/>
      <c r="C539" s="18"/>
      <c r="D539" s="18"/>
      <c r="E539" s="18"/>
      <c r="F539" s="65"/>
      <c r="G539" s="66"/>
      <c r="H539" s="18"/>
      <c r="I539" s="18"/>
      <c r="J539" s="18"/>
      <c r="K539" s="65"/>
      <c r="L539" s="66"/>
      <c r="M539" s="65"/>
      <c r="N539" s="66"/>
      <c r="O539" s="65"/>
      <c r="P539" s="18"/>
      <c r="Q539" s="18"/>
      <c r="R539" s="18"/>
      <c r="S539" s="18"/>
      <c r="T539" s="18"/>
      <c r="U539" s="18"/>
      <c r="V539" s="18"/>
      <c r="W539" s="18"/>
      <c r="X539" s="18"/>
      <c r="Y539" s="18"/>
    </row>
    <row r="540">
      <c r="A540" s="67"/>
      <c r="B540" s="66"/>
      <c r="C540" s="18"/>
      <c r="D540" s="18"/>
      <c r="E540" s="18"/>
      <c r="F540" s="65"/>
      <c r="G540" s="66"/>
      <c r="H540" s="18"/>
      <c r="I540" s="18"/>
      <c r="J540" s="18"/>
      <c r="K540" s="65"/>
      <c r="L540" s="66"/>
      <c r="M540" s="65"/>
      <c r="N540" s="66"/>
      <c r="O540" s="65"/>
      <c r="P540" s="18"/>
      <c r="Q540" s="18"/>
      <c r="R540" s="18"/>
      <c r="S540" s="18"/>
      <c r="T540" s="18"/>
      <c r="U540" s="18"/>
      <c r="V540" s="18"/>
      <c r="W540" s="18"/>
      <c r="X540" s="18"/>
      <c r="Y540" s="18"/>
    </row>
    <row r="541">
      <c r="A541" s="67"/>
      <c r="B541" s="66"/>
      <c r="C541" s="18"/>
      <c r="D541" s="18"/>
      <c r="E541" s="18"/>
      <c r="F541" s="65"/>
      <c r="G541" s="66"/>
      <c r="H541" s="18"/>
      <c r="I541" s="18"/>
      <c r="J541" s="18"/>
      <c r="K541" s="65"/>
      <c r="L541" s="66"/>
      <c r="M541" s="65"/>
      <c r="N541" s="66"/>
      <c r="O541" s="65"/>
      <c r="P541" s="18"/>
      <c r="Q541" s="18"/>
      <c r="R541" s="18"/>
      <c r="S541" s="18"/>
      <c r="T541" s="18"/>
      <c r="U541" s="18"/>
      <c r="V541" s="18"/>
      <c r="W541" s="18"/>
      <c r="X541" s="18"/>
      <c r="Y541" s="18"/>
    </row>
    <row r="542">
      <c r="A542" s="67"/>
      <c r="B542" s="66"/>
      <c r="C542" s="18"/>
      <c r="D542" s="18"/>
      <c r="E542" s="18"/>
      <c r="F542" s="65"/>
      <c r="G542" s="66"/>
      <c r="H542" s="18"/>
      <c r="I542" s="18"/>
      <c r="J542" s="18"/>
      <c r="K542" s="65"/>
      <c r="L542" s="66"/>
      <c r="M542" s="65"/>
      <c r="N542" s="66"/>
      <c r="O542" s="65"/>
      <c r="P542" s="18"/>
      <c r="Q542" s="18"/>
      <c r="R542" s="18"/>
      <c r="S542" s="18"/>
      <c r="T542" s="18"/>
      <c r="U542" s="18"/>
      <c r="V542" s="18"/>
      <c r="W542" s="18"/>
      <c r="X542" s="18"/>
      <c r="Y542" s="18"/>
    </row>
    <row r="543">
      <c r="A543" s="67"/>
      <c r="B543" s="66"/>
      <c r="C543" s="18"/>
      <c r="D543" s="18"/>
      <c r="E543" s="18"/>
      <c r="F543" s="65"/>
      <c r="G543" s="66"/>
      <c r="H543" s="18"/>
      <c r="I543" s="18"/>
      <c r="J543" s="18"/>
      <c r="K543" s="65"/>
      <c r="L543" s="66"/>
      <c r="M543" s="65"/>
      <c r="N543" s="66"/>
      <c r="O543" s="65"/>
      <c r="P543" s="18"/>
      <c r="Q543" s="18"/>
      <c r="R543" s="18"/>
      <c r="S543" s="18"/>
      <c r="T543" s="18"/>
      <c r="U543" s="18"/>
      <c r="V543" s="18"/>
      <c r="W543" s="18"/>
      <c r="X543" s="18"/>
      <c r="Y543" s="18"/>
    </row>
    <row r="544">
      <c r="A544" s="67"/>
      <c r="B544" s="66"/>
      <c r="C544" s="18"/>
      <c r="D544" s="18"/>
      <c r="E544" s="18"/>
      <c r="F544" s="65"/>
      <c r="G544" s="66"/>
      <c r="H544" s="18"/>
      <c r="I544" s="18"/>
      <c r="J544" s="18"/>
      <c r="K544" s="65"/>
      <c r="L544" s="66"/>
      <c r="M544" s="65"/>
      <c r="N544" s="66"/>
      <c r="O544" s="65"/>
      <c r="P544" s="18"/>
      <c r="Q544" s="18"/>
      <c r="R544" s="18"/>
      <c r="S544" s="18"/>
      <c r="T544" s="18"/>
      <c r="U544" s="18"/>
      <c r="V544" s="18"/>
      <c r="W544" s="18"/>
      <c r="X544" s="18"/>
      <c r="Y544" s="18"/>
    </row>
    <row r="545">
      <c r="A545" s="67"/>
      <c r="B545" s="66"/>
      <c r="C545" s="18"/>
      <c r="D545" s="18"/>
      <c r="E545" s="18"/>
      <c r="F545" s="65"/>
      <c r="G545" s="66"/>
      <c r="H545" s="18"/>
      <c r="I545" s="18"/>
      <c r="J545" s="18"/>
      <c r="K545" s="65"/>
      <c r="L545" s="66"/>
      <c r="M545" s="65"/>
      <c r="N545" s="66"/>
      <c r="O545" s="65"/>
      <c r="P545" s="18"/>
      <c r="Q545" s="18"/>
      <c r="R545" s="18"/>
      <c r="S545" s="18"/>
      <c r="T545" s="18"/>
      <c r="U545" s="18"/>
      <c r="V545" s="18"/>
      <c r="W545" s="18"/>
      <c r="X545" s="18"/>
      <c r="Y545" s="18"/>
    </row>
    <row r="546">
      <c r="A546" s="67"/>
      <c r="B546" s="66"/>
      <c r="C546" s="18"/>
      <c r="D546" s="18"/>
      <c r="E546" s="18"/>
      <c r="F546" s="65"/>
      <c r="G546" s="66"/>
      <c r="H546" s="18"/>
      <c r="I546" s="18"/>
      <c r="J546" s="18"/>
      <c r="K546" s="65"/>
      <c r="L546" s="66"/>
      <c r="M546" s="65"/>
      <c r="N546" s="66"/>
      <c r="O546" s="65"/>
      <c r="P546" s="18"/>
      <c r="Q546" s="18"/>
      <c r="R546" s="18"/>
      <c r="S546" s="18"/>
      <c r="T546" s="18"/>
      <c r="U546" s="18"/>
      <c r="V546" s="18"/>
      <c r="W546" s="18"/>
      <c r="X546" s="18"/>
      <c r="Y546" s="18"/>
    </row>
    <row r="547">
      <c r="A547" s="67"/>
      <c r="B547" s="66"/>
      <c r="C547" s="18"/>
      <c r="D547" s="18"/>
      <c r="E547" s="18"/>
      <c r="F547" s="65"/>
      <c r="G547" s="66"/>
      <c r="H547" s="18"/>
      <c r="I547" s="18"/>
      <c r="J547" s="18"/>
      <c r="K547" s="65"/>
      <c r="L547" s="66"/>
      <c r="M547" s="65"/>
      <c r="N547" s="66"/>
      <c r="O547" s="65"/>
      <c r="P547" s="18"/>
      <c r="Q547" s="18"/>
      <c r="R547" s="18"/>
      <c r="S547" s="18"/>
      <c r="T547" s="18"/>
      <c r="U547" s="18"/>
      <c r="V547" s="18"/>
      <c r="W547" s="18"/>
      <c r="X547" s="18"/>
      <c r="Y547" s="18"/>
    </row>
    <row r="548">
      <c r="A548" s="67"/>
      <c r="B548" s="66"/>
      <c r="C548" s="18"/>
      <c r="D548" s="18"/>
      <c r="E548" s="18"/>
      <c r="F548" s="65"/>
      <c r="G548" s="66"/>
      <c r="H548" s="18"/>
      <c r="I548" s="18"/>
      <c r="J548" s="18"/>
      <c r="K548" s="65"/>
      <c r="L548" s="66"/>
      <c r="M548" s="65"/>
      <c r="N548" s="66"/>
      <c r="O548" s="65"/>
      <c r="P548" s="18"/>
      <c r="Q548" s="18"/>
      <c r="R548" s="18"/>
      <c r="S548" s="18"/>
      <c r="T548" s="18"/>
      <c r="U548" s="18"/>
      <c r="V548" s="18"/>
      <c r="W548" s="18"/>
      <c r="X548" s="18"/>
      <c r="Y548" s="18"/>
    </row>
    <row r="549">
      <c r="A549" s="67"/>
      <c r="B549" s="66"/>
      <c r="C549" s="18"/>
      <c r="D549" s="18"/>
      <c r="E549" s="18"/>
      <c r="F549" s="65"/>
      <c r="G549" s="66"/>
      <c r="H549" s="18"/>
      <c r="I549" s="18"/>
      <c r="J549" s="18"/>
      <c r="K549" s="65"/>
      <c r="L549" s="66"/>
      <c r="M549" s="65"/>
      <c r="N549" s="66"/>
      <c r="O549" s="65"/>
      <c r="P549" s="18"/>
      <c r="Q549" s="18"/>
      <c r="R549" s="18"/>
      <c r="S549" s="18"/>
      <c r="T549" s="18"/>
      <c r="U549" s="18"/>
      <c r="V549" s="18"/>
      <c r="W549" s="18"/>
      <c r="X549" s="18"/>
      <c r="Y549" s="18"/>
    </row>
    <row r="550">
      <c r="A550" s="67"/>
      <c r="B550" s="66"/>
      <c r="C550" s="18"/>
      <c r="D550" s="18"/>
      <c r="E550" s="18"/>
      <c r="F550" s="65"/>
      <c r="G550" s="66"/>
      <c r="H550" s="18"/>
      <c r="I550" s="18"/>
      <c r="J550" s="18"/>
      <c r="K550" s="65"/>
      <c r="L550" s="66"/>
      <c r="M550" s="65"/>
      <c r="N550" s="66"/>
      <c r="O550" s="65"/>
      <c r="P550" s="18"/>
      <c r="Q550" s="18"/>
      <c r="R550" s="18"/>
      <c r="S550" s="18"/>
      <c r="T550" s="18"/>
      <c r="U550" s="18"/>
      <c r="V550" s="18"/>
      <c r="W550" s="18"/>
      <c r="X550" s="18"/>
      <c r="Y550" s="18"/>
    </row>
    <row r="551">
      <c r="A551" s="67"/>
      <c r="B551" s="66"/>
      <c r="C551" s="18"/>
      <c r="D551" s="18"/>
      <c r="E551" s="18"/>
      <c r="F551" s="65"/>
      <c r="G551" s="66"/>
      <c r="H551" s="18"/>
      <c r="I551" s="18"/>
      <c r="J551" s="18"/>
      <c r="K551" s="65"/>
      <c r="L551" s="66"/>
      <c r="M551" s="65"/>
      <c r="N551" s="66"/>
      <c r="O551" s="65"/>
      <c r="P551" s="18"/>
      <c r="Q551" s="18"/>
      <c r="R551" s="18"/>
      <c r="S551" s="18"/>
      <c r="T551" s="18"/>
      <c r="U551" s="18"/>
      <c r="V551" s="18"/>
      <c r="W551" s="18"/>
      <c r="X551" s="18"/>
      <c r="Y551" s="18"/>
    </row>
    <row r="552">
      <c r="A552" s="67"/>
      <c r="B552" s="66"/>
      <c r="C552" s="18"/>
      <c r="D552" s="18"/>
      <c r="E552" s="18"/>
      <c r="F552" s="65"/>
      <c r="G552" s="66"/>
      <c r="H552" s="18"/>
      <c r="I552" s="18"/>
      <c r="J552" s="18"/>
      <c r="K552" s="65"/>
      <c r="L552" s="66"/>
      <c r="M552" s="65"/>
      <c r="N552" s="66"/>
      <c r="O552" s="65"/>
      <c r="P552" s="18"/>
      <c r="Q552" s="18"/>
      <c r="R552" s="18"/>
      <c r="S552" s="18"/>
      <c r="T552" s="18"/>
      <c r="U552" s="18"/>
      <c r="V552" s="18"/>
      <c r="W552" s="18"/>
      <c r="X552" s="18"/>
      <c r="Y552" s="18"/>
    </row>
    <row r="553">
      <c r="A553" s="67"/>
      <c r="B553" s="66"/>
      <c r="C553" s="18"/>
      <c r="D553" s="18"/>
      <c r="E553" s="18"/>
      <c r="F553" s="65"/>
      <c r="G553" s="66"/>
      <c r="H553" s="18"/>
      <c r="I553" s="18"/>
      <c r="J553" s="18"/>
      <c r="K553" s="65"/>
      <c r="L553" s="66"/>
      <c r="M553" s="65"/>
      <c r="N553" s="66"/>
      <c r="O553" s="65"/>
      <c r="P553" s="18"/>
      <c r="Q553" s="18"/>
      <c r="R553" s="18"/>
      <c r="S553" s="18"/>
      <c r="T553" s="18"/>
      <c r="U553" s="18"/>
      <c r="V553" s="18"/>
      <c r="W553" s="18"/>
      <c r="X553" s="18"/>
      <c r="Y553" s="18"/>
    </row>
    <row r="554">
      <c r="A554" s="67"/>
      <c r="B554" s="66"/>
      <c r="C554" s="18"/>
      <c r="D554" s="18"/>
      <c r="E554" s="18"/>
      <c r="F554" s="65"/>
      <c r="G554" s="66"/>
      <c r="H554" s="18"/>
      <c r="I554" s="18"/>
      <c r="J554" s="18"/>
      <c r="K554" s="65"/>
      <c r="L554" s="66"/>
      <c r="M554" s="65"/>
      <c r="N554" s="66"/>
      <c r="O554" s="65"/>
      <c r="P554" s="18"/>
      <c r="Q554" s="18"/>
      <c r="R554" s="18"/>
      <c r="S554" s="18"/>
      <c r="T554" s="18"/>
      <c r="U554" s="18"/>
      <c r="V554" s="18"/>
      <c r="W554" s="18"/>
      <c r="X554" s="18"/>
      <c r="Y554" s="18"/>
    </row>
    <row r="555">
      <c r="A555" s="67"/>
      <c r="B555" s="66"/>
      <c r="C555" s="18"/>
      <c r="D555" s="18"/>
      <c r="E555" s="18"/>
      <c r="F555" s="65"/>
      <c r="G555" s="66"/>
      <c r="H555" s="18"/>
      <c r="I555" s="18"/>
      <c r="J555" s="18"/>
      <c r="K555" s="65"/>
      <c r="L555" s="66"/>
      <c r="M555" s="65"/>
      <c r="N555" s="66"/>
      <c r="O555" s="65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>
      <c r="A556" s="67"/>
      <c r="B556" s="66"/>
      <c r="C556" s="18"/>
      <c r="D556" s="18"/>
      <c r="E556" s="18"/>
      <c r="F556" s="65"/>
      <c r="G556" s="66"/>
      <c r="H556" s="18"/>
      <c r="I556" s="18"/>
      <c r="J556" s="18"/>
      <c r="K556" s="65"/>
      <c r="L556" s="66"/>
      <c r="M556" s="65"/>
      <c r="N556" s="66"/>
      <c r="O556" s="65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>
      <c r="A557" s="67"/>
      <c r="B557" s="66"/>
      <c r="C557" s="18"/>
      <c r="D557" s="18"/>
      <c r="E557" s="18"/>
      <c r="F557" s="65"/>
      <c r="G557" s="66"/>
      <c r="H557" s="18"/>
      <c r="I557" s="18"/>
      <c r="J557" s="18"/>
      <c r="K557" s="65"/>
      <c r="L557" s="66"/>
      <c r="M557" s="65"/>
      <c r="N557" s="66"/>
      <c r="O557" s="65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>
      <c r="A558" s="67"/>
      <c r="B558" s="66"/>
      <c r="C558" s="18"/>
      <c r="D558" s="18"/>
      <c r="E558" s="18"/>
      <c r="F558" s="65"/>
      <c r="G558" s="66"/>
      <c r="H558" s="18"/>
      <c r="I558" s="18"/>
      <c r="J558" s="18"/>
      <c r="K558" s="65"/>
      <c r="L558" s="66"/>
      <c r="M558" s="65"/>
      <c r="N558" s="66"/>
      <c r="O558" s="65"/>
      <c r="P558" s="18"/>
      <c r="Q558" s="18"/>
      <c r="R558" s="18"/>
      <c r="S558" s="18"/>
      <c r="T558" s="18"/>
      <c r="U558" s="18"/>
      <c r="V558" s="18"/>
      <c r="W558" s="18"/>
      <c r="X558" s="18"/>
      <c r="Y558" s="18"/>
    </row>
    <row r="559">
      <c r="A559" s="67"/>
      <c r="B559" s="66"/>
      <c r="C559" s="18"/>
      <c r="D559" s="18"/>
      <c r="E559" s="18"/>
      <c r="F559" s="65"/>
      <c r="G559" s="66"/>
      <c r="H559" s="18"/>
      <c r="I559" s="18"/>
      <c r="J559" s="18"/>
      <c r="K559" s="65"/>
      <c r="L559" s="66"/>
      <c r="M559" s="65"/>
      <c r="N559" s="66"/>
      <c r="O559" s="65"/>
      <c r="P559" s="18"/>
      <c r="Q559" s="18"/>
      <c r="R559" s="18"/>
      <c r="S559" s="18"/>
      <c r="T559" s="18"/>
      <c r="U559" s="18"/>
      <c r="V559" s="18"/>
      <c r="W559" s="18"/>
      <c r="X559" s="18"/>
      <c r="Y559" s="18"/>
    </row>
    <row r="560">
      <c r="A560" s="67"/>
      <c r="B560" s="66"/>
      <c r="C560" s="18"/>
      <c r="D560" s="18"/>
      <c r="E560" s="18"/>
      <c r="F560" s="65"/>
      <c r="G560" s="66"/>
      <c r="H560" s="18"/>
      <c r="I560" s="18"/>
      <c r="J560" s="18"/>
      <c r="K560" s="65"/>
      <c r="L560" s="66"/>
      <c r="M560" s="65"/>
      <c r="N560" s="66"/>
      <c r="O560" s="65"/>
      <c r="P560" s="18"/>
      <c r="Q560" s="18"/>
      <c r="R560" s="18"/>
      <c r="S560" s="18"/>
      <c r="T560" s="18"/>
      <c r="U560" s="18"/>
      <c r="V560" s="18"/>
      <c r="W560" s="18"/>
      <c r="X560" s="18"/>
      <c r="Y560" s="18"/>
    </row>
    <row r="561">
      <c r="A561" s="67"/>
      <c r="B561" s="66"/>
      <c r="C561" s="18"/>
      <c r="D561" s="18"/>
      <c r="E561" s="18"/>
      <c r="F561" s="65"/>
      <c r="G561" s="66"/>
      <c r="H561" s="18"/>
      <c r="I561" s="18"/>
      <c r="J561" s="18"/>
      <c r="K561" s="65"/>
      <c r="L561" s="66"/>
      <c r="M561" s="65"/>
      <c r="N561" s="66"/>
      <c r="O561" s="65"/>
      <c r="P561" s="18"/>
      <c r="Q561" s="18"/>
      <c r="R561" s="18"/>
      <c r="S561" s="18"/>
      <c r="T561" s="18"/>
      <c r="U561" s="18"/>
      <c r="V561" s="18"/>
      <c r="W561" s="18"/>
      <c r="X561" s="18"/>
      <c r="Y561" s="18"/>
    </row>
    <row r="562">
      <c r="A562" s="67"/>
      <c r="B562" s="66"/>
      <c r="C562" s="18"/>
      <c r="D562" s="18"/>
      <c r="E562" s="18"/>
      <c r="F562" s="65"/>
      <c r="G562" s="66"/>
      <c r="H562" s="18"/>
      <c r="I562" s="18"/>
      <c r="J562" s="18"/>
      <c r="K562" s="65"/>
      <c r="L562" s="66"/>
      <c r="M562" s="65"/>
      <c r="N562" s="66"/>
      <c r="O562" s="65"/>
      <c r="P562" s="18"/>
      <c r="Q562" s="18"/>
      <c r="R562" s="18"/>
      <c r="S562" s="18"/>
      <c r="T562" s="18"/>
      <c r="U562" s="18"/>
      <c r="V562" s="18"/>
      <c r="W562" s="18"/>
      <c r="X562" s="18"/>
      <c r="Y562" s="18"/>
    </row>
    <row r="563">
      <c r="A563" s="67"/>
      <c r="B563" s="66"/>
      <c r="C563" s="18"/>
      <c r="D563" s="18"/>
      <c r="E563" s="18"/>
      <c r="F563" s="65"/>
      <c r="G563" s="66"/>
      <c r="H563" s="18"/>
      <c r="I563" s="18"/>
      <c r="J563" s="18"/>
      <c r="K563" s="65"/>
      <c r="L563" s="66"/>
      <c r="M563" s="65"/>
      <c r="N563" s="66"/>
      <c r="O563" s="65"/>
      <c r="P563" s="18"/>
      <c r="Q563" s="18"/>
      <c r="R563" s="18"/>
      <c r="S563" s="18"/>
      <c r="T563" s="18"/>
      <c r="U563" s="18"/>
      <c r="V563" s="18"/>
      <c r="W563" s="18"/>
      <c r="X563" s="18"/>
      <c r="Y563" s="18"/>
    </row>
    <row r="564">
      <c r="A564" s="67"/>
      <c r="B564" s="66"/>
      <c r="C564" s="18"/>
      <c r="D564" s="18"/>
      <c r="E564" s="18"/>
      <c r="F564" s="65"/>
      <c r="G564" s="66"/>
      <c r="H564" s="18"/>
      <c r="I564" s="18"/>
      <c r="J564" s="18"/>
      <c r="K564" s="65"/>
      <c r="L564" s="66"/>
      <c r="M564" s="65"/>
      <c r="N564" s="66"/>
      <c r="O564" s="65"/>
      <c r="P564" s="18"/>
      <c r="Q564" s="18"/>
      <c r="R564" s="18"/>
      <c r="S564" s="18"/>
      <c r="T564" s="18"/>
      <c r="U564" s="18"/>
      <c r="V564" s="18"/>
      <c r="W564" s="18"/>
      <c r="X564" s="18"/>
      <c r="Y564" s="18"/>
    </row>
    <row r="565">
      <c r="A565" s="67"/>
      <c r="B565" s="66"/>
      <c r="C565" s="18"/>
      <c r="D565" s="18"/>
      <c r="E565" s="18"/>
      <c r="F565" s="65"/>
      <c r="G565" s="66"/>
      <c r="H565" s="18"/>
      <c r="I565" s="18"/>
      <c r="J565" s="18"/>
      <c r="K565" s="65"/>
      <c r="L565" s="66"/>
      <c r="M565" s="65"/>
      <c r="N565" s="66"/>
      <c r="O565" s="65"/>
      <c r="P565" s="18"/>
      <c r="Q565" s="18"/>
      <c r="R565" s="18"/>
      <c r="S565" s="18"/>
      <c r="T565" s="18"/>
      <c r="U565" s="18"/>
      <c r="V565" s="18"/>
      <c r="W565" s="18"/>
      <c r="X565" s="18"/>
      <c r="Y565" s="18"/>
    </row>
    <row r="566">
      <c r="A566" s="67"/>
      <c r="B566" s="66"/>
      <c r="C566" s="18"/>
      <c r="D566" s="18"/>
      <c r="E566" s="18"/>
      <c r="F566" s="65"/>
      <c r="G566" s="66"/>
      <c r="H566" s="18"/>
      <c r="I566" s="18"/>
      <c r="J566" s="18"/>
      <c r="K566" s="65"/>
      <c r="L566" s="66"/>
      <c r="M566" s="65"/>
      <c r="N566" s="66"/>
      <c r="O566" s="65"/>
      <c r="P566" s="18"/>
      <c r="Q566" s="18"/>
      <c r="R566" s="18"/>
      <c r="S566" s="18"/>
      <c r="T566" s="18"/>
      <c r="U566" s="18"/>
      <c r="V566" s="18"/>
      <c r="W566" s="18"/>
      <c r="X566" s="18"/>
      <c r="Y566" s="18"/>
    </row>
    <row r="567">
      <c r="A567" s="67"/>
      <c r="B567" s="66"/>
      <c r="C567" s="18"/>
      <c r="D567" s="18"/>
      <c r="E567" s="18"/>
      <c r="F567" s="65"/>
      <c r="G567" s="66"/>
      <c r="H567" s="18"/>
      <c r="I567" s="18"/>
      <c r="J567" s="18"/>
      <c r="K567" s="65"/>
      <c r="L567" s="66"/>
      <c r="M567" s="65"/>
      <c r="N567" s="66"/>
      <c r="O567" s="65"/>
      <c r="P567" s="18"/>
      <c r="Q567" s="18"/>
      <c r="R567" s="18"/>
      <c r="S567" s="18"/>
      <c r="T567" s="18"/>
      <c r="U567" s="18"/>
      <c r="V567" s="18"/>
      <c r="W567" s="18"/>
      <c r="X567" s="18"/>
      <c r="Y567" s="18"/>
    </row>
    <row r="568">
      <c r="A568" s="67"/>
      <c r="B568" s="66"/>
      <c r="C568" s="18"/>
      <c r="D568" s="18"/>
      <c r="E568" s="18"/>
      <c r="F568" s="65"/>
      <c r="G568" s="66"/>
      <c r="H568" s="18"/>
      <c r="I568" s="18"/>
      <c r="J568" s="18"/>
      <c r="K568" s="65"/>
      <c r="L568" s="66"/>
      <c r="M568" s="65"/>
      <c r="N568" s="66"/>
      <c r="O568" s="65"/>
      <c r="P568" s="18"/>
      <c r="Q568" s="18"/>
      <c r="R568" s="18"/>
      <c r="S568" s="18"/>
      <c r="T568" s="18"/>
      <c r="U568" s="18"/>
      <c r="V568" s="18"/>
      <c r="W568" s="18"/>
      <c r="X568" s="18"/>
      <c r="Y568" s="18"/>
    </row>
    <row r="569">
      <c r="A569" s="67"/>
      <c r="B569" s="66"/>
      <c r="C569" s="18"/>
      <c r="D569" s="18"/>
      <c r="E569" s="18"/>
      <c r="F569" s="65"/>
      <c r="G569" s="66"/>
      <c r="H569" s="18"/>
      <c r="I569" s="18"/>
      <c r="J569" s="18"/>
      <c r="K569" s="65"/>
      <c r="L569" s="66"/>
      <c r="M569" s="65"/>
      <c r="N569" s="66"/>
      <c r="O569" s="65"/>
      <c r="P569" s="18"/>
      <c r="Q569" s="18"/>
      <c r="R569" s="18"/>
      <c r="S569" s="18"/>
      <c r="T569" s="18"/>
      <c r="U569" s="18"/>
      <c r="V569" s="18"/>
      <c r="W569" s="18"/>
      <c r="X569" s="18"/>
      <c r="Y569" s="18"/>
    </row>
    <row r="570">
      <c r="A570" s="67"/>
      <c r="B570" s="66"/>
      <c r="C570" s="18"/>
      <c r="D570" s="18"/>
      <c r="E570" s="18"/>
      <c r="F570" s="65"/>
      <c r="G570" s="66"/>
      <c r="H570" s="18"/>
      <c r="I570" s="18"/>
      <c r="J570" s="18"/>
      <c r="K570" s="65"/>
      <c r="L570" s="66"/>
      <c r="M570" s="65"/>
      <c r="N570" s="66"/>
      <c r="O570" s="65"/>
      <c r="P570" s="18"/>
      <c r="Q570" s="18"/>
      <c r="R570" s="18"/>
      <c r="S570" s="18"/>
      <c r="T570" s="18"/>
      <c r="U570" s="18"/>
      <c r="V570" s="18"/>
      <c r="W570" s="18"/>
      <c r="X570" s="18"/>
      <c r="Y570" s="18"/>
    </row>
    <row r="571">
      <c r="A571" s="67"/>
      <c r="B571" s="66"/>
      <c r="C571" s="18"/>
      <c r="D571" s="18"/>
      <c r="E571" s="18"/>
      <c r="F571" s="65"/>
      <c r="G571" s="66"/>
      <c r="H571" s="18"/>
      <c r="I571" s="18"/>
      <c r="J571" s="18"/>
      <c r="K571" s="65"/>
      <c r="L571" s="66"/>
      <c r="M571" s="65"/>
      <c r="N571" s="66"/>
      <c r="O571" s="65"/>
      <c r="P571" s="18"/>
      <c r="Q571" s="18"/>
      <c r="R571" s="18"/>
      <c r="S571" s="18"/>
      <c r="T571" s="18"/>
      <c r="U571" s="18"/>
      <c r="V571" s="18"/>
      <c r="W571" s="18"/>
      <c r="X571" s="18"/>
      <c r="Y571" s="18"/>
    </row>
    <row r="572">
      <c r="A572" s="67"/>
      <c r="B572" s="66"/>
      <c r="C572" s="18"/>
      <c r="D572" s="18"/>
      <c r="E572" s="18"/>
      <c r="F572" s="65"/>
      <c r="G572" s="66"/>
      <c r="H572" s="18"/>
      <c r="I572" s="18"/>
      <c r="J572" s="18"/>
      <c r="K572" s="65"/>
      <c r="L572" s="66"/>
      <c r="M572" s="65"/>
      <c r="N572" s="66"/>
      <c r="O572" s="65"/>
      <c r="P572" s="18"/>
      <c r="Q572" s="18"/>
      <c r="R572" s="18"/>
      <c r="S572" s="18"/>
      <c r="T572" s="18"/>
      <c r="U572" s="18"/>
      <c r="V572" s="18"/>
      <c r="W572" s="18"/>
      <c r="X572" s="18"/>
      <c r="Y572" s="18"/>
    </row>
    <row r="573">
      <c r="A573" s="67"/>
      <c r="B573" s="66"/>
      <c r="C573" s="18"/>
      <c r="D573" s="18"/>
      <c r="E573" s="18"/>
      <c r="F573" s="65"/>
      <c r="G573" s="66"/>
      <c r="H573" s="18"/>
      <c r="I573" s="18"/>
      <c r="J573" s="18"/>
      <c r="K573" s="65"/>
      <c r="L573" s="66"/>
      <c r="M573" s="65"/>
      <c r="N573" s="66"/>
      <c r="O573" s="65"/>
      <c r="P573" s="18"/>
      <c r="Q573" s="18"/>
      <c r="R573" s="18"/>
      <c r="S573" s="18"/>
      <c r="T573" s="18"/>
      <c r="U573" s="18"/>
      <c r="V573" s="18"/>
      <c r="W573" s="18"/>
      <c r="X573" s="18"/>
      <c r="Y573" s="18"/>
    </row>
    <row r="574">
      <c r="A574" s="67"/>
      <c r="B574" s="66"/>
      <c r="C574" s="18"/>
      <c r="D574" s="18"/>
      <c r="E574" s="18"/>
      <c r="F574" s="65"/>
      <c r="G574" s="66"/>
      <c r="H574" s="18"/>
      <c r="I574" s="18"/>
      <c r="J574" s="18"/>
      <c r="K574" s="65"/>
      <c r="L574" s="66"/>
      <c r="M574" s="65"/>
      <c r="N574" s="66"/>
      <c r="O574" s="65"/>
      <c r="P574" s="18"/>
      <c r="Q574" s="18"/>
      <c r="R574" s="18"/>
      <c r="S574" s="18"/>
      <c r="T574" s="18"/>
      <c r="U574" s="18"/>
      <c r="V574" s="18"/>
      <c r="W574" s="18"/>
      <c r="X574" s="18"/>
      <c r="Y574" s="18"/>
    </row>
    <row r="575">
      <c r="A575" s="67"/>
      <c r="B575" s="66"/>
      <c r="C575" s="18"/>
      <c r="D575" s="18"/>
      <c r="E575" s="18"/>
      <c r="F575" s="65"/>
      <c r="G575" s="66"/>
      <c r="H575" s="18"/>
      <c r="I575" s="18"/>
      <c r="J575" s="18"/>
      <c r="K575" s="65"/>
      <c r="L575" s="66"/>
      <c r="M575" s="65"/>
      <c r="N575" s="66"/>
      <c r="O575" s="65"/>
      <c r="P575" s="18"/>
      <c r="Q575" s="18"/>
      <c r="R575" s="18"/>
      <c r="S575" s="18"/>
      <c r="T575" s="18"/>
      <c r="U575" s="18"/>
      <c r="V575" s="18"/>
      <c r="W575" s="18"/>
      <c r="X575" s="18"/>
      <c r="Y575" s="18"/>
    </row>
    <row r="576">
      <c r="A576" s="67"/>
      <c r="B576" s="66"/>
      <c r="C576" s="18"/>
      <c r="D576" s="18"/>
      <c r="E576" s="18"/>
      <c r="F576" s="65"/>
      <c r="G576" s="66"/>
      <c r="H576" s="18"/>
      <c r="I576" s="18"/>
      <c r="J576" s="18"/>
      <c r="K576" s="65"/>
      <c r="L576" s="66"/>
      <c r="M576" s="65"/>
      <c r="N576" s="66"/>
      <c r="O576" s="65"/>
      <c r="P576" s="18"/>
      <c r="Q576" s="18"/>
      <c r="R576" s="18"/>
      <c r="S576" s="18"/>
      <c r="T576" s="18"/>
      <c r="U576" s="18"/>
      <c r="V576" s="18"/>
      <c r="W576" s="18"/>
      <c r="X576" s="18"/>
      <c r="Y576" s="18"/>
    </row>
    <row r="577">
      <c r="A577" s="67"/>
      <c r="B577" s="66"/>
      <c r="C577" s="18"/>
      <c r="D577" s="18"/>
      <c r="E577" s="18"/>
      <c r="F577" s="65"/>
      <c r="G577" s="66"/>
      <c r="H577" s="18"/>
      <c r="I577" s="18"/>
      <c r="J577" s="18"/>
      <c r="K577" s="65"/>
      <c r="L577" s="66"/>
      <c r="M577" s="65"/>
      <c r="N577" s="66"/>
      <c r="O577" s="65"/>
      <c r="P577" s="18"/>
      <c r="Q577" s="18"/>
      <c r="R577" s="18"/>
      <c r="S577" s="18"/>
      <c r="T577" s="18"/>
      <c r="U577" s="18"/>
      <c r="V577" s="18"/>
      <c r="W577" s="18"/>
      <c r="X577" s="18"/>
      <c r="Y577" s="18"/>
    </row>
    <row r="578">
      <c r="A578" s="67"/>
      <c r="B578" s="66"/>
      <c r="C578" s="18"/>
      <c r="D578" s="18"/>
      <c r="E578" s="18"/>
      <c r="F578" s="65"/>
      <c r="G578" s="66"/>
      <c r="H578" s="18"/>
      <c r="I578" s="18"/>
      <c r="J578" s="18"/>
      <c r="K578" s="65"/>
      <c r="L578" s="66"/>
      <c r="M578" s="65"/>
      <c r="N578" s="66"/>
      <c r="O578" s="65"/>
      <c r="P578" s="18"/>
      <c r="Q578" s="18"/>
      <c r="R578" s="18"/>
      <c r="S578" s="18"/>
      <c r="T578" s="18"/>
      <c r="U578" s="18"/>
      <c r="V578" s="18"/>
      <c r="W578" s="18"/>
      <c r="X578" s="18"/>
      <c r="Y578" s="18"/>
    </row>
    <row r="579">
      <c r="A579" s="67"/>
      <c r="B579" s="66"/>
      <c r="C579" s="18"/>
      <c r="D579" s="18"/>
      <c r="E579" s="18"/>
      <c r="F579" s="65"/>
      <c r="G579" s="66"/>
      <c r="H579" s="18"/>
      <c r="I579" s="18"/>
      <c r="J579" s="18"/>
      <c r="K579" s="65"/>
      <c r="L579" s="66"/>
      <c r="M579" s="65"/>
      <c r="N579" s="66"/>
      <c r="O579" s="65"/>
      <c r="P579" s="18"/>
      <c r="Q579" s="18"/>
      <c r="R579" s="18"/>
      <c r="S579" s="18"/>
      <c r="T579" s="18"/>
      <c r="U579" s="18"/>
      <c r="V579" s="18"/>
      <c r="W579" s="18"/>
      <c r="X579" s="18"/>
      <c r="Y579" s="18"/>
    </row>
    <row r="580">
      <c r="A580" s="67"/>
      <c r="B580" s="66"/>
      <c r="C580" s="18"/>
      <c r="D580" s="18"/>
      <c r="E580" s="18"/>
      <c r="F580" s="65"/>
      <c r="G580" s="66"/>
      <c r="H580" s="18"/>
      <c r="I580" s="18"/>
      <c r="J580" s="18"/>
      <c r="K580" s="65"/>
      <c r="L580" s="66"/>
      <c r="M580" s="65"/>
      <c r="N580" s="66"/>
      <c r="O580" s="65"/>
      <c r="P580" s="18"/>
      <c r="Q580" s="18"/>
      <c r="R580" s="18"/>
      <c r="S580" s="18"/>
      <c r="T580" s="18"/>
      <c r="U580" s="18"/>
      <c r="V580" s="18"/>
      <c r="W580" s="18"/>
      <c r="X580" s="18"/>
      <c r="Y580" s="18"/>
    </row>
    <row r="581">
      <c r="A581" s="67"/>
      <c r="B581" s="66"/>
      <c r="C581" s="18"/>
      <c r="D581" s="18"/>
      <c r="E581" s="18"/>
      <c r="F581" s="65"/>
      <c r="G581" s="66"/>
      <c r="H581" s="18"/>
      <c r="I581" s="18"/>
      <c r="J581" s="18"/>
      <c r="K581" s="65"/>
      <c r="L581" s="66"/>
      <c r="M581" s="65"/>
      <c r="N581" s="66"/>
      <c r="O581" s="65"/>
      <c r="P581" s="18"/>
      <c r="Q581" s="18"/>
      <c r="R581" s="18"/>
      <c r="S581" s="18"/>
      <c r="T581" s="18"/>
      <c r="U581" s="18"/>
      <c r="V581" s="18"/>
      <c r="W581" s="18"/>
      <c r="X581" s="18"/>
      <c r="Y581" s="18"/>
    </row>
    <row r="582">
      <c r="A582" s="67"/>
      <c r="B582" s="66"/>
      <c r="C582" s="18"/>
      <c r="D582" s="18"/>
      <c r="E582" s="18"/>
      <c r="F582" s="65"/>
      <c r="G582" s="66"/>
      <c r="H582" s="18"/>
      <c r="I582" s="18"/>
      <c r="J582" s="18"/>
      <c r="K582" s="65"/>
      <c r="L582" s="66"/>
      <c r="M582" s="65"/>
      <c r="N582" s="66"/>
      <c r="O582" s="65"/>
      <c r="P582" s="18"/>
      <c r="Q582" s="18"/>
      <c r="R582" s="18"/>
      <c r="S582" s="18"/>
      <c r="T582" s="18"/>
      <c r="U582" s="18"/>
      <c r="V582" s="18"/>
      <c r="W582" s="18"/>
      <c r="X582" s="18"/>
      <c r="Y582" s="18"/>
    </row>
    <row r="583">
      <c r="A583" s="67"/>
      <c r="B583" s="66"/>
      <c r="C583" s="18"/>
      <c r="D583" s="18"/>
      <c r="E583" s="18"/>
      <c r="F583" s="65"/>
      <c r="G583" s="66"/>
      <c r="H583" s="18"/>
      <c r="I583" s="18"/>
      <c r="J583" s="18"/>
      <c r="K583" s="65"/>
      <c r="L583" s="66"/>
      <c r="M583" s="65"/>
      <c r="N583" s="66"/>
      <c r="O583" s="65"/>
      <c r="P583" s="18"/>
      <c r="Q583" s="18"/>
      <c r="R583" s="18"/>
      <c r="S583" s="18"/>
      <c r="T583" s="18"/>
      <c r="U583" s="18"/>
      <c r="V583" s="18"/>
      <c r="W583" s="18"/>
      <c r="X583" s="18"/>
      <c r="Y583" s="18"/>
    </row>
    <row r="584">
      <c r="A584" s="67"/>
      <c r="B584" s="66"/>
      <c r="C584" s="18"/>
      <c r="D584" s="18"/>
      <c r="E584" s="18"/>
      <c r="F584" s="65"/>
      <c r="G584" s="66"/>
      <c r="H584" s="18"/>
      <c r="I584" s="18"/>
      <c r="J584" s="18"/>
      <c r="K584" s="65"/>
      <c r="L584" s="66"/>
      <c r="M584" s="65"/>
      <c r="N584" s="66"/>
      <c r="O584" s="65"/>
      <c r="P584" s="18"/>
      <c r="Q584" s="18"/>
      <c r="R584" s="18"/>
      <c r="S584" s="18"/>
      <c r="T584" s="18"/>
      <c r="U584" s="18"/>
      <c r="V584" s="18"/>
      <c r="W584" s="18"/>
      <c r="X584" s="18"/>
      <c r="Y584" s="18"/>
    </row>
    <row r="585">
      <c r="A585" s="67"/>
      <c r="B585" s="66"/>
      <c r="C585" s="18"/>
      <c r="D585" s="18"/>
      <c r="E585" s="18"/>
      <c r="F585" s="65"/>
      <c r="G585" s="66"/>
      <c r="H585" s="18"/>
      <c r="I585" s="18"/>
      <c r="J585" s="18"/>
      <c r="K585" s="65"/>
      <c r="L585" s="66"/>
      <c r="M585" s="65"/>
      <c r="N585" s="66"/>
      <c r="O585" s="65"/>
      <c r="P585" s="18"/>
      <c r="Q585" s="18"/>
      <c r="R585" s="18"/>
      <c r="S585" s="18"/>
      <c r="T585" s="18"/>
      <c r="U585" s="18"/>
      <c r="V585" s="18"/>
      <c r="W585" s="18"/>
      <c r="X585" s="18"/>
      <c r="Y585" s="18"/>
    </row>
    <row r="586">
      <c r="A586" s="67"/>
      <c r="B586" s="66"/>
      <c r="C586" s="18"/>
      <c r="D586" s="18"/>
      <c r="E586" s="18"/>
      <c r="F586" s="65"/>
      <c r="G586" s="66"/>
      <c r="H586" s="18"/>
      <c r="I586" s="18"/>
      <c r="J586" s="18"/>
      <c r="K586" s="65"/>
      <c r="L586" s="66"/>
      <c r="M586" s="65"/>
      <c r="N586" s="66"/>
      <c r="O586" s="65"/>
      <c r="P586" s="18"/>
      <c r="Q586" s="18"/>
      <c r="R586" s="18"/>
      <c r="S586" s="18"/>
      <c r="T586" s="18"/>
      <c r="U586" s="18"/>
      <c r="V586" s="18"/>
      <c r="W586" s="18"/>
      <c r="X586" s="18"/>
      <c r="Y586" s="18"/>
    </row>
    <row r="587">
      <c r="A587" s="67"/>
      <c r="B587" s="66"/>
      <c r="C587" s="18"/>
      <c r="D587" s="18"/>
      <c r="E587" s="18"/>
      <c r="F587" s="65"/>
      <c r="G587" s="66"/>
      <c r="H587" s="18"/>
      <c r="I587" s="18"/>
      <c r="J587" s="18"/>
      <c r="K587" s="65"/>
      <c r="L587" s="66"/>
      <c r="M587" s="65"/>
      <c r="N587" s="66"/>
      <c r="O587" s="65"/>
      <c r="P587" s="18"/>
      <c r="Q587" s="18"/>
      <c r="R587" s="18"/>
      <c r="S587" s="18"/>
      <c r="T587" s="18"/>
      <c r="U587" s="18"/>
      <c r="V587" s="18"/>
      <c r="W587" s="18"/>
      <c r="X587" s="18"/>
      <c r="Y587" s="18"/>
    </row>
    <row r="588">
      <c r="A588" s="67"/>
      <c r="B588" s="66"/>
      <c r="C588" s="18"/>
      <c r="D588" s="18"/>
      <c r="E588" s="18"/>
      <c r="F588" s="65"/>
      <c r="G588" s="66"/>
      <c r="H588" s="18"/>
      <c r="I588" s="18"/>
      <c r="J588" s="18"/>
      <c r="K588" s="65"/>
      <c r="L588" s="66"/>
      <c r="M588" s="65"/>
      <c r="N588" s="66"/>
      <c r="O588" s="65"/>
      <c r="P588" s="18"/>
      <c r="Q588" s="18"/>
      <c r="R588" s="18"/>
      <c r="S588" s="18"/>
      <c r="T588" s="18"/>
      <c r="U588" s="18"/>
      <c r="V588" s="18"/>
      <c r="W588" s="18"/>
      <c r="X588" s="18"/>
      <c r="Y588" s="18"/>
    </row>
    <row r="589">
      <c r="A589" s="67"/>
      <c r="B589" s="66"/>
      <c r="C589" s="18"/>
      <c r="D589" s="18"/>
      <c r="E589" s="18"/>
      <c r="F589" s="65"/>
      <c r="G589" s="66"/>
      <c r="H589" s="18"/>
      <c r="I589" s="18"/>
      <c r="J589" s="18"/>
      <c r="K589" s="65"/>
      <c r="L589" s="66"/>
      <c r="M589" s="65"/>
      <c r="N589" s="66"/>
      <c r="O589" s="65"/>
      <c r="P589" s="18"/>
      <c r="Q589" s="18"/>
      <c r="R589" s="18"/>
      <c r="S589" s="18"/>
      <c r="T589" s="18"/>
      <c r="U589" s="18"/>
      <c r="V589" s="18"/>
      <c r="W589" s="18"/>
      <c r="X589" s="18"/>
      <c r="Y589" s="18"/>
    </row>
    <row r="590">
      <c r="A590" s="67"/>
      <c r="B590" s="66"/>
      <c r="C590" s="18"/>
      <c r="D590" s="18"/>
      <c r="E590" s="18"/>
      <c r="F590" s="65"/>
      <c r="G590" s="66"/>
      <c r="H590" s="18"/>
      <c r="I590" s="18"/>
      <c r="J590" s="18"/>
      <c r="K590" s="65"/>
      <c r="L590" s="66"/>
      <c r="M590" s="65"/>
      <c r="N590" s="66"/>
      <c r="O590" s="65"/>
      <c r="P590" s="18"/>
      <c r="Q590" s="18"/>
      <c r="R590" s="18"/>
      <c r="S590" s="18"/>
      <c r="T590" s="18"/>
      <c r="U590" s="18"/>
      <c r="V590" s="18"/>
      <c r="W590" s="18"/>
      <c r="X590" s="18"/>
      <c r="Y590" s="18"/>
    </row>
    <row r="591">
      <c r="A591" s="67"/>
      <c r="B591" s="66"/>
      <c r="C591" s="18"/>
      <c r="D591" s="18"/>
      <c r="E591" s="18"/>
      <c r="F591" s="65"/>
      <c r="G591" s="66"/>
      <c r="H591" s="18"/>
      <c r="I591" s="18"/>
      <c r="J591" s="18"/>
      <c r="K591" s="65"/>
      <c r="L591" s="66"/>
      <c r="M591" s="65"/>
      <c r="N591" s="66"/>
      <c r="O591" s="65"/>
      <c r="P591" s="18"/>
      <c r="Q591" s="18"/>
      <c r="R591" s="18"/>
      <c r="S591" s="18"/>
      <c r="T591" s="18"/>
      <c r="U591" s="18"/>
      <c r="V591" s="18"/>
      <c r="W591" s="18"/>
      <c r="X591" s="18"/>
      <c r="Y591" s="18"/>
    </row>
    <row r="592">
      <c r="A592" s="67"/>
      <c r="B592" s="66"/>
      <c r="C592" s="18"/>
      <c r="D592" s="18"/>
      <c r="E592" s="18"/>
      <c r="F592" s="65"/>
      <c r="G592" s="66"/>
      <c r="H592" s="18"/>
      <c r="I592" s="18"/>
      <c r="J592" s="18"/>
      <c r="K592" s="65"/>
      <c r="L592" s="66"/>
      <c r="M592" s="65"/>
      <c r="N592" s="66"/>
      <c r="O592" s="65"/>
      <c r="P592" s="18"/>
      <c r="Q592" s="18"/>
      <c r="R592" s="18"/>
      <c r="S592" s="18"/>
      <c r="T592" s="18"/>
      <c r="U592" s="18"/>
      <c r="V592" s="18"/>
      <c r="W592" s="18"/>
      <c r="X592" s="18"/>
      <c r="Y592" s="18"/>
    </row>
    <row r="593">
      <c r="A593" s="67"/>
      <c r="B593" s="66"/>
      <c r="C593" s="18"/>
      <c r="D593" s="18"/>
      <c r="E593" s="18"/>
      <c r="F593" s="65"/>
      <c r="G593" s="66"/>
      <c r="H593" s="18"/>
      <c r="I593" s="18"/>
      <c r="J593" s="18"/>
      <c r="K593" s="65"/>
      <c r="L593" s="66"/>
      <c r="M593" s="65"/>
      <c r="N593" s="66"/>
      <c r="O593" s="65"/>
      <c r="P593" s="18"/>
      <c r="Q593" s="18"/>
      <c r="R593" s="18"/>
      <c r="S593" s="18"/>
      <c r="T593" s="18"/>
      <c r="U593" s="18"/>
      <c r="V593" s="18"/>
      <c r="W593" s="18"/>
      <c r="X593" s="18"/>
      <c r="Y593" s="18"/>
    </row>
    <row r="594">
      <c r="A594" s="67"/>
      <c r="B594" s="66"/>
      <c r="C594" s="18"/>
      <c r="D594" s="18"/>
      <c r="E594" s="18"/>
      <c r="F594" s="65"/>
      <c r="G594" s="66"/>
      <c r="H594" s="18"/>
      <c r="I594" s="18"/>
      <c r="J594" s="18"/>
      <c r="K594" s="65"/>
      <c r="L594" s="66"/>
      <c r="M594" s="65"/>
      <c r="N594" s="66"/>
      <c r="O594" s="65"/>
      <c r="P594" s="18"/>
      <c r="Q594" s="18"/>
      <c r="R594" s="18"/>
      <c r="S594" s="18"/>
      <c r="T594" s="18"/>
      <c r="U594" s="18"/>
      <c r="V594" s="18"/>
      <c r="W594" s="18"/>
      <c r="X594" s="18"/>
      <c r="Y594" s="18"/>
    </row>
    <row r="595">
      <c r="A595" s="67"/>
      <c r="B595" s="66"/>
      <c r="C595" s="18"/>
      <c r="D595" s="18"/>
      <c r="E595" s="18"/>
      <c r="F595" s="65"/>
      <c r="G595" s="66"/>
      <c r="H595" s="18"/>
      <c r="I595" s="18"/>
      <c r="J595" s="18"/>
      <c r="K595" s="65"/>
      <c r="L595" s="66"/>
      <c r="M595" s="65"/>
      <c r="N595" s="66"/>
      <c r="O595" s="65"/>
      <c r="P595" s="18"/>
      <c r="Q595" s="18"/>
      <c r="R595" s="18"/>
      <c r="S595" s="18"/>
      <c r="T595" s="18"/>
      <c r="U595" s="18"/>
      <c r="V595" s="18"/>
      <c r="W595" s="18"/>
      <c r="X595" s="18"/>
      <c r="Y595" s="18"/>
    </row>
    <row r="596">
      <c r="A596" s="67"/>
      <c r="B596" s="66"/>
      <c r="C596" s="18"/>
      <c r="D596" s="18"/>
      <c r="E596" s="18"/>
      <c r="F596" s="65"/>
      <c r="G596" s="66"/>
      <c r="H596" s="18"/>
      <c r="I596" s="18"/>
      <c r="J596" s="18"/>
      <c r="K596" s="65"/>
      <c r="L596" s="66"/>
      <c r="M596" s="65"/>
      <c r="N596" s="66"/>
      <c r="O596" s="65"/>
      <c r="P596" s="18"/>
      <c r="Q596" s="18"/>
      <c r="R596" s="18"/>
      <c r="S596" s="18"/>
      <c r="T596" s="18"/>
      <c r="U596" s="18"/>
      <c r="V596" s="18"/>
      <c r="W596" s="18"/>
      <c r="X596" s="18"/>
      <c r="Y596" s="18"/>
    </row>
    <row r="597">
      <c r="A597" s="67"/>
      <c r="B597" s="66"/>
      <c r="C597" s="18"/>
      <c r="D597" s="18"/>
      <c r="E597" s="18"/>
      <c r="F597" s="65"/>
      <c r="G597" s="66"/>
      <c r="H597" s="18"/>
      <c r="I597" s="18"/>
      <c r="J597" s="18"/>
      <c r="K597" s="65"/>
      <c r="L597" s="66"/>
      <c r="M597" s="65"/>
      <c r="N597" s="66"/>
      <c r="O597" s="65"/>
      <c r="P597" s="18"/>
      <c r="Q597" s="18"/>
      <c r="R597" s="18"/>
      <c r="S597" s="18"/>
      <c r="T597" s="18"/>
      <c r="U597" s="18"/>
      <c r="V597" s="18"/>
      <c r="W597" s="18"/>
      <c r="X597" s="18"/>
      <c r="Y597" s="18"/>
    </row>
    <row r="598">
      <c r="A598" s="67"/>
      <c r="B598" s="66"/>
      <c r="C598" s="18"/>
      <c r="D598" s="18"/>
      <c r="E598" s="18"/>
      <c r="F598" s="65"/>
      <c r="G598" s="66"/>
      <c r="H598" s="18"/>
      <c r="I598" s="18"/>
      <c r="J598" s="18"/>
      <c r="K598" s="65"/>
      <c r="L598" s="66"/>
      <c r="M598" s="65"/>
      <c r="N598" s="66"/>
      <c r="O598" s="65"/>
      <c r="P598" s="18"/>
      <c r="Q598" s="18"/>
      <c r="R598" s="18"/>
      <c r="S598" s="18"/>
      <c r="T598" s="18"/>
      <c r="U598" s="18"/>
      <c r="V598" s="18"/>
      <c r="W598" s="18"/>
      <c r="X598" s="18"/>
      <c r="Y598" s="18"/>
    </row>
    <row r="599">
      <c r="A599" s="67"/>
      <c r="B599" s="66"/>
      <c r="C599" s="18"/>
      <c r="D599" s="18"/>
      <c r="E599" s="18"/>
      <c r="F599" s="65"/>
      <c r="G599" s="66"/>
      <c r="H599" s="18"/>
      <c r="I599" s="18"/>
      <c r="J599" s="18"/>
      <c r="K599" s="65"/>
      <c r="L599" s="66"/>
      <c r="M599" s="65"/>
      <c r="N599" s="66"/>
      <c r="O599" s="65"/>
      <c r="P599" s="18"/>
      <c r="Q599" s="18"/>
      <c r="R599" s="18"/>
      <c r="S599" s="18"/>
      <c r="T599" s="18"/>
      <c r="U599" s="18"/>
      <c r="V599" s="18"/>
      <c r="W599" s="18"/>
      <c r="X599" s="18"/>
      <c r="Y599" s="18"/>
    </row>
    <row r="600">
      <c r="A600" s="67"/>
      <c r="B600" s="66"/>
      <c r="C600" s="18"/>
      <c r="D600" s="18"/>
      <c r="E600" s="18"/>
      <c r="F600" s="65"/>
      <c r="G600" s="66"/>
      <c r="H600" s="18"/>
      <c r="I600" s="18"/>
      <c r="J600" s="18"/>
      <c r="K600" s="65"/>
      <c r="L600" s="66"/>
      <c r="M600" s="65"/>
      <c r="N600" s="66"/>
      <c r="O600" s="65"/>
      <c r="P600" s="18"/>
      <c r="Q600" s="18"/>
      <c r="R600" s="18"/>
      <c r="S600" s="18"/>
      <c r="T600" s="18"/>
      <c r="U600" s="18"/>
      <c r="V600" s="18"/>
      <c r="W600" s="18"/>
      <c r="X600" s="18"/>
      <c r="Y600" s="18"/>
    </row>
    <row r="601">
      <c r="A601" s="67"/>
      <c r="B601" s="66"/>
      <c r="C601" s="18"/>
      <c r="D601" s="18"/>
      <c r="E601" s="18"/>
      <c r="F601" s="65"/>
      <c r="G601" s="66"/>
      <c r="H601" s="18"/>
      <c r="I601" s="18"/>
      <c r="J601" s="18"/>
      <c r="K601" s="65"/>
      <c r="L601" s="66"/>
      <c r="M601" s="65"/>
      <c r="N601" s="66"/>
      <c r="O601" s="65"/>
      <c r="P601" s="18"/>
      <c r="Q601" s="18"/>
      <c r="R601" s="18"/>
      <c r="S601" s="18"/>
      <c r="T601" s="18"/>
      <c r="U601" s="18"/>
      <c r="V601" s="18"/>
      <c r="W601" s="18"/>
      <c r="X601" s="18"/>
      <c r="Y601" s="18"/>
    </row>
    <row r="602">
      <c r="A602" s="67"/>
      <c r="B602" s="66"/>
      <c r="C602" s="18"/>
      <c r="D602" s="18"/>
      <c r="E602" s="18"/>
      <c r="F602" s="65"/>
      <c r="G602" s="66"/>
      <c r="H602" s="18"/>
      <c r="I602" s="18"/>
      <c r="J602" s="18"/>
      <c r="K602" s="65"/>
      <c r="L602" s="66"/>
      <c r="M602" s="65"/>
      <c r="N602" s="66"/>
      <c r="O602" s="65"/>
      <c r="P602" s="18"/>
      <c r="Q602" s="18"/>
      <c r="R602" s="18"/>
      <c r="S602" s="18"/>
      <c r="T602" s="18"/>
      <c r="U602" s="18"/>
      <c r="V602" s="18"/>
      <c r="W602" s="18"/>
      <c r="X602" s="18"/>
      <c r="Y602" s="18"/>
    </row>
    <row r="603">
      <c r="A603" s="67"/>
      <c r="B603" s="66"/>
      <c r="C603" s="18"/>
      <c r="D603" s="18"/>
      <c r="E603" s="18"/>
      <c r="F603" s="65"/>
      <c r="G603" s="66"/>
      <c r="H603" s="18"/>
      <c r="I603" s="18"/>
      <c r="J603" s="18"/>
      <c r="K603" s="65"/>
      <c r="L603" s="66"/>
      <c r="M603" s="65"/>
      <c r="N603" s="66"/>
      <c r="O603" s="65"/>
      <c r="P603" s="18"/>
      <c r="Q603" s="18"/>
      <c r="R603" s="18"/>
      <c r="S603" s="18"/>
      <c r="T603" s="18"/>
      <c r="U603" s="18"/>
      <c r="V603" s="18"/>
      <c r="W603" s="18"/>
      <c r="X603" s="18"/>
      <c r="Y603" s="18"/>
    </row>
    <row r="604">
      <c r="A604" s="67"/>
      <c r="B604" s="66"/>
      <c r="C604" s="18"/>
      <c r="D604" s="18"/>
      <c r="E604" s="18"/>
      <c r="F604" s="65"/>
      <c r="G604" s="66"/>
      <c r="H604" s="18"/>
      <c r="I604" s="18"/>
      <c r="J604" s="18"/>
      <c r="K604" s="65"/>
      <c r="L604" s="66"/>
      <c r="M604" s="65"/>
      <c r="N604" s="66"/>
      <c r="O604" s="65"/>
      <c r="P604" s="18"/>
      <c r="Q604" s="18"/>
      <c r="R604" s="18"/>
      <c r="S604" s="18"/>
      <c r="T604" s="18"/>
      <c r="U604" s="18"/>
      <c r="V604" s="18"/>
      <c r="W604" s="18"/>
      <c r="X604" s="18"/>
      <c r="Y604" s="18"/>
    </row>
    <row r="605">
      <c r="A605" s="67"/>
      <c r="B605" s="66"/>
      <c r="C605" s="18"/>
      <c r="D605" s="18"/>
      <c r="E605" s="18"/>
      <c r="F605" s="65"/>
      <c r="G605" s="66"/>
      <c r="H605" s="18"/>
      <c r="I605" s="18"/>
      <c r="J605" s="18"/>
      <c r="K605" s="65"/>
      <c r="L605" s="66"/>
      <c r="M605" s="65"/>
      <c r="N605" s="66"/>
      <c r="O605" s="65"/>
      <c r="P605" s="18"/>
      <c r="Q605" s="18"/>
      <c r="R605" s="18"/>
      <c r="S605" s="18"/>
      <c r="T605" s="18"/>
      <c r="U605" s="18"/>
      <c r="V605" s="18"/>
      <c r="W605" s="18"/>
      <c r="X605" s="18"/>
      <c r="Y605" s="18"/>
    </row>
    <row r="606">
      <c r="A606" s="67"/>
      <c r="B606" s="66"/>
      <c r="C606" s="18"/>
      <c r="D606" s="18"/>
      <c r="E606" s="18"/>
      <c r="F606" s="65"/>
      <c r="G606" s="66"/>
      <c r="H606" s="18"/>
      <c r="I606" s="18"/>
      <c r="J606" s="18"/>
      <c r="K606" s="65"/>
      <c r="L606" s="66"/>
      <c r="M606" s="65"/>
      <c r="N606" s="66"/>
      <c r="O606" s="65"/>
      <c r="P606" s="18"/>
      <c r="Q606" s="18"/>
      <c r="R606" s="18"/>
      <c r="S606" s="18"/>
      <c r="T606" s="18"/>
      <c r="U606" s="18"/>
      <c r="V606" s="18"/>
      <c r="W606" s="18"/>
      <c r="X606" s="18"/>
      <c r="Y606" s="18"/>
    </row>
    <row r="607">
      <c r="A607" s="67"/>
      <c r="B607" s="66"/>
      <c r="C607" s="18"/>
      <c r="D607" s="18"/>
      <c r="E607" s="18"/>
      <c r="F607" s="65"/>
      <c r="G607" s="66"/>
      <c r="H607" s="18"/>
      <c r="I607" s="18"/>
      <c r="J607" s="18"/>
      <c r="K607" s="65"/>
      <c r="L607" s="66"/>
      <c r="M607" s="65"/>
      <c r="N607" s="66"/>
      <c r="O607" s="65"/>
      <c r="P607" s="18"/>
      <c r="Q607" s="18"/>
      <c r="R607" s="18"/>
      <c r="S607" s="18"/>
      <c r="T607" s="18"/>
      <c r="U607" s="18"/>
      <c r="V607" s="18"/>
      <c r="W607" s="18"/>
      <c r="X607" s="18"/>
      <c r="Y607" s="18"/>
    </row>
    <row r="608">
      <c r="A608" s="67"/>
      <c r="B608" s="66"/>
      <c r="C608" s="18"/>
      <c r="D608" s="18"/>
      <c r="E608" s="18"/>
      <c r="F608" s="65"/>
      <c r="G608" s="66"/>
      <c r="H608" s="18"/>
      <c r="I608" s="18"/>
      <c r="J608" s="18"/>
      <c r="K608" s="65"/>
      <c r="L608" s="66"/>
      <c r="M608" s="65"/>
      <c r="N608" s="66"/>
      <c r="O608" s="65"/>
      <c r="P608" s="18"/>
      <c r="Q608" s="18"/>
      <c r="R608" s="18"/>
      <c r="S608" s="18"/>
      <c r="T608" s="18"/>
      <c r="U608" s="18"/>
      <c r="V608" s="18"/>
      <c r="W608" s="18"/>
      <c r="X608" s="18"/>
      <c r="Y608" s="18"/>
    </row>
    <row r="609">
      <c r="A609" s="67"/>
      <c r="B609" s="66"/>
      <c r="C609" s="18"/>
      <c r="D609" s="18"/>
      <c r="E609" s="18"/>
      <c r="F609" s="65"/>
      <c r="G609" s="66"/>
      <c r="H609" s="18"/>
      <c r="I609" s="18"/>
      <c r="J609" s="18"/>
      <c r="K609" s="65"/>
      <c r="L609" s="66"/>
      <c r="M609" s="65"/>
      <c r="N609" s="66"/>
      <c r="O609" s="65"/>
      <c r="P609" s="18"/>
      <c r="Q609" s="18"/>
      <c r="R609" s="18"/>
      <c r="S609" s="18"/>
      <c r="T609" s="18"/>
      <c r="U609" s="18"/>
      <c r="V609" s="18"/>
      <c r="W609" s="18"/>
      <c r="X609" s="18"/>
      <c r="Y609" s="18"/>
    </row>
    <row r="610">
      <c r="A610" s="67"/>
      <c r="B610" s="66"/>
      <c r="C610" s="18"/>
      <c r="D610" s="18"/>
      <c r="E610" s="18"/>
      <c r="F610" s="65"/>
      <c r="G610" s="66"/>
      <c r="H610" s="18"/>
      <c r="I610" s="18"/>
      <c r="J610" s="18"/>
      <c r="K610" s="65"/>
      <c r="L610" s="66"/>
      <c r="M610" s="65"/>
      <c r="N610" s="66"/>
      <c r="O610" s="65"/>
      <c r="P610" s="18"/>
      <c r="Q610" s="18"/>
      <c r="R610" s="18"/>
      <c r="S610" s="18"/>
      <c r="T610" s="18"/>
      <c r="U610" s="18"/>
      <c r="V610" s="18"/>
      <c r="W610" s="18"/>
      <c r="X610" s="18"/>
      <c r="Y610" s="18"/>
    </row>
    <row r="611">
      <c r="A611" s="67"/>
      <c r="B611" s="66"/>
      <c r="C611" s="18"/>
      <c r="D611" s="18"/>
      <c r="E611" s="18"/>
      <c r="F611" s="65"/>
      <c r="G611" s="66"/>
      <c r="H611" s="18"/>
      <c r="I611" s="18"/>
      <c r="J611" s="18"/>
      <c r="K611" s="65"/>
      <c r="L611" s="66"/>
      <c r="M611" s="65"/>
      <c r="N611" s="66"/>
      <c r="O611" s="65"/>
      <c r="P611" s="18"/>
      <c r="Q611" s="18"/>
      <c r="R611" s="18"/>
      <c r="S611" s="18"/>
      <c r="T611" s="18"/>
      <c r="U611" s="18"/>
      <c r="V611" s="18"/>
      <c r="W611" s="18"/>
      <c r="X611" s="18"/>
      <c r="Y611" s="18"/>
    </row>
    <row r="612">
      <c r="A612" s="67"/>
      <c r="B612" s="66"/>
      <c r="C612" s="18"/>
      <c r="D612" s="18"/>
      <c r="E612" s="18"/>
      <c r="F612" s="65"/>
      <c r="G612" s="66"/>
      <c r="H612" s="18"/>
      <c r="I612" s="18"/>
      <c r="J612" s="18"/>
      <c r="K612" s="65"/>
      <c r="L612" s="66"/>
      <c r="M612" s="65"/>
      <c r="N612" s="66"/>
      <c r="O612" s="65"/>
      <c r="P612" s="18"/>
      <c r="Q612" s="18"/>
      <c r="R612" s="18"/>
      <c r="S612" s="18"/>
      <c r="T612" s="18"/>
      <c r="U612" s="18"/>
      <c r="V612" s="18"/>
      <c r="W612" s="18"/>
      <c r="X612" s="18"/>
      <c r="Y612" s="18"/>
    </row>
    <row r="613">
      <c r="A613" s="67"/>
      <c r="B613" s="66"/>
      <c r="C613" s="18"/>
      <c r="D613" s="18"/>
      <c r="E613" s="18"/>
      <c r="F613" s="65"/>
      <c r="G613" s="66"/>
      <c r="H613" s="18"/>
      <c r="I613" s="18"/>
      <c r="J613" s="18"/>
      <c r="K613" s="65"/>
      <c r="L613" s="66"/>
      <c r="M613" s="65"/>
      <c r="N613" s="66"/>
      <c r="O613" s="65"/>
      <c r="P613" s="18"/>
      <c r="Q613" s="18"/>
      <c r="R613" s="18"/>
      <c r="S613" s="18"/>
      <c r="T613" s="18"/>
      <c r="U613" s="18"/>
      <c r="V613" s="18"/>
      <c r="W613" s="18"/>
      <c r="X613" s="18"/>
      <c r="Y613" s="18"/>
    </row>
    <row r="614">
      <c r="A614" s="67"/>
      <c r="B614" s="66"/>
      <c r="C614" s="18"/>
      <c r="D614" s="18"/>
      <c r="E614" s="18"/>
      <c r="F614" s="65"/>
      <c r="G614" s="66"/>
      <c r="H614" s="18"/>
      <c r="I614" s="18"/>
      <c r="J614" s="18"/>
      <c r="K614" s="65"/>
      <c r="L614" s="66"/>
      <c r="M614" s="65"/>
      <c r="N614" s="66"/>
      <c r="O614" s="65"/>
      <c r="P614" s="18"/>
      <c r="Q614" s="18"/>
      <c r="R614" s="18"/>
      <c r="S614" s="18"/>
      <c r="T614" s="18"/>
      <c r="U614" s="18"/>
      <c r="V614" s="18"/>
      <c r="W614" s="18"/>
      <c r="X614" s="18"/>
      <c r="Y614" s="18"/>
    </row>
    <row r="615">
      <c r="A615" s="67"/>
      <c r="B615" s="66"/>
      <c r="C615" s="18"/>
      <c r="D615" s="18"/>
      <c r="E615" s="18"/>
      <c r="F615" s="65"/>
      <c r="G615" s="66"/>
      <c r="H615" s="18"/>
      <c r="I615" s="18"/>
      <c r="J615" s="18"/>
      <c r="K615" s="65"/>
      <c r="L615" s="66"/>
      <c r="M615" s="65"/>
      <c r="N615" s="66"/>
      <c r="O615" s="65"/>
      <c r="P615" s="18"/>
      <c r="Q615" s="18"/>
      <c r="R615" s="18"/>
      <c r="S615" s="18"/>
      <c r="T615" s="18"/>
      <c r="U615" s="18"/>
      <c r="V615" s="18"/>
      <c r="W615" s="18"/>
      <c r="X615" s="18"/>
      <c r="Y615" s="18"/>
    </row>
    <row r="616">
      <c r="A616" s="67"/>
      <c r="B616" s="66"/>
      <c r="C616" s="18"/>
      <c r="D616" s="18"/>
      <c r="E616" s="18"/>
      <c r="F616" s="65"/>
      <c r="G616" s="66"/>
      <c r="H616" s="18"/>
      <c r="I616" s="18"/>
      <c r="J616" s="18"/>
      <c r="K616" s="65"/>
      <c r="L616" s="66"/>
      <c r="M616" s="65"/>
      <c r="N616" s="66"/>
      <c r="O616" s="65"/>
      <c r="P616" s="18"/>
      <c r="Q616" s="18"/>
      <c r="R616" s="18"/>
      <c r="S616" s="18"/>
      <c r="T616" s="18"/>
      <c r="U616" s="18"/>
      <c r="V616" s="18"/>
      <c r="W616" s="18"/>
      <c r="X616" s="18"/>
      <c r="Y616" s="18"/>
    </row>
    <row r="617">
      <c r="A617" s="67"/>
      <c r="B617" s="66"/>
      <c r="C617" s="18"/>
      <c r="D617" s="18"/>
      <c r="E617" s="18"/>
      <c r="F617" s="65"/>
      <c r="G617" s="66"/>
      <c r="H617" s="18"/>
      <c r="I617" s="18"/>
      <c r="J617" s="18"/>
      <c r="K617" s="65"/>
      <c r="L617" s="66"/>
      <c r="M617" s="65"/>
      <c r="N617" s="66"/>
      <c r="O617" s="65"/>
      <c r="P617" s="18"/>
      <c r="Q617" s="18"/>
      <c r="R617" s="18"/>
      <c r="S617" s="18"/>
      <c r="T617" s="18"/>
      <c r="U617" s="18"/>
      <c r="V617" s="18"/>
      <c r="W617" s="18"/>
      <c r="X617" s="18"/>
      <c r="Y617" s="18"/>
    </row>
    <row r="618">
      <c r="A618" s="67"/>
      <c r="B618" s="66"/>
      <c r="C618" s="18"/>
      <c r="D618" s="18"/>
      <c r="E618" s="18"/>
      <c r="F618" s="65"/>
      <c r="G618" s="66"/>
      <c r="H618" s="18"/>
      <c r="I618" s="18"/>
      <c r="J618" s="18"/>
      <c r="K618" s="65"/>
      <c r="L618" s="66"/>
      <c r="M618" s="65"/>
      <c r="N618" s="66"/>
      <c r="O618" s="65"/>
      <c r="P618" s="18"/>
      <c r="Q618" s="18"/>
      <c r="R618" s="18"/>
      <c r="S618" s="18"/>
      <c r="T618" s="18"/>
      <c r="U618" s="18"/>
      <c r="V618" s="18"/>
      <c r="W618" s="18"/>
      <c r="X618" s="18"/>
      <c r="Y618" s="18"/>
    </row>
    <row r="619">
      <c r="A619" s="67"/>
      <c r="B619" s="66"/>
      <c r="C619" s="18"/>
      <c r="D619" s="18"/>
      <c r="E619" s="18"/>
      <c r="F619" s="65"/>
      <c r="G619" s="66"/>
      <c r="H619" s="18"/>
      <c r="I619" s="18"/>
      <c r="J619" s="18"/>
      <c r="K619" s="65"/>
      <c r="L619" s="66"/>
      <c r="M619" s="65"/>
      <c r="N619" s="66"/>
      <c r="O619" s="65"/>
      <c r="P619" s="18"/>
      <c r="Q619" s="18"/>
      <c r="R619" s="18"/>
      <c r="S619" s="18"/>
      <c r="T619" s="18"/>
      <c r="U619" s="18"/>
      <c r="V619" s="18"/>
      <c r="W619" s="18"/>
      <c r="X619" s="18"/>
      <c r="Y619" s="18"/>
    </row>
    <row r="620">
      <c r="A620" s="67"/>
      <c r="B620" s="66"/>
      <c r="C620" s="18"/>
      <c r="D620" s="18"/>
      <c r="E620" s="18"/>
      <c r="F620" s="65"/>
      <c r="G620" s="66"/>
      <c r="H620" s="18"/>
      <c r="I620" s="18"/>
      <c r="J620" s="18"/>
      <c r="K620" s="65"/>
      <c r="L620" s="66"/>
      <c r="M620" s="65"/>
      <c r="N620" s="66"/>
      <c r="O620" s="65"/>
      <c r="P620" s="18"/>
      <c r="Q620" s="18"/>
      <c r="R620" s="18"/>
      <c r="S620" s="18"/>
      <c r="T620" s="18"/>
      <c r="U620" s="18"/>
      <c r="V620" s="18"/>
      <c r="W620" s="18"/>
      <c r="X620" s="18"/>
      <c r="Y620" s="18"/>
    </row>
    <row r="621">
      <c r="A621" s="67"/>
      <c r="B621" s="66"/>
      <c r="C621" s="18"/>
      <c r="D621" s="18"/>
      <c r="E621" s="18"/>
      <c r="F621" s="65"/>
      <c r="G621" s="66"/>
      <c r="H621" s="18"/>
      <c r="I621" s="18"/>
      <c r="J621" s="18"/>
      <c r="K621" s="65"/>
      <c r="L621" s="66"/>
      <c r="M621" s="65"/>
      <c r="N621" s="66"/>
      <c r="O621" s="65"/>
      <c r="P621" s="18"/>
      <c r="Q621" s="18"/>
      <c r="R621" s="18"/>
      <c r="S621" s="18"/>
      <c r="T621" s="18"/>
      <c r="U621" s="18"/>
      <c r="V621" s="18"/>
      <c r="W621" s="18"/>
      <c r="X621" s="18"/>
      <c r="Y621" s="18"/>
    </row>
    <row r="622">
      <c r="A622" s="67"/>
      <c r="B622" s="66"/>
      <c r="C622" s="18"/>
      <c r="D622" s="18"/>
      <c r="E622" s="18"/>
      <c r="F622" s="65"/>
      <c r="G622" s="66"/>
      <c r="H622" s="18"/>
      <c r="I622" s="18"/>
      <c r="J622" s="18"/>
      <c r="K622" s="65"/>
      <c r="L622" s="66"/>
      <c r="M622" s="65"/>
      <c r="N622" s="66"/>
      <c r="O622" s="65"/>
      <c r="P622" s="18"/>
      <c r="Q622" s="18"/>
      <c r="R622" s="18"/>
      <c r="S622" s="18"/>
      <c r="T622" s="18"/>
      <c r="U622" s="18"/>
      <c r="V622" s="18"/>
      <c r="W622" s="18"/>
      <c r="X622" s="18"/>
      <c r="Y622" s="18"/>
    </row>
    <row r="623">
      <c r="A623" s="67"/>
      <c r="B623" s="66"/>
      <c r="C623" s="18"/>
      <c r="D623" s="18"/>
      <c r="E623" s="18"/>
      <c r="F623" s="65"/>
      <c r="G623" s="66"/>
      <c r="H623" s="18"/>
      <c r="I623" s="18"/>
      <c r="J623" s="18"/>
      <c r="K623" s="65"/>
      <c r="L623" s="66"/>
      <c r="M623" s="65"/>
      <c r="N623" s="66"/>
      <c r="O623" s="65"/>
      <c r="P623" s="18"/>
      <c r="Q623" s="18"/>
      <c r="R623" s="18"/>
      <c r="S623" s="18"/>
      <c r="T623" s="18"/>
      <c r="U623" s="18"/>
      <c r="V623" s="18"/>
      <c r="W623" s="18"/>
      <c r="X623" s="18"/>
      <c r="Y623" s="18"/>
    </row>
    <row r="624">
      <c r="A624" s="67"/>
      <c r="B624" s="66"/>
      <c r="C624" s="18"/>
      <c r="D624" s="18"/>
      <c r="E624" s="18"/>
      <c r="F624" s="65"/>
      <c r="G624" s="66"/>
      <c r="H624" s="18"/>
      <c r="I624" s="18"/>
      <c r="J624" s="18"/>
      <c r="K624" s="65"/>
      <c r="L624" s="66"/>
      <c r="M624" s="65"/>
      <c r="N624" s="66"/>
      <c r="O624" s="65"/>
      <c r="P624" s="18"/>
      <c r="Q624" s="18"/>
      <c r="R624" s="18"/>
      <c r="S624" s="18"/>
      <c r="T624" s="18"/>
      <c r="U624" s="18"/>
      <c r="V624" s="18"/>
      <c r="W624" s="18"/>
      <c r="X624" s="18"/>
      <c r="Y624" s="18"/>
    </row>
    <row r="625">
      <c r="A625" s="67"/>
      <c r="B625" s="66"/>
      <c r="C625" s="18"/>
      <c r="D625" s="18"/>
      <c r="E625" s="18"/>
      <c r="F625" s="65"/>
      <c r="G625" s="66"/>
      <c r="H625" s="18"/>
      <c r="I625" s="18"/>
      <c r="J625" s="18"/>
      <c r="K625" s="65"/>
      <c r="L625" s="66"/>
      <c r="M625" s="65"/>
      <c r="N625" s="66"/>
      <c r="O625" s="65"/>
      <c r="P625" s="18"/>
      <c r="Q625" s="18"/>
      <c r="R625" s="18"/>
      <c r="S625" s="18"/>
      <c r="T625" s="18"/>
      <c r="U625" s="18"/>
      <c r="V625" s="18"/>
      <c r="W625" s="18"/>
      <c r="X625" s="18"/>
      <c r="Y625" s="18"/>
    </row>
    <row r="626">
      <c r="A626" s="67"/>
      <c r="B626" s="66"/>
      <c r="C626" s="18"/>
      <c r="D626" s="18"/>
      <c r="E626" s="18"/>
      <c r="F626" s="65"/>
      <c r="G626" s="66"/>
      <c r="H626" s="18"/>
      <c r="I626" s="18"/>
      <c r="J626" s="18"/>
      <c r="K626" s="65"/>
      <c r="L626" s="66"/>
      <c r="M626" s="65"/>
      <c r="N626" s="66"/>
      <c r="O626" s="65"/>
      <c r="P626" s="18"/>
      <c r="Q626" s="18"/>
      <c r="R626" s="18"/>
      <c r="S626" s="18"/>
      <c r="T626" s="18"/>
      <c r="U626" s="18"/>
      <c r="V626" s="18"/>
      <c r="W626" s="18"/>
      <c r="X626" s="18"/>
      <c r="Y626" s="18"/>
    </row>
    <row r="627">
      <c r="A627" s="67"/>
      <c r="B627" s="66"/>
      <c r="C627" s="18"/>
      <c r="D627" s="18"/>
      <c r="E627" s="18"/>
      <c r="F627" s="65"/>
      <c r="G627" s="66"/>
      <c r="H627" s="18"/>
      <c r="I627" s="18"/>
      <c r="J627" s="18"/>
      <c r="K627" s="65"/>
      <c r="L627" s="66"/>
      <c r="M627" s="65"/>
      <c r="N627" s="66"/>
      <c r="O627" s="65"/>
      <c r="P627" s="18"/>
      <c r="Q627" s="18"/>
      <c r="R627" s="18"/>
      <c r="S627" s="18"/>
      <c r="T627" s="18"/>
      <c r="U627" s="18"/>
      <c r="V627" s="18"/>
      <c r="W627" s="18"/>
      <c r="X627" s="18"/>
      <c r="Y627" s="18"/>
    </row>
    <row r="628">
      <c r="A628" s="67"/>
      <c r="B628" s="66"/>
      <c r="C628" s="18"/>
      <c r="D628" s="18"/>
      <c r="E628" s="18"/>
      <c r="F628" s="65"/>
      <c r="G628" s="66"/>
      <c r="H628" s="18"/>
      <c r="I628" s="18"/>
      <c r="J628" s="18"/>
      <c r="K628" s="65"/>
      <c r="L628" s="66"/>
      <c r="M628" s="65"/>
      <c r="N628" s="66"/>
      <c r="O628" s="65"/>
      <c r="P628" s="18"/>
      <c r="Q628" s="18"/>
      <c r="R628" s="18"/>
      <c r="S628" s="18"/>
      <c r="T628" s="18"/>
      <c r="U628" s="18"/>
      <c r="V628" s="18"/>
      <c r="W628" s="18"/>
      <c r="X628" s="18"/>
      <c r="Y628" s="18"/>
    </row>
    <row r="629">
      <c r="A629" s="67"/>
      <c r="B629" s="66"/>
      <c r="C629" s="18"/>
      <c r="D629" s="18"/>
      <c r="E629" s="18"/>
      <c r="F629" s="65"/>
      <c r="G629" s="66"/>
      <c r="H629" s="18"/>
      <c r="I629" s="18"/>
      <c r="J629" s="18"/>
      <c r="K629" s="65"/>
      <c r="L629" s="66"/>
      <c r="M629" s="65"/>
      <c r="N629" s="66"/>
      <c r="O629" s="65"/>
      <c r="P629" s="18"/>
      <c r="Q629" s="18"/>
      <c r="R629" s="18"/>
      <c r="S629" s="18"/>
      <c r="T629" s="18"/>
      <c r="U629" s="18"/>
      <c r="V629" s="18"/>
      <c r="W629" s="18"/>
      <c r="X629" s="18"/>
      <c r="Y629" s="18"/>
    </row>
    <row r="630">
      <c r="A630" s="67"/>
      <c r="B630" s="66"/>
      <c r="C630" s="18"/>
      <c r="D630" s="18"/>
      <c r="E630" s="18"/>
      <c r="F630" s="65"/>
      <c r="G630" s="66"/>
      <c r="H630" s="18"/>
      <c r="I630" s="18"/>
      <c r="J630" s="18"/>
      <c r="K630" s="65"/>
      <c r="L630" s="66"/>
      <c r="M630" s="65"/>
      <c r="N630" s="66"/>
      <c r="O630" s="65"/>
      <c r="P630" s="18"/>
      <c r="Q630" s="18"/>
      <c r="R630" s="18"/>
      <c r="S630" s="18"/>
      <c r="T630" s="18"/>
      <c r="U630" s="18"/>
      <c r="V630" s="18"/>
      <c r="W630" s="18"/>
      <c r="X630" s="18"/>
      <c r="Y630" s="18"/>
    </row>
    <row r="631">
      <c r="A631" s="67"/>
      <c r="B631" s="66"/>
      <c r="C631" s="18"/>
      <c r="D631" s="18"/>
      <c r="E631" s="18"/>
      <c r="F631" s="65"/>
      <c r="G631" s="66"/>
      <c r="H631" s="18"/>
      <c r="I631" s="18"/>
      <c r="J631" s="18"/>
      <c r="K631" s="65"/>
      <c r="L631" s="66"/>
      <c r="M631" s="65"/>
      <c r="N631" s="66"/>
      <c r="O631" s="65"/>
      <c r="P631" s="18"/>
      <c r="Q631" s="18"/>
      <c r="R631" s="18"/>
      <c r="S631" s="18"/>
      <c r="T631" s="18"/>
      <c r="U631" s="18"/>
      <c r="V631" s="18"/>
      <c r="W631" s="18"/>
      <c r="X631" s="18"/>
      <c r="Y631" s="18"/>
    </row>
    <row r="632">
      <c r="A632" s="67"/>
      <c r="B632" s="66"/>
      <c r="C632" s="18"/>
      <c r="D632" s="18"/>
      <c r="E632" s="18"/>
      <c r="F632" s="65"/>
      <c r="G632" s="66"/>
      <c r="H632" s="18"/>
      <c r="I632" s="18"/>
      <c r="J632" s="18"/>
      <c r="K632" s="65"/>
      <c r="L632" s="66"/>
      <c r="M632" s="65"/>
      <c r="N632" s="66"/>
      <c r="O632" s="65"/>
      <c r="P632" s="18"/>
      <c r="Q632" s="18"/>
      <c r="R632" s="18"/>
      <c r="S632" s="18"/>
      <c r="T632" s="18"/>
      <c r="U632" s="18"/>
      <c r="V632" s="18"/>
      <c r="W632" s="18"/>
      <c r="X632" s="18"/>
      <c r="Y632" s="18"/>
    </row>
    <row r="633">
      <c r="A633" s="67"/>
      <c r="B633" s="66"/>
      <c r="C633" s="18"/>
      <c r="D633" s="18"/>
      <c r="E633" s="18"/>
      <c r="F633" s="65"/>
      <c r="G633" s="66"/>
      <c r="H633" s="18"/>
      <c r="I633" s="18"/>
      <c r="J633" s="18"/>
      <c r="K633" s="65"/>
      <c r="L633" s="66"/>
      <c r="M633" s="65"/>
      <c r="N633" s="66"/>
      <c r="O633" s="65"/>
      <c r="P633" s="18"/>
      <c r="Q633" s="18"/>
      <c r="R633" s="18"/>
      <c r="S633" s="18"/>
      <c r="T633" s="18"/>
      <c r="U633" s="18"/>
      <c r="V633" s="18"/>
      <c r="W633" s="18"/>
      <c r="X633" s="18"/>
      <c r="Y633" s="18"/>
    </row>
    <row r="634">
      <c r="A634" s="67"/>
      <c r="B634" s="66"/>
      <c r="C634" s="18"/>
      <c r="D634" s="18"/>
      <c r="E634" s="18"/>
      <c r="F634" s="65"/>
      <c r="G634" s="66"/>
      <c r="H634" s="18"/>
      <c r="I634" s="18"/>
      <c r="J634" s="18"/>
      <c r="K634" s="65"/>
      <c r="L634" s="66"/>
      <c r="M634" s="65"/>
      <c r="N634" s="66"/>
      <c r="O634" s="65"/>
      <c r="P634" s="18"/>
      <c r="Q634" s="18"/>
      <c r="R634" s="18"/>
      <c r="S634" s="18"/>
      <c r="T634" s="18"/>
      <c r="U634" s="18"/>
      <c r="V634" s="18"/>
      <c r="W634" s="18"/>
      <c r="X634" s="18"/>
      <c r="Y634" s="18"/>
    </row>
    <row r="635">
      <c r="A635" s="67"/>
      <c r="B635" s="66"/>
      <c r="C635" s="18"/>
      <c r="D635" s="18"/>
      <c r="E635" s="18"/>
      <c r="F635" s="65"/>
      <c r="G635" s="66"/>
      <c r="H635" s="18"/>
      <c r="I635" s="18"/>
      <c r="J635" s="18"/>
      <c r="K635" s="65"/>
      <c r="L635" s="66"/>
      <c r="M635" s="65"/>
      <c r="N635" s="66"/>
      <c r="O635" s="65"/>
      <c r="P635" s="18"/>
      <c r="Q635" s="18"/>
      <c r="R635" s="18"/>
      <c r="S635" s="18"/>
      <c r="T635" s="18"/>
      <c r="U635" s="18"/>
      <c r="V635" s="18"/>
      <c r="W635" s="18"/>
      <c r="X635" s="18"/>
      <c r="Y635" s="18"/>
    </row>
    <row r="636">
      <c r="A636" s="67"/>
      <c r="B636" s="66"/>
      <c r="C636" s="18"/>
      <c r="D636" s="18"/>
      <c r="E636" s="18"/>
      <c r="F636" s="65"/>
      <c r="G636" s="66"/>
      <c r="H636" s="18"/>
      <c r="I636" s="18"/>
      <c r="J636" s="18"/>
      <c r="K636" s="65"/>
      <c r="L636" s="66"/>
      <c r="M636" s="65"/>
      <c r="N636" s="66"/>
      <c r="O636" s="65"/>
      <c r="P636" s="18"/>
      <c r="Q636" s="18"/>
      <c r="R636" s="18"/>
      <c r="S636" s="18"/>
      <c r="T636" s="18"/>
      <c r="U636" s="18"/>
      <c r="V636" s="18"/>
      <c r="W636" s="18"/>
      <c r="X636" s="18"/>
      <c r="Y636" s="18"/>
    </row>
    <row r="637">
      <c r="A637" s="67"/>
      <c r="B637" s="66"/>
      <c r="C637" s="18"/>
      <c r="D637" s="18"/>
      <c r="E637" s="18"/>
      <c r="F637" s="65"/>
      <c r="G637" s="66"/>
      <c r="H637" s="18"/>
      <c r="I637" s="18"/>
      <c r="J637" s="18"/>
      <c r="K637" s="65"/>
      <c r="L637" s="66"/>
      <c r="M637" s="65"/>
      <c r="N637" s="66"/>
      <c r="O637" s="65"/>
      <c r="P637" s="18"/>
      <c r="Q637" s="18"/>
      <c r="R637" s="18"/>
      <c r="S637" s="18"/>
      <c r="T637" s="18"/>
      <c r="U637" s="18"/>
      <c r="V637" s="18"/>
      <c r="W637" s="18"/>
      <c r="X637" s="18"/>
      <c r="Y637" s="18"/>
    </row>
    <row r="638">
      <c r="A638" s="67"/>
      <c r="B638" s="66"/>
      <c r="C638" s="18"/>
      <c r="D638" s="18"/>
      <c r="E638" s="18"/>
      <c r="F638" s="65"/>
      <c r="G638" s="66"/>
      <c r="H638" s="18"/>
      <c r="I638" s="18"/>
      <c r="J638" s="18"/>
      <c r="K638" s="65"/>
      <c r="L638" s="66"/>
      <c r="M638" s="65"/>
      <c r="N638" s="66"/>
      <c r="O638" s="65"/>
      <c r="P638" s="18"/>
      <c r="Q638" s="18"/>
      <c r="R638" s="18"/>
      <c r="S638" s="18"/>
      <c r="T638" s="18"/>
      <c r="U638" s="18"/>
      <c r="V638" s="18"/>
      <c r="W638" s="18"/>
      <c r="X638" s="18"/>
      <c r="Y638" s="18"/>
    </row>
    <row r="639">
      <c r="A639" s="67"/>
      <c r="B639" s="66"/>
      <c r="C639" s="18"/>
      <c r="D639" s="18"/>
      <c r="E639" s="18"/>
      <c r="F639" s="65"/>
      <c r="G639" s="66"/>
      <c r="H639" s="18"/>
      <c r="I639" s="18"/>
      <c r="J639" s="18"/>
      <c r="K639" s="65"/>
      <c r="L639" s="66"/>
      <c r="M639" s="65"/>
      <c r="N639" s="66"/>
      <c r="O639" s="65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>
      <c r="A640" s="67"/>
      <c r="B640" s="66"/>
      <c r="C640" s="18"/>
      <c r="D640" s="18"/>
      <c r="E640" s="18"/>
      <c r="F640" s="65"/>
      <c r="G640" s="66"/>
      <c r="H640" s="18"/>
      <c r="I640" s="18"/>
      <c r="J640" s="18"/>
      <c r="K640" s="65"/>
      <c r="L640" s="66"/>
      <c r="M640" s="65"/>
      <c r="N640" s="66"/>
      <c r="O640" s="65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>
      <c r="A641" s="67"/>
      <c r="B641" s="66"/>
      <c r="C641" s="18"/>
      <c r="D641" s="18"/>
      <c r="E641" s="18"/>
      <c r="F641" s="65"/>
      <c r="G641" s="66"/>
      <c r="H641" s="18"/>
      <c r="I641" s="18"/>
      <c r="J641" s="18"/>
      <c r="K641" s="65"/>
      <c r="L641" s="66"/>
      <c r="M641" s="65"/>
      <c r="N641" s="66"/>
      <c r="O641" s="65"/>
      <c r="P641" s="18"/>
      <c r="Q641" s="18"/>
      <c r="R641" s="18"/>
      <c r="S641" s="18"/>
      <c r="T641" s="18"/>
      <c r="U641" s="18"/>
      <c r="V641" s="18"/>
      <c r="W641" s="18"/>
      <c r="X641" s="18"/>
      <c r="Y641" s="18"/>
    </row>
    <row r="642">
      <c r="A642" s="67"/>
      <c r="B642" s="66"/>
      <c r="C642" s="18"/>
      <c r="D642" s="18"/>
      <c r="E642" s="18"/>
      <c r="F642" s="65"/>
      <c r="G642" s="66"/>
      <c r="H642" s="18"/>
      <c r="I642" s="18"/>
      <c r="J642" s="18"/>
      <c r="K642" s="65"/>
      <c r="L642" s="66"/>
      <c r="M642" s="65"/>
      <c r="N642" s="66"/>
      <c r="O642" s="65"/>
      <c r="P642" s="18"/>
      <c r="Q642" s="18"/>
      <c r="R642" s="18"/>
      <c r="S642" s="18"/>
      <c r="T642" s="18"/>
      <c r="U642" s="18"/>
      <c r="V642" s="18"/>
      <c r="W642" s="18"/>
      <c r="X642" s="18"/>
      <c r="Y642" s="18"/>
    </row>
    <row r="643">
      <c r="A643" s="67"/>
      <c r="B643" s="66"/>
      <c r="C643" s="18"/>
      <c r="D643" s="18"/>
      <c r="E643" s="18"/>
      <c r="F643" s="65"/>
      <c r="G643" s="66"/>
      <c r="H643" s="18"/>
      <c r="I643" s="18"/>
      <c r="J643" s="18"/>
      <c r="K643" s="65"/>
      <c r="L643" s="66"/>
      <c r="M643" s="65"/>
      <c r="N643" s="66"/>
      <c r="O643" s="65"/>
      <c r="P643" s="18"/>
      <c r="Q643" s="18"/>
      <c r="R643" s="18"/>
      <c r="S643" s="18"/>
      <c r="T643" s="18"/>
      <c r="U643" s="18"/>
      <c r="V643" s="18"/>
      <c r="W643" s="18"/>
      <c r="X643" s="18"/>
      <c r="Y643" s="18"/>
    </row>
    <row r="644">
      <c r="A644" s="67"/>
      <c r="B644" s="66"/>
      <c r="C644" s="18"/>
      <c r="D644" s="18"/>
      <c r="E644" s="18"/>
      <c r="F644" s="65"/>
      <c r="G644" s="66"/>
      <c r="H644" s="18"/>
      <c r="I644" s="18"/>
      <c r="J644" s="18"/>
      <c r="K644" s="65"/>
      <c r="L644" s="66"/>
      <c r="M644" s="65"/>
      <c r="N644" s="66"/>
      <c r="O644" s="65"/>
      <c r="P644" s="18"/>
      <c r="Q644" s="18"/>
      <c r="R644" s="18"/>
      <c r="S644" s="18"/>
      <c r="T644" s="18"/>
      <c r="U644" s="18"/>
      <c r="V644" s="18"/>
      <c r="W644" s="18"/>
      <c r="X644" s="18"/>
      <c r="Y644" s="18"/>
    </row>
    <row r="645">
      <c r="A645" s="67"/>
      <c r="B645" s="66"/>
      <c r="C645" s="18"/>
      <c r="D645" s="18"/>
      <c r="E645" s="18"/>
      <c r="F645" s="65"/>
      <c r="G645" s="66"/>
      <c r="H645" s="18"/>
      <c r="I645" s="18"/>
      <c r="J645" s="18"/>
      <c r="K645" s="65"/>
      <c r="L645" s="66"/>
      <c r="M645" s="65"/>
      <c r="N645" s="66"/>
      <c r="O645" s="65"/>
      <c r="P645" s="18"/>
      <c r="Q645" s="18"/>
      <c r="R645" s="18"/>
      <c r="S645" s="18"/>
      <c r="T645" s="18"/>
      <c r="U645" s="18"/>
      <c r="V645" s="18"/>
      <c r="W645" s="18"/>
      <c r="X645" s="18"/>
      <c r="Y645" s="18"/>
    </row>
    <row r="646">
      <c r="A646" s="67"/>
      <c r="B646" s="66"/>
      <c r="C646" s="18"/>
      <c r="D646" s="18"/>
      <c r="E646" s="18"/>
      <c r="F646" s="65"/>
      <c r="G646" s="66"/>
      <c r="H646" s="18"/>
      <c r="I646" s="18"/>
      <c r="J646" s="18"/>
      <c r="K646" s="65"/>
      <c r="L646" s="66"/>
      <c r="M646" s="65"/>
      <c r="N646" s="66"/>
      <c r="O646" s="65"/>
      <c r="P646" s="18"/>
      <c r="Q646" s="18"/>
      <c r="R646" s="18"/>
      <c r="S646" s="18"/>
      <c r="T646" s="18"/>
      <c r="U646" s="18"/>
      <c r="V646" s="18"/>
      <c r="W646" s="18"/>
      <c r="X646" s="18"/>
      <c r="Y646" s="18"/>
    </row>
    <row r="647">
      <c r="A647" s="67"/>
      <c r="B647" s="66"/>
      <c r="C647" s="18"/>
      <c r="D647" s="18"/>
      <c r="E647" s="18"/>
      <c r="F647" s="65"/>
      <c r="G647" s="66"/>
      <c r="H647" s="18"/>
      <c r="I647" s="18"/>
      <c r="J647" s="18"/>
      <c r="K647" s="65"/>
      <c r="L647" s="66"/>
      <c r="M647" s="65"/>
      <c r="N647" s="66"/>
      <c r="O647" s="65"/>
      <c r="P647" s="18"/>
      <c r="Q647" s="18"/>
      <c r="R647" s="18"/>
      <c r="S647" s="18"/>
      <c r="T647" s="18"/>
      <c r="U647" s="18"/>
      <c r="V647" s="18"/>
      <c r="W647" s="18"/>
      <c r="X647" s="18"/>
      <c r="Y647" s="18"/>
    </row>
    <row r="648">
      <c r="A648" s="67"/>
      <c r="B648" s="66"/>
      <c r="C648" s="18"/>
      <c r="D648" s="18"/>
      <c r="E648" s="18"/>
      <c r="F648" s="65"/>
      <c r="G648" s="66"/>
      <c r="H648" s="18"/>
      <c r="I648" s="18"/>
      <c r="J648" s="18"/>
      <c r="K648" s="65"/>
      <c r="L648" s="66"/>
      <c r="M648" s="65"/>
      <c r="N648" s="66"/>
      <c r="O648" s="65"/>
      <c r="P648" s="18"/>
      <c r="Q648" s="18"/>
      <c r="R648" s="18"/>
      <c r="S648" s="18"/>
      <c r="T648" s="18"/>
      <c r="U648" s="18"/>
      <c r="V648" s="18"/>
      <c r="W648" s="18"/>
      <c r="X648" s="18"/>
      <c r="Y648" s="18"/>
    </row>
    <row r="649">
      <c r="A649" s="67"/>
      <c r="B649" s="66"/>
      <c r="C649" s="18"/>
      <c r="D649" s="18"/>
      <c r="E649" s="18"/>
      <c r="F649" s="65"/>
      <c r="G649" s="66"/>
      <c r="H649" s="18"/>
      <c r="I649" s="18"/>
      <c r="J649" s="18"/>
      <c r="K649" s="65"/>
      <c r="L649" s="66"/>
      <c r="M649" s="65"/>
      <c r="N649" s="66"/>
      <c r="O649" s="65"/>
      <c r="P649" s="18"/>
      <c r="Q649" s="18"/>
      <c r="R649" s="18"/>
      <c r="S649" s="18"/>
      <c r="T649" s="18"/>
      <c r="U649" s="18"/>
      <c r="V649" s="18"/>
      <c r="W649" s="18"/>
      <c r="X649" s="18"/>
      <c r="Y649" s="18"/>
    </row>
    <row r="650">
      <c r="A650" s="67"/>
      <c r="B650" s="66"/>
      <c r="C650" s="18"/>
      <c r="D650" s="18"/>
      <c r="E650" s="18"/>
      <c r="F650" s="65"/>
      <c r="G650" s="66"/>
      <c r="H650" s="18"/>
      <c r="I650" s="18"/>
      <c r="J650" s="18"/>
      <c r="K650" s="65"/>
      <c r="L650" s="66"/>
      <c r="M650" s="65"/>
      <c r="N650" s="66"/>
      <c r="O650" s="65"/>
      <c r="P650" s="18"/>
      <c r="Q650" s="18"/>
      <c r="R650" s="18"/>
      <c r="S650" s="18"/>
      <c r="T650" s="18"/>
      <c r="U650" s="18"/>
      <c r="V650" s="18"/>
      <c r="W650" s="18"/>
      <c r="X650" s="18"/>
      <c r="Y650" s="18"/>
    </row>
    <row r="651">
      <c r="A651" s="67"/>
      <c r="B651" s="66"/>
      <c r="C651" s="18"/>
      <c r="D651" s="18"/>
      <c r="E651" s="18"/>
      <c r="F651" s="65"/>
      <c r="G651" s="66"/>
      <c r="H651" s="18"/>
      <c r="I651" s="18"/>
      <c r="J651" s="18"/>
      <c r="K651" s="65"/>
      <c r="L651" s="66"/>
      <c r="M651" s="65"/>
      <c r="N651" s="66"/>
      <c r="O651" s="65"/>
      <c r="P651" s="18"/>
      <c r="Q651" s="18"/>
      <c r="R651" s="18"/>
      <c r="S651" s="18"/>
      <c r="T651" s="18"/>
      <c r="U651" s="18"/>
      <c r="V651" s="18"/>
      <c r="W651" s="18"/>
      <c r="X651" s="18"/>
      <c r="Y651" s="18"/>
    </row>
    <row r="652">
      <c r="A652" s="67"/>
      <c r="B652" s="66"/>
      <c r="C652" s="18"/>
      <c r="D652" s="18"/>
      <c r="E652" s="18"/>
      <c r="F652" s="65"/>
      <c r="G652" s="66"/>
      <c r="H652" s="18"/>
      <c r="I652" s="18"/>
      <c r="J652" s="18"/>
      <c r="K652" s="65"/>
      <c r="L652" s="66"/>
      <c r="M652" s="65"/>
      <c r="N652" s="66"/>
      <c r="O652" s="65"/>
      <c r="P652" s="18"/>
      <c r="Q652" s="18"/>
      <c r="R652" s="18"/>
      <c r="S652" s="18"/>
      <c r="T652" s="18"/>
      <c r="U652" s="18"/>
      <c r="V652" s="18"/>
      <c r="W652" s="18"/>
      <c r="X652" s="18"/>
      <c r="Y652" s="18"/>
    </row>
    <row r="653">
      <c r="A653" s="67"/>
      <c r="B653" s="66"/>
      <c r="C653" s="18"/>
      <c r="D653" s="18"/>
      <c r="E653" s="18"/>
      <c r="F653" s="65"/>
      <c r="G653" s="66"/>
      <c r="H653" s="18"/>
      <c r="I653" s="18"/>
      <c r="J653" s="18"/>
      <c r="K653" s="65"/>
      <c r="L653" s="66"/>
      <c r="M653" s="65"/>
      <c r="N653" s="66"/>
      <c r="O653" s="65"/>
      <c r="P653" s="18"/>
      <c r="Q653" s="18"/>
      <c r="R653" s="18"/>
      <c r="S653" s="18"/>
      <c r="T653" s="18"/>
      <c r="U653" s="18"/>
      <c r="V653" s="18"/>
      <c r="W653" s="18"/>
      <c r="X653" s="18"/>
      <c r="Y653" s="18"/>
    </row>
    <row r="654">
      <c r="A654" s="67"/>
      <c r="B654" s="66"/>
      <c r="C654" s="18"/>
      <c r="D654" s="18"/>
      <c r="E654" s="18"/>
      <c r="F654" s="65"/>
      <c r="G654" s="66"/>
      <c r="H654" s="18"/>
      <c r="I654" s="18"/>
      <c r="J654" s="18"/>
      <c r="K654" s="65"/>
      <c r="L654" s="66"/>
      <c r="M654" s="65"/>
      <c r="N654" s="66"/>
      <c r="O654" s="65"/>
      <c r="P654" s="18"/>
      <c r="Q654" s="18"/>
      <c r="R654" s="18"/>
      <c r="S654" s="18"/>
      <c r="T654" s="18"/>
      <c r="U654" s="18"/>
      <c r="V654" s="18"/>
      <c r="W654" s="18"/>
      <c r="X654" s="18"/>
      <c r="Y654" s="18"/>
    </row>
    <row r="655">
      <c r="A655" s="67"/>
      <c r="B655" s="66"/>
      <c r="C655" s="18"/>
      <c r="D655" s="18"/>
      <c r="E655" s="18"/>
      <c r="F655" s="65"/>
      <c r="G655" s="66"/>
      <c r="H655" s="18"/>
      <c r="I655" s="18"/>
      <c r="J655" s="18"/>
      <c r="K655" s="65"/>
      <c r="L655" s="66"/>
      <c r="M655" s="65"/>
      <c r="N655" s="66"/>
      <c r="O655" s="65"/>
      <c r="P655" s="18"/>
      <c r="Q655" s="18"/>
      <c r="R655" s="18"/>
      <c r="S655" s="18"/>
      <c r="T655" s="18"/>
      <c r="U655" s="18"/>
      <c r="V655" s="18"/>
      <c r="W655" s="18"/>
      <c r="X655" s="18"/>
      <c r="Y655" s="18"/>
    </row>
    <row r="656">
      <c r="A656" s="67"/>
      <c r="B656" s="66"/>
      <c r="C656" s="18"/>
      <c r="D656" s="18"/>
      <c r="E656" s="18"/>
      <c r="F656" s="65"/>
      <c r="G656" s="66"/>
      <c r="H656" s="18"/>
      <c r="I656" s="18"/>
      <c r="J656" s="18"/>
      <c r="K656" s="65"/>
      <c r="L656" s="66"/>
      <c r="M656" s="65"/>
      <c r="N656" s="66"/>
      <c r="O656" s="65"/>
      <c r="P656" s="18"/>
      <c r="Q656" s="18"/>
      <c r="R656" s="18"/>
      <c r="S656" s="18"/>
      <c r="T656" s="18"/>
      <c r="U656" s="18"/>
      <c r="V656" s="18"/>
      <c r="W656" s="18"/>
      <c r="X656" s="18"/>
      <c r="Y656" s="18"/>
    </row>
    <row r="657">
      <c r="A657" s="67"/>
      <c r="B657" s="66"/>
      <c r="C657" s="18"/>
      <c r="D657" s="18"/>
      <c r="E657" s="18"/>
      <c r="F657" s="65"/>
      <c r="G657" s="66"/>
      <c r="H657" s="18"/>
      <c r="I657" s="18"/>
      <c r="J657" s="18"/>
      <c r="K657" s="65"/>
      <c r="L657" s="66"/>
      <c r="M657" s="65"/>
      <c r="N657" s="66"/>
      <c r="O657" s="65"/>
      <c r="P657" s="18"/>
      <c r="Q657" s="18"/>
      <c r="R657" s="18"/>
      <c r="S657" s="18"/>
      <c r="T657" s="18"/>
      <c r="U657" s="18"/>
      <c r="V657" s="18"/>
      <c r="W657" s="18"/>
      <c r="X657" s="18"/>
      <c r="Y657" s="18"/>
    </row>
    <row r="658">
      <c r="A658" s="67"/>
      <c r="B658" s="66"/>
      <c r="C658" s="18"/>
      <c r="D658" s="18"/>
      <c r="E658" s="18"/>
      <c r="F658" s="65"/>
      <c r="G658" s="66"/>
      <c r="H658" s="18"/>
      <c r="I658" s="18"/>
      <c r="J658" s="18"/>
      <c r="K658" s="65"/>
      <c r="L658" s="66"/>
      <c r="M658" s="65"/>
      <c r="N658" s="66"/>
      <c r="O658" s="65"/>
      <c r="P658" s="18"/>
      <c r="Q658" s="18"/>
      <c r="R658" s="18"/>
      <c r="S658" s="18"/>
      <c r="T658" s="18"/>
      <c r="U658" s="18"/>
      <c r="V658" s="18"/>
      <c r="W658" s="18"/>
      <c r="X658" s="18"/>
      <c r="Y658" s="18"/>
    </row>
    <row r="659">
      <c r="A659" s="67"/>
      <c r="B659" s="66"/>
      <c r="C659" s="18"/>
      <c r="D659" s="18"/>
      <c r="E659" s="18"/>
      <c r="F659" s="65"/>
      <c r="G659" s="66"/>
      <c r="H659" s="18"/>
      <c r="I659" s="18"/>
      <c r="J659" s="18"/>
      <c r="K659" s="65"/>
      <c r="L659" s="66"/>
      <c r="M659" s="65"/>
      <c r="N659" s="66"/>
      <c r="O659" s="65"/>
      <c r="P659" s="18"/>
      <c r="Q659" s="18"/>
      <c r="R659" s="18"/>
      <c r="S659" s="18"/>
      <c r="T659" s="18"/>
      <c r="U659" s="18"/>
      <c r="V659" s="18"/>
      <c r="W659" s="18"/>
      <c r="X659" s="18"/>
      <c r="Y659" s="18"/>
    </row>
    <row r="660">
      <c r="A660" s="67"/>
      <c r="B660" s="66"/>
      <c r="C660" s="18"/>
      <c r="D660" s="18"/>
      <c r="E660" s="18"/>
      <c r="F660" s="65"/>
      <c r="G660" s="66"/>
      <c r="H660" s="18"/>
      <c r="I660" s="18"/>
      <c r="J660" s="18"/>
      <c r="K660" s="65"/>
      <c r="L660" s="66"/>
      <c r="M660" s="65"/>
      <c r="N660" s="66"/>
      <c r="O660" s="65"/>
      <c r="P660" s="18"/>
      <c r="Q660" s="18"/>
      <c r="R660" s="18"/>
      <c r="S660" s="18"/>
      <c r="T660" s="18"/>
      <c r="U660" s="18"/>
      <c r="V660" s="18"/>
      <c r="W660" s="18"/>
      <c r="X660" s="18"/>
      <c r="Y660" s="18"/>
    </row>
    <row r="661">
      <c r="A661" s="67"/>
      <c r="B661" s="66"/>
      <c r="C661" s="18"/>
      <c r="D661" s="18"/>
      <c r="E661" s="18"/>
      <c r="F661" s="65"/>
      <c r="G661" s="66"/>
      <c r="H661" s="18"/>
      <c r="I661" s="18"/>
      <c r="J661" s="18"/>
      <c r="K661" s="65"/>
      <c r="L661" s="66"/>
      <c r="M661" s="65"/>
      <c r="N661" s="66"/>
      <c r="O661" s="65"/>
      <c r="P661" s="18"/>
      <c r="Q661" s="18"/>
      <c r="R661" s="18"/>
      <c r="S661" s="18"/>
      <c r="T661" s="18"/>
      <c r="U661" s="18"/>
      <c r="V661" s="18"/>
      <c r="W661" s="18"/>
      <c r="X661" s="18"/>
      <c r="Y661" s="18"/>
    </row>
    <row r="662">
      <c r="A662" s="67"/>
      <c r="B662" s="66"/>
      <c r="C662" s="18"/>
      <c r="D662" s="18"/>
      <c r="E662" s="18"/>
      <c r="F662" s="65"/>
      <c r="G662" s="66"/>
      <c r="H662" s="18"/>
      <c r="I662" s="18"/>
      <c r="J662" s="18"/>
      <c r="K662" s="65"/>
      <c r="L662" s="66"/>
      <c r="M662" s="65"/>
      <c r="N662" s="66"/>
      <c r="O662" s="65"/>
      <c r="P662" s="18"/>
      <c r="Q662" s="18"/>
      <c r="R662" s="18"/>
      <c r="S662" s="18"/>
      <c r="T662" s="18"/>
      <c r="U662" s="18"/>
      <c r="V662" s="18"/>
      <c r="W662" s="18"/>
      <c r="X662" s="18"/>
      <c r="Y662" s="18"/>
    </row>
    <row r="663">
      <c r="A663" s="67"/>
      <c r="B663" s="66"/>
      <c r="C663" s="18"/>
      <c r="D663" s="18"/>
      <c r="E663" s="18"/>
      <c r="F663" s="65"/>
      <c r="G663" s="66"/>
      <c r="H663" s="18"/>
      <c r="I663" s="18"/>
      <c r="J663" s="18"/>
      <c r="K663" s="65"/>
      <c r="L663" s="66"/>
      <c r="M663" s="65"/>
      <c r="N663" s="66"/>
      <c r="O663" s="65"/>
      <c r="P663" s="18"/>
      <c r="Q663" s="18"/>
      <c r="R663" s="18"/>
      <c r="S663" s="18"/>
      <c r="T663" s="18"/>
      <c r="U663" s="18"/>
      <c r="V663" s="18"/>
      <c r="W663" s="18"/>
      <c r="X663" s="18"/>
      <c r="Y663" s="18"/>
    </row>
    <row r="664">
      <c r="A664" s="67"/>
      <c r="B664" s="66"/>
      <c r="C664" s="18"/>
      <c r="D664" s="18"/>
      <c r="E664" s="18"/>
      <c r="F664" s="65"/>
      <c r="G664" s="66"/>
      <c r="H664" s="18"/>
      <c r="I664" s="18"/>
      <c r="J664" s="18"/>
      <c r="K664" s="65"/>
      <c r="L664" s="66"/>
      <c r="M664" s="65"/>
      <c r="N664" s="66"/>
      <c r="O664" s="65"/>
      <c r="P664" s="18"/>
      <c r="Q664" s="18"/>
      <c r="R664" s="18"/>
      <c r="S664" s="18"/>
      <c r="T664" s="18"/>
      <c r="U664" s="18"/>
      <c r="V664" s="18"/>
      <c r="W664" s="18"/>
      <c r="X664" s="18"/>
      <c r="Y664" s="18"/>
    </row>
    <row r="665">
      <c r="A665" s="67"/>
      <c r="B665" s="66"/>
      <c r="C665" s="18"/>
      <c r="D665" s="18"/>
      <c r="E665" s="18"/>
      <c r="F665" s="65"/>
      <c r="G665" s="66"/>
      <c r="H665" s="18"/>
      <c r="I665" s="18"/>
      <c r="J665" s="18"/>
      <c r="K665" s="65"/>
      <c r="L665" s="66"/>
      <c r="M665" s="65"/>
      <c r="N665" s="66"/>
      <c r="O665" s="65"/>
      <c r="P665" s="18"/>
      <c r="Q665" s="18"/>
      <c r="R665" s="18"/>
      <c r="S665" s="18"/>
      <c r="T665" s="18"/>
      <c r="U665" s="18"/>
      <c r="V665" s="18"/>
      <c r="W665" s="18"/>
      <c r="X665" s="18"/>
      <c r="Y665" s="18"/>
    </row>
    <row r="666">
      <c r="A666" s="67"/>
      <c r="B666" s="66"/>
      <c r="C666" s="18"/>
      <c r="D666" s="18"/>
      <c r="E666" s="18"/>
      <c r="F666" s="65"/>
      <c r="G666" s="66"/>
      <c r="H666" s="18"/>
      <c r="I666" s="18"/>
      <c r="J666" s="18"/>
      <c r="K666" s="65"/>
      <c r="L666" s="66"/>
      <c r="M666" s="65"/>
      <c r="N666" s="66"/>
      <c r="O666" s="65"/>
      <c r="P666" s="18"/>
      <c r="Q666" s="18"/>
      <c r="R666" s="18"/>
      <c r="S666" s="18"/>
      <c r="T666" s="18"/>
      <c r="U666" s="18"/>
      <c r="V666" s="18"/>
      <c r="W666" s="18"/>
      <c r="X666" s="18"/>
      <c r="Y666" s="18"/>
    </row>
    <row r="667">
      <c r="A667" s="67"/>
      <c r="B667" s="66"/>
      <c r="C667" s="18"/>
      <c r="D667" s="18"/>
      <c r="E667" s="18"/>
      <c r="F667" s="65"/>
      <c r="G667" s="66"/>
      <c r="H667" s="18"/>
      <c r="I667" s="18"/>
      <c r="J667" s="18"/>
      <c r="K667" s="65"/>
      <c r="L667" s="66"/>
      <c r="M667" s="65"/>
      <c r="N667" s="66"/>
      <c r="O667" s="65"/>
      <c r="P667" s="18"/>
      <c r="Q667" s="18"/>
      <c r="R667" s="18"/>
      <c r="S667" s="18"/>
      <c r="T667" s="18"/>
      <c r="U667" s="18"/>
      <c r="V667" s="18"/>
      <c r="W667" s="18"/>
      <c r="X667" s="18"/>
      <c r="Y667" s="18"/>
    </row>
    <row r="668">
      <c r="A668" s="67"/>
      <c r="B668" s="66"/>
      <c r="C668" s="18"/>
      <c r="D668" s="18"/>
      <c r="E668" s="18"/>
      <c r="F668" s="65"/>
      <c r="G668" s="66"/>
      <c r="H668" s="18"/>
      <c r="I668" s="18"/>
      <c r="J668" s="18"/>
      <c r="K668" s="65"/>
      <c r="L668" s="66"/>
      <c r="M668" s="65"/>
      <c r="N668" s="66"/>
      <c r="O668" s="65"/>
      <c r="P668" s="18"/>
      <c r="Q668" s="18"/>
      <c r="R668" s="18"/>
      <c r="S668" s="18"/>
      <c r="T668" s="18"/>
      <c r="U668" s="18"/>
      <c r="V668" s="18"/>
      <c r="W668" s="18"/>
      <c r="X668" s="18"/>
      <c r="Y668" s="18"/>
    </row>
    <row r="669">
      <c r="A669" s="67"/>
      <c r="B669" s="66"/>
      <c r="C669" s="18"/>
      <c r="D669" s="18"/>
      <c r="E669" s="18"/>
      <c r="F669" s="65"/>
      <c r="G669" s="66"/>
      <c r="H669" s="18"/>
      <c r="I669" s="18"/>
      <c r="J669" s="18"/>
      <c r="K669" s="65"/>
      <c r="L669" s="66"/>
      <c r="M669" s="65"/>
      <c r="N669" s="66"/>
      <c r="O669" s="65"/>
      <c r="P669" s="18"/>
      <c r="Q669" s="18"/>
      <c r="R669" s="18"/>
      <c r="S669" s="18"/>
      <c r="T669" s="18"/>
      <c r="U669" s="18"/>
      <c r="V669" s="18"/>
      <c r="W669" s="18"/>
      <c r="X669" s="18"/>
      <c r="Y669" s="18"/>
    </row>
    <row r="670">
      <c r="A670" s="67"/>
      <c r="B670" s="66"/>
      <c r="C670" s="18"/>
      <c r="D670" s="18"/>
      <c r="E670" s="18"/>
      <c r="F670" s="65"/>
      <c r="G670" s="66"/>
      <c r="H670" s="18"/>
      <c r="I670" s="18"/>
      <c r="J670" s="18"/>
      <c r="K670" s="65"/>
      <c r="L670" s="66"/>
      <c r="M670" s="65"/>
      <c r="N670" s="66"/>
      <c r="O670" s="65"/>
      <c r="P670" s="18"/>
      <c r="Q670" s="18"/>
      <c r="R670" s="18"/>
      <c r="S670" s="18"/>
      <c r="T670" s="18"/>
      <c r="U670" s="18"/>
      <c r="V670" s="18"/>
      <c r="W670" s="18"/>
      <c r="X670" s="18"/>
      <c r="Y670" s="18"/>
    </row>
    <row r="671">
      <c r="A671" s="67"/>
      <c r="B671" s="66"/>
      <c r="C671" s="18"/>
      <c r="D671" s="18"/>
      <c r="E671" s="18"/>
      <c r="F671" s="65"/>
      <c r="G671" s="66"/>
      <c r="H671" s="18"/>
      <c r="I671" s="18"/>
      <c r="J671" s="18"/>
      <c r="K671" s="65"/>
      <c r="L671" s="66"/>
      <c r="M671" s="65"/>
      <c r="N671" s="66"/>
      <c r="O671" s="65"/>
      <c r="P671" s="18"/>
      <c r="Q671" s="18"/>
      <c r="R671" s="18"/>
      <c r="S671" s="18"/>
      <c r="T671" s="18"/>
      <c r="U671" s="18"/>
      <c r="V671" s="18"/>
      <c r="W671" s="18"/>
      <c r="X671" s="18"/>
      <c r="Y671" s="18"/>
    </row>
    <row r="672">
      <c r="A672" s="67"/>
      <c r="B672" s="66"/>
      <c r="C672" s="18"/>
      <c r="D672" s="18"/>
      <c r="E672" s="18"/>
      <c r="F672" s="65"/>
      <c r="G672" s="66"/>
      <c r="H672" s="18"/>
      <c r="I672" s="18"/>
      <c r="J672" s="18"/>
      <c r="K672" s="65"/>
      <c r="L672" s="66"/>
      <c r="M672" s="65"/>
      <c r="N672" s="66"/>
      <c r="O672" s="65"/>
      <c r="P672" s="18"/>
      <c r="Q672" s="18"/>
      <c r="R672" s="18"/>
      <c r="S672" s="18"/>
      <c r="T672" s="18"/>
      <c r="U672" s="18"/>
      <c r="V672" s="18"/>
      <c r="W672" s="18"/>
      <c r="X672" s="18"/>
      <c r="Y672" s="18"/>
    </row>
    <row r="673">
      <c r="A673" s="67"/>
      <c r="B673" s="66"/>
      <c r="C673" s="18"/>
      <c r="D673" s="18"/>
      <c r="E673" s="18"/>
      <c r="F673" s="65"/>
      <c r="G673" s="66"/>
      <c r="H673" s="18"/>
      <c r="I673" s="18"/>
      <c r="J673" s="18"/>
      <c r="K673" s="65"/>
      <c r="L673" s="66"/>
      <c r="M673" s="65"/>
      <c r="N673" s="66"/>
      <c r="O673" s="65"/>
      <c r="P673" s="18"/>
      <c r="Q673" s="18"/>
      <c r="R673" s="18"/>
      <c r="S673" s="18"/>
      <c r="T673" s="18"/>
      <c r="U673" s="18"/>
      <c r="V673" s="18"/>
      <c r="W673" s="18"/>
      <c r="X673" s="18"/>
      <c r="Y673" s="18"/>
    </row>
    <row r="674">
      <c r="A674" s="67"/>
      <c r="B674" s="66"/>
      <c r="C674" s="18"/>
      <c r="D674" s="18"/>
      <c r="E674" s="18"/>
      <c r="F674" s="65"/>
      <c r="G674" s="66"/>
      <c r="H674" s="18"/>
      <c r="I674" s="18"/>
      <c r="J674" s="18"/>
      <c r="K674" s="65"/>
      <c r="L674" s="66"/>
      <c r="M674" s="65"/>
      <c r="N674" s="66"/>
      <c r="O674" s="65"/>
      <c r="P674" s="18"/>
      <c r="Q674" s="18"/>
      <c r="R674" s="18"/>
      <c r="S674" s="18"/>
      <c r="T674" s="18"/>
      <c r="U674" s="18"/>
      <c r="V674" s="18"/>
      <c r="W674" s="18"/>
      <c r="X674" s="18"/>
      <c r="Y674" s="18"/>
    </row>
    <row r="675">
      <c r="A675" s="67"/>
      <c r="B675" s="66"/>
      <c r="C675" s="18"/>
      <c r="D675" s="18"/>
      <c r="E675" s="18"/>
      <c r="F675" s="65"/>
      <c r="G675" s="66"/>
      <c r="H675" s="18"/>
      <c r="I675" s="18"/>
      <c r="J675" s="18"/>
      <c r="K675" s="65"/>
      <c r="L675" s="66"/>
      <c r="M675" s="65"/>
      <c r="N675" s="66"/>
      <c r="O675" s="65"/>
      <c r="P675" s="18"/>
      <c r="Q675" s="18"/>
      <c r="R675" s="18"/>
      <c r="S675" s="18"/>
      <c r="T675" s="18"/>
      <c r="U675" s="18"/>
      <c r="V675" s="18"/>
      <c r="W675" s="18"/>
      <c r="X675" s="18"/>
      <c r="Y675" s="18"/>
    </row>
    <row r="676">
      <c r="A676" s="67"/>
      <c r="B676" s="66"/>
      <c r="C676" s="18"/>
      <c r="D676" s="18"/>
      <c r="E676" s="18"/>
      <c r="F676" s="65"/>
      <c r="G676" s="66"/>
      <c r="H676" s="18"/>
      <c r="I676" s="18"/>
      <c r="J676" s="18"/>
      <c r="K676" s="65"/>
      <c r="L676" s="66"/>
      <c r="M676" s="65"/>
      <c r="N676" s="66"/>
      <c r="O676" s="65"/>
      <c r="P676" s="18"/>
      <c r="Q676" s="18"/>
      <c r="R676" s="18"/>
      <c r="S676" s="18"/>
      <c r="T676" s="18"/>
      <c r="U676" s="18"/>
      <c r="V676" s="18"/>
      <c r="W676" s="18"/>
      <c r="X676" s="18"/>
      <c r="Y676" s="18"/>
    </row>
    <row r="677">
      <c r="A677" s="67"/>
      <c r="B677" s="66"/>
      <c r="C677" s="18"/>
      <c r="D677" s="18"/>
      <c r="E677" s="18"/>
      <c r="F677" s="65"/>
      <c r="G677" s="66"/>
      <c r="H677" s="18"/>
      <c r="I677" s="18"/>
      <c r="J677" s="18"/>
      <c r="K677" s="65"/>
      <c r="L677" s="66"/>
      <c r="M677" s="65"/>
      <c r="N677" s="66"/>
      <c r="O677" s="65"/>
      <c r="P677" s="18"/>
      <c r="Q677" s="18"/>
      <c r="R677" s="18"/>
      <c r="S677" s="18"/>
      <c r="T677" s="18"/>
      <c r="U677" s="18"/>
      <c r="V677" s="18"/>
      <c r="W677" s="18"/>
      <c r="X677" s="18"/>
      <c r="Y677" s="18"/>
    </row>
    <row r="678">
      <c r="A678" s="67"/>
      <c r="B678" s="66"/>
      <c r="C678" s="18"/>
      <c r="D678" s="18"/>
      <c r="E678" s="18"/>
      <c r="F678" s="65"/>
      <c r="G678" s="66"/>
      <c r="H678" s="18"/>
      <c r="I678" s="18"/>
      <c r="J678" s="18"/>
      <c r="K678" s="65"/>
      <c r="L678" s="66"/>
      <c r="M678" s="65"/>
      <c r="N678" s="66"/>
      <c r="O678" s="65"/>
      <c r="P678" s="18"/>
      <c r="Q678" s="18"/>
      <c r="R678" s="18"/>
      <c r="S678" s="18"/>
      <c r="T678" s="18"/>
      <c r="U678" s="18"/>
      <c r="V678" s="18"/>
      <c r="W678" s="18"/>
      <c r="X678" s="18"/>
      <c r="Y678" s="18"/>
    </row>
    <row r="679">
      <c r="A679" s="67"/>
      <c r="B679" s="66"/>
      <c r="C679" s="18"/>
      <c r="D679" s="18"/>
      <c r="E679" s="18"/>
      <c r="F679" s="65"/>
      <c r="G679" s="66"/>
      <c r="H679" s="18"/>
      <c r="I679" s="18"/>
      <c r="J679" s="18"/>
      <c r="K679" s="65"/>
      <c r="L679" s="66"/>
      <c r="M679" s="65"/>
      <c r="N679" s="66"/>
      <c r="O679" s="65"/>
      <c r="P679" s="18"/>
      <c r="Q679" s="18"/>
      <c r="R679" s="18"/>
      <c r="S679" s="18"/>
      <c r="T679" s="18"/>
      <c r="U679" s="18"/>
      <c r="V679" s="18"/>
      <c r="W679" s="18"/>
      <c r="X679" s="18"/>
      <c r="Y679" s="18"/>
    </row>
    <row r="680">
      <c r="A680" s="67"/>
      <c r="B680" s="66"/>
      <c r="C680" s="18"/>
      <c r="D680" s="18"/>
      <c r="E680" s="18"/>
      <c r="F680" s="65"/>
      <c r="G680" s="66"/>
      <c r="H680" s="18"/>
      <c r="I680" s="18"/>
      <c r="J680" s="18"/>
      <c r="K680" s="65"/>
      <c r="L680" s="66"/>
      <c r="M680" s="65"/>
      <c r="N680" s="66"/>
      <c r="O680" s="65"/>
      <c r="P680" s="18"/>
      <c r="Q680" s="18"/>
      <c r="R680" s="18"/>
      <c r="S680" s="18"/>
      <c r="T680" s="18"/>
      <c r="U680" s="18"/>
      <c r="V680" s="18"/>
      <c r="W680" s="18"/>
      <c r="X680" s="18"/>
      <c r="Y680" s="18"/>
    </row>
    <row r="681">
      <c r="A681" s="67"/>
      <c r="B681" s="66"/>
      <c r="C681" s="18"/>
      <c r="D681" s="18"/>
      <c r="E681" s="18"/>
      <c r="F681" s="65"/>
      <c r="G681" s="66"/>
      <c r="H681" s="18"/>
      <c r="I681" s="18"/>
      <c r="J681" s="18"/>
      <c r="K681" s="65"/>
      <c r="L681" s="66"/>
      <c r="M681" s="65"/>
      <c r="N681" s="66"/>
      <c r="O681" s="65"/>
      <c r="P681" s="18"/>
      <c r="Q681" s="18"/>
      <c r="R681" s="18"/>
      <c r="S681" s="18"/>
      <c r="T681" s="18"/>
      <c r="U681" s="18"/>
      <c r="V681" s="18"/>
      <c r="W681" s="18"/>
      <c r="X681" s="18"/>
      <c r="Y681" s="18"/>
    </row>
    <row r="682">
      <c r="A682" s="67"/>
      <c r="B682" s="66"/>
      <c r="C682" s="18"/>
      <c r="D682" s="18"/>
      <c r="E682" s="18"/>
      <c r="F682" s="65"/>
      <c r="G682" s="66"/>
      <c r="H682" s="18"/>
      <c r="I682" s="18"/>
      <c r="J682" s="18"/>
      <c r="K682" s="65"/>
      <c r="L682" s="66"/>
      <c r="M682" s="65"/>
      <c r="N682" s="66"/>
      <c r="O682" s="65"/>
      <c r="P682" s="18"/>
      <c r="Q682" s="18"/>
      <c r="R682" s="18"/>
      <c r="S682" s="18"/>
      <c r="T682" s="18"/>
      <c r="U682" s="18"/>
      <c r="V682" s="18"/>
      <c r="W682" s="18"/>
      <c r="X682" s="18"/>
      <c r="Y682" s="18"/>
    </row>
    <row r="683">
      <c r="A683" s="67"/>
      <c r="B683" s="66"/>
      <c r="C683" s="18"/>
      <c r="D683" s="18"/>
      <c r="E683" s="18"/>
      <c r="F683" s="65"/>
      <c r="G683" s="66"/>
      <c r="H683" s="18"/>
      <c r="I683" s="18"/>
      <c r="J683" s="18"/>
      <c r="K683" s="65"/>
      <c r="L683" s="66"/>
      <c r="M683" s="65"/>
      <c r="N683" s="66"/>
      <c r="O683" s="65"/>
      <c r="P683" s="18"/>
      <c r="Q683" s="18"/>
      <c r="R683" s="18"/>
      <c r="S683" s="18"/>
      <c r="T683" s="18"/>
      <c r="U683" s="18"/>
      <c r="V683" s="18"/>
      <c r="W683" s="18"/>
      <c r="X683" s="18"/>
      <c r="Y683" s="18"/>
    </row>
    <row r="684">
      <c r="A684" s="67"/>
      <c r="B684" s="66"/>
      <c r="C684" s="18"/>
      <c r="D684" s="18"/>
      <c r="E684" s="18"/>
      <c r="F684" s="65"/>
      <c r="G684" s="66"/>
      <c r="H684" s="18"/>
      <c r="I684" s="18"/>
      <c r="J684" s="18"/>
      <c r="K684" s="65"/>
      <c r="L684" s="66"/>
      <c r="M684" s="65"/>
      <c r="N684" s="66"/>
      <c r="O684" s="65"/>
      <c r="P684" s="18"/>
      <c r="Q684" s="18"/>
      <c r="R684" s="18"/>
      <c r="S684" s="18"/>
      <c r="T684" s="18"/>
      <c r="U684" s="18"/>
      <c r="V684" s="18"/>
      <c r="W684" s="18"/>
      <c r="X684" s="18"/>
      <c r="Y684" s="18"/>
    </row>
    <row r="685">
      <c r="A685" s="67"/>
      <c r="B685" s="66"/>
      <c r="C685" s="18"/>
      <c r="D685" s="18"/>
      <c r="E685" s="18"/>
      <c r="F685" s="65"/>
      <c r="G685" s="66"/>
      <c r="H685" s="18"/>
      <c r="I685" s="18"/>
      <c r="J685" s="18"/>
      <c r="K685" s="65"/>
      <c r="L685" s="66"/>
      <c r="M685" s="65"/>
      <c r="N685" s="66"/>
      <c r="O685" s="65"/>
      <c r="P685" s="18"/>
      <c r="Q685" s="18"/>
      <c r="R685" s="18"/>
      <c r="S685" s="18"/>
      <c r="T685" s="18"/>
      <c r="U685" s="18"/>
      <c r="V685" s="18"/>
      <c r="W685" s="18"/>
      <c r="X685" s="18"/>
      <c r="Y685" s="18"/>
    </row>
    <row r="686">
      <c r="A686" s="67"/>
      <c r="B686" s="66"/>
      <c r="C686" s="18"/>
      <c r="D686" s="18"/>
      <c r="E686" s="18"/>
      <c r="F686" s="65"/>
      <c r="G686" s="66"/>
      <c r="H686" s="18"/>
      <c r="I686" s="18"/>
      <c r="J686" s="18"/>
      <c r="K686" s="65"/>
      <c r="L686" s="66"/>
      <c r="M686" s="65"/>
      <c r="N686" s="66"/>
      <c r="O686" s="65"/>
      <c r="P686" s="18"/>
      <c r="Q686" s="18"/>
      <c r="R686" s="18"/>
      <c r="S686" s="18"/>
      <c r="T686" s="18"/>
      <c r="U686" s="18"/>
      <c r="V686" s="18"/>
      <c r="W686" s="18"/>
      <c r="X686" s="18"/>
      <c r="Y686" s="18"/>
    </row>
    <row r="687">
      <c r="A687" s="67"/>
      <c r="B687" s="66"/>
      <c r="C687" s="18"/>
      <c r="D687" s="18"/>
      <c r="E687" s="18"/>
      <c r="F687" s="65"/>
      <c r="G687" s="66"/>
      <c r="H687" s="18"/>
      <c r="I687" s="18"/>
      <c r="J687" s="18"/>
      <c r="K687" s="65"/>
      <c r="L687" s="66"/>
      <c r="M687" s="65"/>
      <c r="N687" s="66"/>
      <c r="O687" s="65"/>
      <c r="P687" s="18"/>
      <c r="Q687" s="18"/>
      <c r="R687" s="18"/>
      <c r="S687" s="18"/>
      <c r="T687" s="18"/>
      <c r="U687" s="18"/>
      <c r="V687" s="18"/>
      <c r="W687" s="18"/>
      <c r="X687" s="18"/>
      <c r="Y687" s="18"/>
    </row>
    <row r="688">
      <c r="A688" s="67"/>
      <c r="B688" s="66"/>
      <c r="C688" s="18"/>
      <c r="D688" s="18"/>
      <c r="E688" s="18"/>
      <c r="F688" s="65"/>
      <c r="G688" s="66"/>
      <c r="H688" s="18"/>
      <c r="I688" s="18"/>
      <c r="J688" s="18"/>
      <c r="K688" s="65"/>
      <c r="L688" s="66"/>
      <c r="M688" s="65"/>
      <c r="N688" s="66"/>
      <c r="O688" s="65"/>
      <c r="P688" s="18"/>
      <c r="Q688" s="18"/>
      <c r="R688" s="18"/>
      <c r="S688" s="18"/>
      <c r="T688" s="18"/>
      <c r="U688" s="18"/>
      <c r="V688" s="18"/>
      <c r="W688" s="18"/>
      <c r="X688" s="18"/>
      <c r="Y688" s="18"/>
    </row>
    <row r="689">
      <c r="A689" s="67"/>
      <c r="B689" s="66"/>
      <c r="C689" s="18"/>
      <c r="D689" s="18"/>
      <c r="E689" s="18"/>
      <c r="F689" s="65"/>
      <c r="G689" s="66"/>
      <c r="H689" s="18"/>
      <c r="I689" s="18"/>
      <c r="J689" s="18"/>
      <c r="K689" s="65"/>
      <c r="L689" s="66"/>
      <c r="M689" s="65"/>
      <c r="N689" s="66"/>
      <c r="O689" s="65"/>
      <c r="P689" s="18"/>
      <c r="Q689" s="18"/>
      <c r="R689" s="18"/>
      <c r="S689" s="18"/>
      <c r="T689" s="18"/>
      <c r="U689" s="18"/>
      <c r="V689" s="18"/>
      <c r="W689" s="18"/>
      <c r="X689" s="18"/>
      <c r="Y689" s="18"/>
    </row>
    <row r="690">
      <c r="A690" s="67"/>
      <c r="B690" s="66"/>
      <c r="C690" s="18"/>
      <c r="D690" s="18"/>
      <c r="E690" s="18"/>
      <c r="F690" s="65"/>
      <c r="G690" s="66"/>
      <c r="H690" s="18"/>
      <c r="I690" s="18"/>
      <c r="J690" s="18"/>
      <c r="K690" s="65"/>
      <c r="L690" s="66"/>
      <c r="M690" s="65"/>
      <c r="N690" s="66"/>
      <c r="O690" s="65"/>
      <c r="P690" s="18"/>
      <c r="Q690" s="18"/>
      <c r="R690" s="18"/>
      <c r="S690" s="18"/>
      <c r="T690" s="18"/>
      <c r="U690" s="18"/>
      <c r="V690" s="18"/>
      <c r="W690" s="18"/>
      <c r="X690" s="18"/>
      <c r="Y690" s="18"/>
    </row>
    <row r="691">
      <c r="A691" s="67"/>
      <c r="B691" s="66"/>
      <c r="C691" s="18"/>
      <c r="D691" s="18"/>
      <c r="E691" s="18"/>
      <c r="F691" s="65"/>
      <c r="G691" s="66"/>
      <c r="H691" s="18"/>
      <c r="I691" s="18"/>
      <c r="J691" s="18"/>
      <c r="K691" s="65"/>
      <c r="L691" s="66"/>
      <c r="M691" s="65"/>
      <c r="N691" s="66"/>
      <c r="O691" s="65"/>
      <c r="P691" s="18"/>
      <c r="Q691" s="18"/>
      <c r="R691" s="18"/>
      <c r="S691" s="18"/>
      <c r="T691" s="18"/>
      <c r="U691" s="18"/>
      <c r="V691" s="18"/>
      <c r="W691" s="18"/>
      <c r="X691" s="18"/>
      <c r="Y691" s="18"/>
    </row>
    <row r="692">
      <c r="A692" s="67"/>
      <c r="B692" s="66"/>
      <c r="C692" s="18"/>
      <c r="D692" s="18"/>
      <c r="E692" s="18"/>
      <c r="F692" s="65"/>
      <c r="G692" s="66"/>
      <c r="H692" s="18"/>
      <c r="I692" s="18"/>
      <c r="J692" s="18"/>
      <c r="K692" s="65"/>
      <c r="L692" s="66"/>
      <c r="M692" s="65"/>
      <c r="N692" s="66"/>
      <c r="O692" s="65"/>
      <c r="P692" s="18"/>
      <c r="Q692" s="18"/>
      <c r="R692" s="18"/>
      <c r="S692" s="18"/>
      <c r="T692" s="18"/>
      <c r="U692" s="18"/>
      <c r="V692" s="18"/>
      <c r="W692" s="18"/>
      <c r="X692" s="18"/>
      <c r="Y692" s="18"/>
    </row>
    <row r="693">
      <c r="A693" s="67"/>
      <c r="B693" s="66"/>
      <c r="C693" s="18"/>
      <c r="D693" s="18"/>
      <c r="E693" s="18"/>
      <c r="F693" s="65"/>
      <c r="G693" s="66"/>
      <c r="H693" s="18"/>
      <c r="I693" s="18"/>
      <c r="J693" s="18"/>
      <c r="K693" s="65"/>
      <c r="L693" s="66"/>
      <c r="M693" s="65"/>
      <c r="N693" s="66"/>
      <c r="O693" s="65"/>
      <c r="P693" s="18"/>
      <c r="Q693" s="18"/>
      <c r="R693" s="18"/>
      <c r="S693" s="18"/>
      <c r="T693" s="18"/>
      <c r="U693" s="18"/>
      <c r="V693" s="18"/>
      <c r="W693" s="18"/>
      <c r="X693" s="18"/>
      <c r="Y693" s="18"/>
    </row>
    <row r="694">
      <c r="A694" s="67"/>
      <c r="B694" s="66"/>
      <c r="C694" s="18"/>
      <c r="D694" s="18"/>
      <c r="E694" s="18"/>
      <c r="F694" s="65"/>
      <c r="G694" s="66"/>
      <c r="H694" s="18"/>
      <c r="I694" s="18"/>
      <c r="J694" s="18"/>
      <c r="K694" s="65"/>
      <c r="L694" s="66"/>
      <c r="M694" s="65"/>
      <c r="N694" s="66"/>
      <c r="O694" s="65"/>
      <c r="P694" s="18"/>
      <c r="Q694" s="18"/>
      <c r="R694" s="18"/>
      <c r="S694" s="18"/>
      <c r="T694" s="18"/>
      <c r="U694" s="18"/>
      <c r="V694" s="18"/>
      <c r="W694" s="18"/>
      <c r="X694" s="18"/>
      <c r="Y694" s="18"/>
    </row>
    <row r="695">
      <c r="A695" s="67"/>
      <c r="B695" s="66"/>
      <c r="C695" s="18"/>
      <c r="D695" s="18"/>
      <c r="E695" s="18"/>
      <c r="F695" s="65"/>
      <c r="G695" s="66"/>
      <c r="H695" s="18"/>
      <c r="I695" s="18"/>
      <c r="J695" s="18"/>
      <c r="K695" s="65"/>
      <c r="L695" s="66"/>
      <c r="M695" s="65"/>
      <c r="N695" s="66"/>
      <c r="O695" s="65"/>
      <c r="P695" s="18"/>
      <c r="Q695" s="18"/>
      <c r="R695" s="18"/>
      <c r="S695" s="18"/>
      <c r="T695" s="18"/>
      <c r="U695" s="18"/>
      <c r="V695" s="18"/>
      <c r="W695" s="18"/>
      <c r="X695" s="18"/>
      <c r="Y695" s="18"/>
    </row>
    <row r="696">
      <c r="A696" s="67"/>
      <c r="B696" s="66"/>
      <c r="C696" s="18"/>
      <c r="D696" s="18"/>
      <c r="E696" s="18"/>
      <c r="F696" s="65"/>
      <c r="G696" s="66"/>
      <c r="H696" s="18"/>
      <c r="I696" s="18"/>
      <c r="J696" s="18"/>
      <c r="K696" s="65"/>
      <c r="L696" s="66"/>
      <c r="M696" s="65"/>
      <c r="N696" s="66"/>
      <c r="O696" s="65"/>
      <c r="P696" s="18"/>
      <c r="Q696" s="18"/>
      <c r="R696" s="18"/>
      <c r="S696" s="18"/>
      <c r="T696" s="18"/>
      <c r="U696" s="18"/>
      <c r="V696" s="18"/>
      <c r="W696" s="18"/>
      <c r="X696" s="18"/>
      <c r="Y696" s="18"/>
    </row>
    <row r="697">
      <c r="A697" s="67"/>
      <c r="B697" s="66"/>
      <c r="C697" s="18"/>
      <c r="D697" s="18"/>
      <c r="E697" s="18"/>
      <c r="F697" s="65"/>
      <c r="G697" s="66"/>
      <c r="H697" s="18"/>
      <c r="I697" s="18"/>
      <c r="J697" s="18"/>
      <c r="K697" s="65"/>
      <c r="L697" s="66"/>
      <c r="M697" s="65"/>
      <c r="N697" s="66"/>
      <c r="O697" s="65"/>
      <c r="P697" s="18"/>
      <c r="Q697" s="18"/>
      <c r="R697" s="18"/>
      <c r="S697" s="18"/>
      <c r="T697" s="18"/>
      <c r="U697" s="18"/>
      <c r="V697" s="18"/>
      <c r="W697" s="18"/>
      <c r="X697" s="18"/>
      <c r="Y697" s="18"/>
    </row>
    <row r="698">
      <c r="A698" s="67"/>
      <c r="B698" s="66"/>
      <c r="C698" s="18"/>
      <c r="D698" s="18"/>
      <c r="E698" s="18"/>
      <c r="F698" s="65"/>
      <c r="G698" s="66"/>
      <c r="H698" s="18"/>
      <c r="I698" s="18"/>
      <c r="J698" s="18"/>
      <c r="K698" s="65"/>
      <c r="L698" s="66"/>
      <c r="M698" s="65"/>
      <c r="N698" s="66"/>
      <c r="O698" s="65"/>
      <c r="P698" s="18"/>
      <c r="Q698" s="18"/>
      <c r="R698" s="18"/>
      <c r="S698" s="18"/>
      <c r="T698" s="18"/>
      <c r="U698" s="18"/>
      <c r="V698" s="18"/>
      <c r="W698" s="18"/>
      <c r="X698" s="18"/>
      <c r="Y698" s="18"/>
    </row>
    <row r="699">
      <c r="A699" s="67"/>
      <c r="B699" s="66"/>
      <c r="C699" s="18"/>
      <c r="D699" s="18"/>
      <c r="E699" s="18"/>
      <c r="F699" s="65"/>
      <c r="G699" s="66"/>
      <c r="H699" s="18"/>
      <c r="I699" s="18"/>
      <c r="J699" s="18"/>
      <c r="K699" s="65"/>
      <c r="L699" s="66"/>
      <c r="M699" s="65"/>
      <c r="N699" s="66"/>
      <c r="O699" s="65"/>
      <c r="P699" s="18"/>
      <c r="Q699" s="18"/>
      <c r="R699" s="18"/>
      <c r="S699" s="18"/>
      <c r="T699" s="18"/>
      <c r="U699" s="18"/>
      <c r="V699" s="18"/>
      <c r="W699" s="18"/>
      <c r="X699" s="18"/>
      <c r="Y699" s="18"/>
    </row>
    <row r="700">
      <c r="A700" s="67"/>
      <c r="B700" s="66"/>
      <c r="C700" s="18"/>
      <c r="D700" s="18"/>
      <c r="E700" s="18"/>
      <c r="F700" s="65"/>
      <c r="G700" s="66"/>
      <c r="H700" s="18"/>
      <c r="I700" s="18"/>
      <c r="J700" s="18"/>
      <c r="K700" s="65"/>
      <c r="L700" s="66"/>
      <c r="M700" s="65"/>
      <c r="N700" s="66"/>
      <c r="O700" s="65"/>
      <c r="P700" s="18"/>
      <c r="Q700" s="18"/>
      <c r="R700" s="18"/>
      <c r="S700" s="18"/>
      <c r="T700" s="18"/>
      <c r="U700" s="18"/>
      <c r="V700" s="18"/>
      <c r="W700" s="18"/>
      <c r="X700" s="18"/>
      <c r="Y700" s="18"/>
    </row>
    <row r="701">
      <c r="A701" s="67"/>
      <c r="B701" s="66"/>
      <c r="C701" s="18"/>
      <c r="D701" s="18"/>
      <c r="E701" s="18"/>
      <c r="F701" s="65"/>
      <c r="G701" s="66"/>
      <c r="H701" s="18"/>
      <c r="I701" s="18"/>
      <c r="J701" s="18"/>
      <c r="K701" s="65"/>
      <c r="L701" s="66"/>
      <c r="M701" s="65"/>
      <c r="N701" s="66"/>
      <c r="O701" s="65"/>
      <c r="P701" s="18"/>
      <c r="Q701" s="18"/>
      <c r="R701" s="18"/>
      <c r="S701" s="18"/>
      <c r="T701" s="18"/>
      <c r="U701" s="18"/>
      <c r="V701" s="18"/>
      <c r="W701" s="18"/>
      <c r="X701" s="18"/>
      <c r="Y701" s="18"/>
    </row>
    <row r="702">
      <c r="A702" s="67"/>
      <c r="B702" s="66"/>
      <c r="C702" s="18"/>
      <c r="D702" s="18"/>
      <c r="E702" s="18"/>
      <c r="F702" s="65"/>
      <c r="G702" s="66"/>
      <c r="H702" s="18"/>
      <c r="I702" s="18"/>
      <c r="J702" s="18"/>
      <c r="K702" s="65"/>
      <c r="L702" s="66"/>
      <c r="M702" s="65"/>
      <c r="N702" s="66"/>
      <c r="O702" s="65"/>
      <c r="P702" s="18"/>
      <c r="Q702" s="18"/>
      <c r="R702" s="18"/>
      <c r="S702" s="18"/>
      <c r="T702" s="18"/>
      <c r="U702" s="18"/>
      <c r="V702" s="18"/>
      <c r="W702" s="18"/>
      <c r="X702" s="18"/>
      <c r="Y702" s="18"/>
    </row>
    <row r="703">
      <c r="A703" s="67"/>
      <c r="B703" s="66"/>
      <c r="C703" s="18"/>
      <c r="D703" s="18"/>
      <c r="E703" s="18"/>
      <c r="F703" s="65"/>
      <c r="G703" s="66"/>
      <c r="H703" s="18"/>
      <c r="I703" s="18"/>
      <c r="J703" s="18"/>
      <c r="K703" s="65"/>
      <c r="L703" s="66"/>
      <c r="M703" s="65"/>
      <c r="N703" s="66"/>
      <c r="O703" s="65"/>
      <c r="P703" s="18"/>
      <c r="Q703" s="18"/>
      <c r="R703" s="18"/>
      <c r="S703" s="18"/>
      <c r="T703" s="18"/>
      <c r="U703" s="18"/>
      <c r="V703" s="18"/>
      <c r="W703" s="18"/>
      <c r="X703" s="18"/>
      <c r="Y703" s="18"/>
    </row>
    <row r="704">
      <c r="A704" s="67"/>
      <c r="B704" s="66"/>
      <c r="C704" s="18"/>
      <c r="D704" s="18"/>
      <c r="E704" s="18"/>
      <c r="F704" s="65"/>
      <c r="G704" s="66"/>
      <c r="H704" s="18"/>
      <c r="I704" s="18"/>
      <c r="J704" s="18"/>
      <c r="K704" s="65"/>
      <c r="L704" s="66"/>
      <c r="M704" s="65"/>
      <c r="N704" s="66"/>
      <c r="O704" s="65"/>
      <c r="P704" s="18"/>
      <c r="Q704" s="18"/>
      <c r="R704" s="18"/>
      <c r="S704" s="18"/>
      <c r="T704" s="18"/>
      <c r="U704" s="18"/>
      <c r="V704" s="18"/>
      <c r="W704" s="18"/>
      <c r="X704" s="18"/>
      <c r="Y704" s="18"/>
    </row>
    <row r="705">
      <c r="A705" s="67"/>
      <c r="B705" s="66"/>
      <c r="C705" s="18"/>
      <c r="D705" s="18"/>
      <c r="E705" s="18"/>
      <c r="F705" s="65"/>
      <c r="G705" s="66"/>
      <c r="H705" s="18"/>
      <c r="I705" s="18"/>
      <c r="J705" s="18"/>
      <c r="K705" s="65"/>
      <c r="L705" s="66"/>
      <c r="M705" s="65"/>
      <c r="N705" s="66"/>
      <c r="O705" s="65"/>
      <c r="P705" s="18"/>
      <c r="Q705" s="18"/>
      <c r="R705" s="18"/>
      <c r="S705" s="18"/>
      <c r="T705" s="18"/>
      <c r="U705" s="18"/>
      <c r="V705" s="18"/>
      <c r="W705" s="18"/>
      <c r="X705" s="18"/>
      <c r="Y705" s="18"/>
    </row>
    <row r="706">
      <c r="A706" s="67"/>
      <c r="B706" s="66"/>
      <c r="C706" s="18"/>
      <c r="D706" s="18"/>
      <c r="E706" s="18"/>
      <c r="F706" s="65"/>
      <c r="G706" s="66"/>
      <c r="H706" s="18"/>
      <c r="I706" s="18"/>
      <c r="J706" s="18"/>
      <c r="K706" s="65"/>
      <c r="L706" s="66"/>
      <c r="M706" s="65"/>
      <c r="N706" s="66"/>
      <c r="O706" s="65"/>
      <c r="P706" s="18"/>
      <c r="Q706" s="18"/>
      <c r="R706" s="18"/>
      <c r="S706" s="18"/>
      <c r="T706" s="18"/>
      <c r="U706" s="18"/>
      <c r="V706" s="18"/>
      <c r="W706" s="18"/>
      <c r="X706" s="18"/>
      <c r="Y706" s="18"/>
    </row>
    <row r="707">
      <c r="A707" s="67"/>
      <c r="B707" s="66"/>
      <c r="C707" s="18"/>
      <c r="D707" s="18"/>
      <c r="E707" s="18"/>
      <c r="F707" s="65"/>
      <c r="G707" s="66"/>
      <c r="H707" s="18"/>
      <c r="I707" s="18"/>
      <c r="J707" s="18"/>
      <c r="K707" s="65"/>
      <c r="L707" s="66"/>
      <c r="M707" s="65"/>
      <c r="N707" s="66"/>
      <c r="O707" s="65"/>
      <c r="P707" s="18"/>
      <c r="Q707" s="18"/>
      <c r="R707" s="18"/>
      <c r="S707" s="18"/>
      <c r="T707" s="18"/>
      <c r="U707" s="18"/>
      <c r="V707" s="18"/>
      <c r="W707" s="18"/>
      <c r="X707" s="18"/>
      <c r="Y707" s="18"/>
    </row>
    <row r="708">
      <c r="A708" s="67"/>
      <c r="B708" s="66"/>
      <c r="C708" s="18"/>
      <c r="D708" s="18"/>
      <c r="E708" s="18"/>
      <c r="F708" s="65"/>
      <c r="G708" s="66"/>
      <c r="H708" s="18"/>
      <c r="I708" s="18"/>
      <c r="J708" s="18"/>
      <c r="K708" s="65"/>
      <c r="L708" s="66"/>
      <c r="M708" s="65"/>
      <c r="N708" s="66"/>
      <c r="O708" s="65"/>
      <c r="P708" s="18"/>
      <c r="Q708" s="18"/>
      <c r="R708" s="18"/>
      <c r="S708" s="18"/>
      <c r="T708" s="18"/>
      <c r="U708" s="18"/>
      <c r="V708" s="18"/>
      <c r="W708" s="18"/>
      <c r="X708" s="18"/>
      <c r="Y708" s="18"/>
    </row>
    <row r="709">
      <c r="A709" s="67"/>
      <c r="B709" s="66"/>
      <c r="C709" s="18"/>
      <c r="D709" s="18"/>
      <c r="E709" s="18"/>
      <c r="F709" s="65"/>
      <c r="G709" s="66"/>
      <c r="H709" s="18"/>
      <c r="I709" s="18"/>
      <c r="J709" s="18"/>
      <c r="K709" s="65"/>
      <c r="L709" s="66"/>
      <c r="M709" s="65"/>
      <c r="N709" s="66"/>
      <c r="O709" s="65"/>
      <c r="P709" s="18"/>
      <c r="Q709" s="18"/>
      <c r="R709" s="18"/>
      <c r="S709" s="18"/>
      <c r="T709" s="18"/>
      <c r="U709" s="18"/>
      <c r="V709" s="18"/>
      <c r="W709" s="18"/>
      <c r="X709" s="18"/>
      <c r="Y709" s="18"/>
    </row>
    <row r="710">
      <c r="A710" s="67"/>
      <c r="B710" s="66"/>
      <c r="C710" s="18"/>
      <c r="D710" s="18"/>
      <c r="E710" s="18"/>
      <c r="F710" s="65"/>
      <c r="G710" s="66"/>
      <c r="H710" s="18"/>
      <c r="I710" s="18"/>
      <c r="J710" s="18"/>
      <c r="K710" s="65"/>
      <c r="L710" s="66"/>
      <c r="M710" s="65"/>
      <c r="N710" s="66"/>
      <c r="O710" s="65"/>
      <c r="P710" s="18"/>
      <c r="Q710" s="18"/>
      <c r="R710" s="18"/>
      <c r="S710" s="18"/>
      <c r="T710" s="18"/>
      <c r="U710" s="18"/>
      <c r="V710" s="18"/>
      <c r="W710" s="18"/>
      <c r="X710" s="18"/>
      <c r="Y710" s="18"/>
    </row>
    <row r="711">
      <c r="A711" s="67"/>
      <c r="B711" s="66"/>
      <c r="C711" s="18"/>
      <c r="D711" s="18"/>
      <c r="E711" s="18"/>
      <c r="F711" s="65"/>
      <c r="G711" s="66"/>
      <c r="H711" s="18"/>
      <c r="I711" s="18"/>
      <c r="J711" s="18"/>
      <c r="K711" s="65"/>
      <c r="L711" s="66"/>
      <c r="M711" s="65"/>
      <c r="N711" s="66"/>
      <c r="O711" s="65"/>
      <c r="P711" s="18"/>
      <c r="Q711" s="18"/>
      <c r="R711" s="18"/>
      <c r="S711" s="18"/>
      <c r="T711" s="18"/>
      <c r="U711" s="18"/>
      <c r="V711" s="18"/>
      <c r="W711" s="18"/>
      <c r="X711" s="18"/>
      <c r="Y711" s="18"/>
    </row>
    <row r="712">
      <c r="A712" s="67"/>
      <c r="B712" s="66"/>
      <c r="C712" s="18"/>
      <c r="D712" s="18"/>
      <c r="E712" s="18"/>
      <c r="F712" s="65"/>
      <c r="G712" s="66"/>
      <c r="H712" s="18"/>
      <c r="I712" s="18"/>
      <c r="J712" s="18"/>
      <c r="K712" s="65"/>
      <c r="L712" s="66"/>
      <c r="M712" s="65"/>
      <c r="N712" s="66"/>
      <c r="O712" s="65"/>
      <c r="P712" s="18"/>
      <c r="Q712" s="18"/>
      <c r="R712" s="18"/>
      <c r="S712" s="18"/>
      <c r="T712" s="18"/>
      <c r="U712" s="18"/>
      <c r="V712" s="18"/>
      <c r="W712" s="18"/>
      <c r="X712" s="18"/>
      <c r="Y712" s="18"/>
    </row>
    <row r="713">
      <c r="A713" s="67"/>
      <c r="B713" s="66"/>
      <c r="C713" s="18"/>
      <c r="D713" s="18"/>
      <c r="E713" s="18"/>
      <c r="F713" s="65"/>
      <c r="G713" s="66"/>
      <c r="H713" s="18"/>
      <c r="I713" s="18"/>
      <c r="J713" s="18"/>
      <c r="K713" s="65"/>
      <c r="L713" s="66"/>
      <c r="M713" s="65"/>
      <c r="N713" s="66"/>
      <c r="O713" s="65"/>
      <c r="P713" s="18"/>
      <c r="Q713" s="18"/>
      <c r="R713" s="18"/>
      <c r="S713" s="18"/>
      <c r="T713" s="18"/>
      <c r="U713" s="18"/>
      <c r="V713" s="18"/>
      <c r="W713" s="18"/>
      <c r="X713" s="18"/>
      <c r="Y713" s="18"/>
    </row>
    <row r="714">
      <c r="A714" s="67"/>
      <c r="B714" s="66"/>
      <c r="C714" s="18"/>
      <c r="D714" s="18"/>
      <c r="E714" s="18"/>
      <c r="F714" s="65"/>
      <c r="G714" s="66"/>
      <c r="H714" s="18"/>
      <c r="I714" s="18"/>
      <c r="J714" s="18"/>
      <c r="K714" s="65"/>
      <c r="L714" s="66"/>
      <c r="M714" s="65"/>
      <c r="N714" s="66"/>
      <c r="O714" s="65"/>
      <c r="P714" s="18"/>
      <c r="Q714" s="18"/>
      <c r="R714" s="18"/>
      <c r="S714" s="18"/>
      <c r="T714" s="18"/>
      <c r="U714" s="18"/>
      <c r="V714" s="18"/>
      <c r="W714" s="18"/>
      <c r="X714" s="18"/>
      <c r="Y714" s="18"/>
    </row>
    <row r="715">
      <c r="A715" s="67"/>
      <c r="B715" s="66"/>
      <c r="C715" s="18"/>
      <c r="D715" s="18"/>
      <c r="E715" s="18"/>
      <c r="F715" s="65"/>
      <c r="G715" s="66"/>
      <c r="H715" s="18"/>
      <c r="I715" s="18"/>
      <c r="J715" s="18"/>
      <c r="K715" s="65"/>
      <c r="L715" s="66"/>
      <c r="M715" s="65"/>
      <c r="N715" s="66"/>
      <c r="O715" s="65"/>
      <c r="P715" s="18"/>
      <c r="Q715" s="18"/>
      <c r="R715" s="18"/>
      <c r="S715" s="18"/>
      <c r="T715" s="18"/>
      <c r="U715" s="18"/>
      <c r="V715" s="18"/>
      <c r="W715" s="18"/>
      <c r="X715" s="18"/>
      <c r="Y715" s="18"/>
    </row>
    <row r="716">
      <c r="A716" s="67"/>
      <c r="B716" s="66"/>
      <c r="C716" s="18"/>
      <c r="D716" s="18"/>
      <c r="E716" s="18"/>
      <c r="F716" s="65"/>
      <c r="G716" s="66"/>
      <c r="H716" s="18"/>
      <c r="I716" s="18"/>
      <c r="J716" s="18"/>
      <c r="K716" s="65"/>
      <c r="L716" s="66"/>
      <c r="M716" s="65"/>
      <c r="N716" s="66"/>
      <c r="O716" s="65"/>
      <c r="P716" s="18"/>
      <c r="Q716" s="18"/>
      <c r="R716" s="18"/>
      <c r="S716" s="18"/>
      <c r="T716" s="18"/>
      <c r="U716" s="18"/>
      <c r="V716" s="18"/>
      <c r="W716" s="18"/>
      <c r="X716" s="18"/>
      <c r="Y716" s="18"/>
    </row>
    <row r="717">
      <c r="A717" s="67"/>
      <c r="B717" s="66"/>
      <c r="C717" s="18"/>
      <c r="D717" s="18"/>
      <c r="E717" s="18"/>
      <c r="F717" s="65"/>
      <c r="G717" s="66"/>
      <c r="H717" s="18"/>
      <c r="I717" s="18"/>
      <c r="J717" s="18"/>
      <c r="K717" s="65"/>
      <c r="L717" s="66"/>
      <c r="M717" s="65"/>
      <c r="N717" s="66"/>
      <c r="O717" s="65"/>
      <c r="P717" s="18"/>
      <c r="Q717" s="18"/>
      <c r="R717" s="18"/>
      <c r="S717" s="18"/>
      <c r="T717" s="18"/>
      <c r="U717" s="18"/>
      <c r="V717" s="18"/>
      <c r="W717" s="18"/>
      <c r="X717" s="18"/>
      <c r="Y717" s="18"/>
    </row>
    <row r="718">
      <c r="A718" s="67"/>
      <c r="B718" s="66"/>
      <c r="C718" s="18"/>
      <c r="D718" s="18"/>
      <c r="E718" s="18"/>
      <c r="F718" s="65"/>
      <c r="G718" s="66"/>
      <c r="H718" s="18"/>
      <c r="I718" s="18"/>
      <c r="J718" s="18"/>
      <c r="K718" s="65"/>
      <c r="L718" s="66"/>
      <c r="M718" s="65"/>
      <c r="N718" s="66"/>
      <c r="O718" s="65"/>
      <c r="P718" s="18"/>
      <c r="Q718" s="18"/>
      <c r="R718" s="18"/>
      <c r="S718" s="18"/>
      <c r="T718" s="18"/>
      <c r="U718" s="18"/>
      <c r="V718" s="18"/>
      <c r="W718" s="18"/>
      <c r="X718" s="18"/>
      <c r="Y718" s="18"/>
    </row>
    <row r="719">
      <c r="A719" s="67"/>
      <c r="B719" s="66"/>
      <c r="C719" s="18"/>
      <c r="D719" s="18"/>
      <c r="E719" s="18"/>
      <c r="F719" s="65"/>
      <c r="G719" s="66"/>
      <c r="H719" s="18"/>
      <c r="I719" s="18"/>
      <c r="J719" s="18"/>
      <c r="K719" s="65"/>
      <c r="L719" s="66"/>
      <c r="M719" s="65"/>
      <c r="N719" s="66"/>
      <c r="O719" s="65"/>
      <c r="P719" s="18"/>
      <c r="Q719" s="18"/>
      <c r="R719" s="18"/>
      <c r="S719" s="18"/>
      <c r="T719" s="18"/>
      <c r="U719" s="18"/>
      <c r="V719" s="18"/>
      <c r="W719" s="18"/>
      <c r="X719" s="18"/>
      <c r="Y719" s="18"/>
    </row>
    <row r="720">
      <c r="A720" s="67"/>
      <c r="B720" s="66"/>
      <c r="C720" s="18"/>
      <c r="D720" s="18"/>
      <c r="E720" s="18"/>
      <c r="F720" s="65"/>
      <c r="G720" s="66"/>
      <c r="H720" s="18"/>
      <c r="I720" s="18"/>
      <c r="J720" s="18"/>
      <c r="K720" s="65"/>
      <c r="L720" s="66"/>
      <c r="M720" s="65"/>
      <c r="N720" s="66"/>
      <c r="O720" s="65"/>
      <c r="P720" s="18"/>
      <c r="Q720" s="18"/>
      <c r="R720" s="18"/>
      <c r="S720" s="18"/>
      <c r="T720" s="18"/>
      <c r="U720" s="18"/>
      <c r="V720" s="18"/>
      <c r="W720" s="18"/>
      <c r="X720" s="18"/>
      <c r="Y720" s="18"/>
    </row>
    <row r="721">
      <c r="A721" s="67"/>
      <c r="B721" s="66"/>
      <c r="C721" s="18"/>
      <c r="D721" s="18"/>
      <c r="E721" s="18"/>
      <c r="F721" s="65"/>
      <c r="G721" s="66"/>
      <c r="H721" s="18"/>
      <c r="I721" s="18"/>
      <c r="J721" s="18"/>
      <c r="K721" s="65"/>
      <c r="L721" s="66"/>
      <c r="M721" s="65"/>
      <c r="N721" s="66"/>
      <c r="O721" s="65"/>
      <c r="P721" s="18"/>
      <c r="Q721" s="18"/>
      <c r="R721" s="18"/>
      <c r="S721" s="18"/>
      <c r="T721" s="18"/>
      <c r="U721" s="18"/>
      <c r="V721" s="18"/>
      <c r="W721" s="18"/>
      <c r="X721" s="18"/>
      <c r="Y721" s="18"/>
    </row>
    <row r="722">
      <c r="A722" s="67"/>
      <c r="B722" s="66"/>
      <c r="C722" s="18"/>
      <c r="D722" s="18"/>
      <c r="E722" s="18"/>
      <c r="F722" s="65"/>
      <c r="G722" s="66"/>
      <c r="H722" s="18"/>
      <c r="I722" s="18"/>
      <c r="J722" s="18"/>
      <c r="K722" s="65"/>
      <c r="L722" s="66"/>
      <c r="M722" s="65"/>
      <c r="N722" s="66"/>
      <c r="O722" s="65"/>
      <c r="P722" s="18"/>
      <c r="Q722" s="18"/>
      <c r="R722" s="18"/>
      <c r="S722" s="18"/>
      <c r="T722" s="18"/>
      <c r="U722" s="18"/>
      <c r="V722" s="18"/>
      <c r="W722" s="18"/>
      <c r="X722" s="18"/>
      <c r="Y722" s="18"/>
    </row>
    <row r="723">
      <c r="A723" s="67"/>
      <c r="B723" s="66"/>
      <c r="C723" s="18"/>
      <c r="D723" s="18"/>
      <c r="E723" s="18"/>
      <c r="F723" s="65"/>
      <c r="G723" s="66"/>
      <c r="H723" s="18"/>
      <c r="I723" s="18"/>
      <c r="J723" s="18"/>
      <c r="K723" s="65"/>
      <c r="L723" s="66"/>
      <c r="M723" s="65"/>
      <c r="N723" s="66"/>
      <c r="O723" s="65"/>
      <c r="P723" s="18"/>
      <c r="Q723" s="18"/>
      <c r="R723" s="18"/>
      <c r="S723" s="18"/>
      <c r="T723" s="18"/>
      <c r="U723" s="18"/>
      <c r="V723" s="18"/>
      <c r="W723" s="18"/>
      <c r="X723" s="18"/>
      <c r="Y723" s="18"/>
    </row>
    <row r="724">
      <c r="A724" s="67"/>
      <c r="B724" s="66"/>
      <c r="C724" s="18"/>
      <c r="D724" s="18"/>
      <c r="E724" s="18"/>
      <c r="F724" s="65"/>
      <c r="G724" s="66"/>
      <c r="H724" s="18"/>
      <c r="I724" s="18"/>
      <c r="J724" s="18"/>
      <c r="K724" s="65"/>
      <c r="L724" s="66"/>
      <c r="M724" s="65"/>
      <c r="N724" s="66"/>
      <c r="O724" s="65"/>
      <c r="P724" s="18"/>
      <c r="Q724" s="18"/>
      <c r="R724" s="18"/>
      <c r="S724" s="18"/>
      <c r="T724" s="18"/>
      <c r="U724" s="18"/>
      <c r="V724" s="18"/>
      <c r="W724" s="18"/>
      <c r="X724" s="18"/>
      <c r="Y724" s="18"/>
    </row>
    <row r="725">
      <c r="A725" s="67"/>
      <c r="B725" s="66"/>
      <c r="C725" s="18"/>
      <c r="D725" s="18"/>
      <c r="E725" s="18"/>
      <c r="F725" s="65"/>
      <c r="G725" s="66"/>
      <c r="H725" s="18"/>
      <c r="I725" s="18"/>
      <c r="J725" s="18"/>
      <c r="K725" s="65"/>
      <c r="L725" s="66"/>
      <c r="M725" s="65"/>
      <c r="N725" s="66"/>
      <c r="O725" s="65"/>
      <c r="P725" s="18"/>
      <c r="Q725" s="18"/>
      <c r="R725" s="18"/>
      <c r="S725" s="18"/>
      <c r="T725" s="18"/>
      <c r="U725" s="18"/>
      <c r="V725" s="18"/>
      <c r="W725" s="18"/>
      <c r="X725" s="18"/>
      <c r="Y725" s="18"/>
    </row>
    <row r="726">
      <c r="A726" s="67"/>
      <c r="B726" s="66"/>
      <c r="C726" s="18"/>
      <c r="D726" s="18"/>
      <c r="E726" s="18"/>
      <c r="F726" s="65"/>
      <c r="G726" s="66"/>
      <c r="H726" s="18"/>
      <c r="I726" s="18"/>
      <c r="J726" s="18"/>
      <c r="K726" s="65"/>
      <c r="L726" s="66"/>
      <c r="M726" s="65"/>
      <c r="N726" s="66"/>
      <c r="O726" s="65"/>
      <c r="P726" s="18"/>
      <c r="Q726" s="18"/>
      <c r="R726" s="18"/>
      <c r="S726" s="18"/>
      <c r="T726" s="18"/>
      <c r="U726" s="18"/>
      <c r="V726" s="18"/>
      <c r="W726" s="18"/>
      <c r="X726" s="18"/>
      <c r="Y726" s="18"/>
    </row>
    <row r="727">
      <c r="A727" s="67"/>
      <c r="B727" s="66"/>
      <c r="C727" s="18"/>
      <c r="D727" s="18"/>
      <c r="E727" s="18"/>
      <c r="F727" s="65"/>
      <c r="G727" s="66"/>
      <c r="H727" s="18"/>
      <c r="I727" s="18"/>
      <c r="J727" s="18"/>
      <c r="K727" s="65"/>
      <c r="L727" s="66"/>
      <c r="M727" s="65"/>
      <c r="N727" s="66"/>
      <c r="O727" s="65"/>
      <c r="P727" s="18"/>
      <c r="Q727" s="18"/>
      <c r="R727" s="18"/>
      <c r="S727" s="18"/>
      <c r="T727" s="18"/>
      <c r="U727" s="18"/>
      <c r="V727" s="18"/>
      <c r="W727" s="18"/>
      <c r="X727" s="18"/>
      <c r="Y727" s="18"/>
    </row>
    <row r="728">
      <c r="A728" s="67"/>
      <c r="B728" s="66"/>
      <c r="C728" s="18"/>
      <c r="D728" s="18"/>
      <c r="E728" s="18"/>
      <c r="F728" s="65"/>
      <c r="G728" s="66"/>
      <c r="H728" s="18"/>
      <c r="I728" s="18"/>
      <c r="J728" s="18"/>
      <c r="K728" s="65"/>
      <c r="L728" s="66"/>
      <c r="M728" s="65"/>
      <c r="N728" s="66"/>
      <c r="O728" s="65"/>
      <c r="P728" s="18"/>
      <c r="Q728" s="18"/>
      <c r="R728" s="18"/>
      <c r="S728" s="18"/>
      <c r="T728" s="18"/>
      <c r="U728" s="18"/>
      <c r="V728" s="18"/>
      <c r="W728" s="18"/>
      <c r="X728" s="18"/>
      <c r="Y728" s="18"/>
    </row>
    <row r="729">
      <c r="A729" s="67"/>
      <c r="B729" s="66"/>
      <c r="C729" s="18"/>
      <c r="D729" s="18"/>
      <c r="E729" s="18"/>
      <c r="F729" s="65"/>
      <c r="G729" s="66"/>
      <c r="H729" s="18"/>
      <c r="I729" s="18"/>
      <c r="J729" s="18"/>
      <c r="K729" s="65"/>
      <c r="L729" s="66"/>
      <c r="M729" s="65"/>
      <c r="N729" s="66"/>
      <c r="O729" s="65"/>
      <c r="P729" s="18"/>
      <c r="Q729" s="18"/>
      <c r="R729" s="18"/>
      <c r="S729" s="18"/>
      <c r="T729" s="18"/>
      <c r="U729" s="18"/>
      <c r="V729" s="18"/>
      <c r="W729" s="18"/>
      <c r="X729" s="18"/>
      <c r="Y729" s="18"/>
    </row>
    <row r="730">
      <c r="A730" s="67"/>
      <c r="B730" s="66"/>
      <c r="C730" s="18"/>
      <c r="D730" s="18"/>
      <c r="E730" s="18"/>
      <c r="F730" s="65"/>
      <c r="G730" s="66"/>
      <c r="H730" s="18"/>
      <c r="I730" s="18"/>
      <c r="J730" s="18"/>
      <c r="K730" s="65"/>
      <c r="L730" s="66"/>
      <c r="M730" s="65"/>
      <c r="N730" s="66"/>
      <c r="O730" s="65"/>
      <c r="P730" s="18"/>
      <c r="Q730" s="18"/>
      <c r="R730" s="18"/>
      <c r="S730" s="18"/>
      <c r="T730" s="18"/>
      <c r="U730" s="18"/>
      <c r="V730" s="18"/>
      <c r="W730" s="18"/>
      <c r="X730" s="18"/>
      <c r="Y730" s="18"/>
    </row>
    <row r="731">
      <c r="A731" s="67"/>
      <c r="B731" s="66"/>
      <c r="C731" s="18"/>
      <c r="D731" s="18"/>
      <c r="E731" s="18"/>
      <c r="F731" s="65"/>
      <c r="G731" s="66"/>
      <c r="H731" s="18"/>
      <c r="I731" s="18"/>
      <c r="J731" s="18"/>
      <c r="K731" s="65"/>
      <c r="L731" s="66"/>
      <c r="M731" s="65"/>
      <c r="N731" s="66"/>
      <c r="O731" s="65"/>
      <c r="P731" s="18"/>
      <c r="Q731" s="18"/>
      <c r="R731" s="18"/>
      <c r="S731" s="18"/>
      <c r="T731" s="18"/>
      <c r="U731" s="18"/>
      <c r="V731" s="18"/>
      <c r="W731" s="18"/>
      <c r="X731" s="18"/>
      <c r="Y731" s="18"/>
    </row>
    <row r="732">
      <c r="A732" s="67"/>
      <c r="B732" s="66"/>
      <c r="C732" s="18"/>
      <c r="D732" s="18"/>
      <c r="E732" s="18"/>
      <c r="F732" s="65"/>
      <c r="G732" s="66"/>
      <c r="H732" s="18"/>
      <c r="I732" s="18"/>
      <c r="J732" s="18"/>
      <c r="K732" s="65"/>
      <c r="L732" s="66"/>
      <c r="M732" s="65"/>
      <c r="N732" s="66"/>
      <c r="O732" s="65"/>
      <c r="P732" s="18"/>
      <c r="Q732" s="18"/>
      <c r="R732" s="18"/>
      <c r="S732" s="18"/>
      <c r="T732" s="18"/>
      <c r="U732" s="18"/>
      <c r="V732" s="18"/>
      <c r="W732" s="18"/>
      <c r="X732" s="18"/>
      <c r="Y732" s="18"/>
    </row>
    <row r="733">
      <c r="A733" s="67"/>
      <c r="B733" s="66"/>
      <c r="C733" s="18"/>
      <c r="D733" s="18"/>
      <c r="E733" s="18"/>
      <c r="F733" s="65"/>
      <c r="G733" s="66"/>
      <c r="H733" s="18"/>
      <c r="I733" s="18"/>
      <c r="J733" s="18"/>
      <c r="K733" s="65"/>
      <c r="L733" s="66"/>
      <c r="M733" s="65"/>
      <c r="N733" s="66"/>
      <c r="O733" s="65"/>
      <c r="P733" s="18"/>
      <c r="Q733" s="18"/>
      <c r="R733" s="18"/>
      <c r="S733" s="18"/>
      <c r="T733" s="18"/>
      <c r="U733" s="18"/>
      <c r="V733" s="18"/>
      <c r="W733" s="18"/>
      <c r="X733" s="18"/>
      <c r="Y733" s="18"/>
    </row>
    <row r="734">
      <c r="A734" s="67"/>
      <c r="B734" s="66"/>
      <c r="C734" s="18"/>
      <c r="D734" s="18"/>
      <c r="E734" s="18"/>
      <c r="F734" s="65"/>
      <c r="G734" s="66"/>
      <c r="H734" s="18"/>
      <c r="I734" s="18"/>
      <c r="J734" s="18"/>
      <c r="K734" s="65"/>
      <c r="L734" s="66"/>
      <c r="M734" s="65"/>
      <c r="N734" s="66"/>
      <c r="O734" s="65"/>
      <c r="P734" s="18"/>
      <c r="Q734" s="18"/>
      <c r="R734" s="18"/>
      <c r="S734" s="18"/>
      <c r="T734" s="18"/>
      <c r="U734" s="18"/>
      <c r="V734" s="18"/>
      <c r="W734" s="18"/>
      <c r="X734" s="18"/>
      <c r="Y734" s="18"/>
    </row>
    <row r="735">
      <c r="A735" s="67"/>
      <c r="B735" s="66"/>
      <c r="C735" s="18"/>
      <c r="D735" s="18"/>
      <c r="E735" s="18"/>
      <c r="F735" s="65"/>
      <c r="G735" s="66"/>
      <c r="H735" s="18"/>
      <c r="I735" s="18"/>
      <c r="J735" s="18"/>
      <c r="K735" s="65"/>
      <c r="L735" s="66"/>
      <c r="M735" s="65"/>
      <c r="N735" s="66"/>
      <c r="O735" s="65"/>
      <c r="P735" s="18"/>
      <c r="Q735" s="18"/>
      <c r="R735" s="18"/>
      <c r="S735" s="18"/>
      <c r="T735" s="18"/>
      <c r="U735" s="18"/>
      <c r="V735" s="18"/>
      <c r="W735" s="18"/>
      <c r="X735" s="18"/>
      <c r="Y735" s="18"/>
    </row>
    <row r="736">
      <c r="A736" s="67"/>
      <c r="B736" s="66"/>
      <c r="C736" s="18"/>
      <c r="D736" s="18"/>
      <c r="E736" s="18"/>
      <c r="F736" s="65"/>
      <c r="G736" s="66"/>
      <c r="H736" s="18"/>
      <c r="I736" s="18"/>
      <c r="J736" s="18"/>
      <c r="K736" s="65"/>
      <c r="L736" s="66"/>
      <c r="M736" s="65"/>
      <c r="N736" s="66"/>
      <c r="O736" s="65"/>
      <c r="P736" s="18"/>
      <c r="Q736" s="18"/>
      <c r="R736" s="18"/>
      <c r="S736" s="18"/>
      <c r="T736" s="18"/>
      <c r="U736" s="18"/>
      <c r="V736" s="18"/>
      <c r="W736" s="18"/>
      <c r="X736" s="18"/>
      <c r="Y736" s="18"/>
    </row>
    <row r="737">
      <c r="A737" s="67"/>
      <c r="B737" s="66"/>
      <c r="C737" s="18"/>
      <c r="D737" s="18"/>
      <c r="E737" s="18"/>
      <c r="F737" s="65"/>
      <c r="G737" s="66"/>
      <c r="H737" s="18"/>
      <c r="I737" s="18"/>
      <c r="J737" s="18"/>
      <c r="K737" s="65"/>
      <c r="L737" s="66"/>
      <c r="M737" s="65"/>
      <c r="N737" s="66"/>
      <c r="O737" s="65"/>
      <c r="P737" s="18"/>
      <c r="Q737" s="18"/>
      <c r="R737" s="18"/>
      <c r="S737" s="18"/>
      <c r="T737" s="18"/>
      <c r="U737" s="18"/>
      <c r="V737" s="18"/>
      <c r="W737" s="18"/>
      <c r="X737" s="18"/>
      <c r="Y737" s="18"/>
    </row>
    <row r="738">
      <c r="A738" s="67"/>
      <c r="B738" s="66"/>
      <c r="C738" s="18"/>
      <c r="D738" s="18"/>
      <c r="E738" s="18"/>
      <c r="F738" s="65"/>
      <c r="G738" s="66"/>
      <c r="H738" s="18"/>
      <c r="I738" s="18"/>
      <c r="J738" s="18"/>
      <c r="K738" s="65"/>
      <c r="L738" s="66"/>
      <c r="M738" s="65"/>
      <c r="N738" s="66"/>
      <c r="O738" s="65"/>
      <c r="P738" s="18"/>
      <c r="Q738" s="18"/>
      <c r="R738" s="18"/>
      <c r="S738" s="18"/>
      <c r="T738" s="18"/>
      <c r="U738" s="18"/>
      <c r="V738" s="18"/>
      <c r="W738" s="18"/>
      <c r="X738" s="18"/>
      <c r="Y738" s="18"/>
    </row>
    <row r="739">
      <c r="A739" s="67"/>
      <c r="B739" s="66"/>
      <c r="C739" s="18"/>
      <c r="D739" s="18"/>
      <c r="E739" s="18"/>
      <c r="F739" s="65"/>
      <c r="G739" s="66"/>
      <c r="H739" s="18"/>
      <c r="I739" s="18"/>
      <c r="J739" s="18"/>
      <c r="K739" s="65"/>
      <c r="L739" s="66"/>
      <c r="M739" s="65"/>
      <c r="N739" s="66"/>
      <c r="O739" s="65"/>
      <c r="P739" s="18"/>
      <c r="Q739" s="18"/>
      <c r="R739" s="18"/>
      <c r="S739" s="18"/>
      <c r="T739" s="18"/>
      <c r="U739" s="18"/>
      <c r="V739" s="18"/>
      <c r="W739" s="18"/>
      <c r="X739" s="18"/>
      <c r="Y739" s="18"/>
    </row>
    <row r="740">
      <c r="A740" s="67"/>
      <c r="B740" s="66"/>
      <c r="C740" s="18"/>
      <c r="D740" s="18"/>
      <c r="E740" s="18"/>
      <c r="F740" s="65"/>
      <c r="G740" s="66"/>
      <c r="H740" s="18"/>
      <c r="I740" s="18"/>
      <c r="J740" s="18"/>
      <c r="K740" s="65"/>
      <c r="L740" s="66"/>
      <c r="M740" s="65"/>
      <c r="N740" s="66"/>
      <c r="O740" s="65"/>
      <c r="P740" s="18"/>
      <c r="Q740" s="18"/>
      <c r="R740" s="18"/>
      <c r="S740" s="18"/>
      <c r="T740" s="18"/>
      <c r="U740" s="18"/>
      <c r="V740" s="18"/>
      <c r="W740" s="18"/>
      <c r="X740" s="18"/>
      <c r="Y740" s="18"/>
    </row>
    <row r="741">
      <c r="A741" s="67"/>
      <c r="B741" s="66"/>
      <c r="C741" s="18"/>
      <c r="D741" s="18"/>
      <c r="E741" s="18"/>
      <c r="F741" s="65"/>
      <c r="G741" s="66"/>
      <c r="H741" s="18"/>
      <c r="I741" s="18"/>
      <c r="J741" s="18"/>
      <c r="K741" s="65"/>
      <c r="L741" s="66"/>
      <c r="M741" s="65"/>
      <c r="N741" s="66"/>
      <c r="O741" s="65"/>
      <c r="P741" s="18"/>
      <c r="Q741" s="18"/>
      <c r="R741" s="18"/>
      <c r="S741" s="18"/>
      <c r="T741" s="18"/>
      <c r="U741" s="18"/>
      <c r="V741" s="18"/>
      <c r="W741" s="18"/>
      <c r="X741" s="18"/>
      <c r="Y741" s="18"/>
    </row>
    <row r="742">
      <c r="A742" s="67"/>
      <c r="B742" s="66"/>
      <c r="C742" s="18"/>
      <c r="D742" s="18"/>
      <c r="E742" s="18"/>
      <c r="F742" s="65"/>
      <c r="G742" s="66"/>
      <c r="H742" s="18"/>
      <c r="I742" s="18"/>
      <c r="J742" s="18"/>
      <c r="K742" s="65"/>
      <c r="L742" s="66"/>
      <c r="M742" s="65"/>
      <c r="N742" s="66"/>
      <c r="O742" s="65"/>
      <c r="P742" s="18"/>
      <c r="Q742" s="18"/>
      <c r="R742" s="18"/>
      <c r="S742" s="18"/>
      <c r="T742" s="18"/>
      <c r="U742" s="18"/>
      <c r="V742" s="18"/>
      <c r="W742" s="18"/>
      <c r="X742" s="18"/>
      <c r="Y742" s="18"/>
    </row>
    <row r="743">
      <c r="A743" s="67"/>
      <c r="B743" s="66"/>
      <c r="C743" s="18"/>
      <c r="D743" s="18"/>
      <c r="E743" s="18"/>
      <c r="F743" s="65"/>
      <c r="G743" s="66"/>
      <c r="H743" s="18"/>
      <c r="I743" s="18"/>
      <c r="J743" s="18"/>
      <c r="K743" s="65"/>
      <c r="L743" s="66"/>
      <c r="M743" s="65"/>
      <c r="N743" s="66"/>
      <c r="O743" s="65"/>
      <c r="P743" s="18"/>
      <c r="Q743" s="18"/>
      <c r="R743" s="18"/>
      <c r="S743" s="18"/>
      <c r="T743" s="18"/>
      <c r="U743" s="18"/>
      <c r="V743" s="18"/>
      <c r="W743" s="18"/>
      <c r="X743" s="18"/>
      <c r="Y743" s="18"/>
    </row>
    <row r="744">
      <c r="A744" s="67"/>
      <c r="B744" s="66"/>
      <c r="C744" s="18"/>
      <c r="D744" s="18"/>
      <c r="E744" s="18"/>
      <c r="F744" s="65"/>
      <c r="G744" s="66"/>
      <c r="H744" s="18"/>
      <c r="I744" s="18"/>
      <c r="J744" s="18"/>
      <c r="K744" s="65"/>
      <c r="L744" s="66"/>
      <c r="M744" s="65"/>
      <c r="N744" s="66"/>
      <c r="O744" s="65"/>
      <c r="P744" s="18"/>
      <c r="Q744" s="18"/>
      <c r="R744" s="18"/>
      <c r="S744" s="18"/>
      <c r="T744" s="18"/>
      <c r="U744" s="18"/>
      <c r="V744" s="18"/>
      <c r="W744" s="18"/>
      <c r="X744" s="18"/>
      <c r="Y744" s="18"/>
    </row>
    <row r="745">
      <c r="A745" s="67"/>
      <c r="B745" s="66"/>
      <c r="C745" s="18"/>
      <c r="D745" s="18"/>
      <c r="E745" s="18"/>
      <c r="F745" s="65"/>
      <c r="G745" s="66"/>
      <c r="H745" s="18"/>
      <c r="I745" s="18"/>
      <c r="J745" s="18"/>
      <c r="K745" s="65"/>
      <c r="L745" s="66"/>
      <c r="M745" s="65"/>
      <c r="N745" s="66"/>
      <c r="O745" s="65"/>
      <c r="P745" s="18"/>
      <c r="Q745" s="18"/>
      <c r="R745" s="18"/>
      <c r="S745" s="18"/>
      <c r="T745" s="18"/>
      <c r="U745" s="18"/>
      <c r="V745" s="18"/>
      <c r="W745" s="18"/>
      <c r="X745" s="18"/>
      <c r="Y745" s="18"/>
    </row>
    <row r="746">
      <c r="A746" s="67"/>
      <c r="B746" s="66"/>
      <c r="C746" s="18"/>
      <c r="D746" s="18"/>
      <c r="E746" s="18"/>
      <c r="F746" s="65"/>
      <c r="G746" s="66"/>
      <c r="H746" s="18"/>
      <c r="I746" s="18"/>
      <c r="J746" s="18"/>
      <c r="K746" s="65"/>
      <c r="L746" s="66"/>
      <c r="M746" s="65"/>
      <c r="N746" s="66"/>
      <c r="O746" s="65"/>
      <c r="P746" s="18"/>
      <c r="Q746" s="18"/>
      <c r="R746" s="18"/>
      <c r="S746" s="18"/>
      <c r="T746" s="18"/>
      <c r="U746" s="18"/>
      <c r="V746" s="18"/>
      <c r="W746" s="18"/>
      <c r="X746" s="18"/>
      <c r="Y746" s="18"/>
    </row>
    <row r="747">
      <c r="A747" s="67"/>
      <c r="B747" s="66"/>
      <c r="C747" s="18"/>
      <c r="D747" s="18"/>
      <c r="E747" s="18"/>
      <c r="F747" s="65"/>
      <c r="G747" s="66"/>
      <c r="H747" s="18"/>
      <c r="I747" s="18"/>
      <c r="J747" s="18"/>
      <c r="K747" s="65"/>
      <c r="L747" s="66"/>
      <c r="M747" s="65"/>
      <c r="N747" s="66"/>
      <c r="O747" s="65"/>
      <c r="P747" s="18"/>
      <c r="Q747" s="18"/>
      <c r="R747" s="18"/>
      <c r="S747" s="18"/>
      <c r="T747" s="18"/>
      <c r="U747" s="18"/>
      <c r="V747" s="18"/>
      <c r="W747" s="18"/>
      <c r="X747" s="18"/>
      <c r="Y747" s="18"/>
    </row>
    <row r="748">
      <c r="A748" s="67"/>
      <c r="B748" s="66"/>
      <c r="C748" s="18"/>
      <c r="D748" s="18"/>
      <c r="E748" s="18"/>
      <c r="F748" s="65"/>
      <c r="G748" s="66"/>
      <c r="H748" s="18"/>
      <c r="I748" s="18"/>
      <c r="J748" s="18"/>
      <c r="K748" s="65"/>
      <c r="L748" s="66"/>
      <c r="M748" s="65"/>
      <c r="N748" s="66"/>
      <c r="O748" s="65"/>
      <c r="P748" s="18"/>
      <c r="Q748" s="18"/>
      <c r="R748" s="18"/>
      <c r="S748" s="18"/>
      <c r="T748" s="18"/>
      <c r="U748" s="18"/>
      <c r="V748" s="18"/>
      <c r="W748" s="18"/>
      <c r="X748" s="18"/>
      <c r="Y748" s="18"/>
    </row>
    <row r="749">
      <c r="A749" s="67"/>
      <c r="B749" s="66"/>
      <c r="C749" s="18"/>
      <c r="D749" s="18"/>
      <c r="E749" s="18"/>
      <c r="F749" s="65"/>
      <c r="G749" s="66"/>
      <c r="H749" s="18"/>
      <c r="I749" s="18"/>
      <c r="J749" s="18"/>
      <c r="K749" s="65"/>
      <c r="L749" s="66"/>
      <c r="M749" s="65"/>
      <c r="N749" s="66"/>
      <c r="O749" s="65"/>
      <c r="P749" s="18"/>
      <c r="Q749" s="18"/>
      <c r="R749" s="18"/>
      <c r="S749" s="18"/>
      <c r="T749" s="18"/>
      <c r="U749" s="18"/>
      <c r="V749" s="18"/>
      <c r="W749" s="18"/>
      <c r="X749" s="18"/>
      <c r="Y749" s="18"/>
    </row>
    <row r="750">
      <c r="A750" s="67"/>
      <c r="B750" s="66"/>
      <c r="C750" s="18"/>
      <c r="D750" s="18"/>
      <c r="E750" s="18"/>
      <c r="F750" s="65"/>
      <c r="G750" s="66"/>
      <c r="H750" s="18"/>
      <c r="I750" s="18"/>
      <c r="J750" s="18"/>
      <c r="K750" s="65"/>
      <c r="L750" s="66"/>
      <c r="M750" s="65"/>
      <c r="N750" s="66"/>
      <c r="O750" s="65"/>
      <c r="P750" s="18"/>
      <c r="Q750" s="18"/>
      <c r="R750" s="18"/>
      <c r="S750" s="18"/>
      <c r="T750" s="18"/>
      <c r="U750" s="18"/>
      <c r="V750" s="18"/>
      <c r="W750" s="18"/>
      <c r="X750" s="18"/>
      <c r="Y750" s="18"/>
    </row>
    <row r="751">
      <c r="A751" s="67"/>
      <c r="B751" s="66"/>
      <c r="C751" s="18"/>
      <c r="D751" s="18"/>
      <c r="E751" s="18"/>
      <c r="F751" s="65"/>
      <c r="G751" s="66"/>
      <c r="H751" s="18"/>
      <c r="I751" s="18"/>
      <c r="J751" s="18"/>
      <c r="K751" s="65"/>
      <c r="L751" s="66"/>
      <c r="M751" s="65"/>
      <c r="N751" s="66"/>
      <c r="O751" s="65"/>
      <c r="P751" s="18"/>
      <c r="Q751" s="18"/>
      <c r="R751" s="18"/>
      <c r="S751" s="18"/>
      <c r="T751" s="18"/>
      <c r="U751" s="18"/>
      <c r="V751" s="18"/>
      <c r="W751" s="18"/>
      <c r="X751" s="18"/>
      <c r="Y751" s="18"/>
    </row>
    <row r="752">
      <c r="A752" s="67"/>
      <c r="B752" s="66"/>
      <c r="C752" s="18"/>
      <c r="D752" s="18"/>
      <c r="E752" s="18"/>
      <c r="F752" s="65"/>
      <c r="G752" s="66"/>
      <c r="H752" s="18"/>
      <c r="I752" s="18"/>
      <c r="J752" s="18"/>
      <c r="K752" s="65"/>
      <c r="L752" s="66"/>
      <c r="M752" s="65"/>
      <c r="N752" s="66"/>
      <c r="O752" s="65"/>
      <c r="P752" s="18"/>
      <c r="Q752" s="18"/>
      <c r="R752" s="18"/>
      <c r="S752" s="18"/>
      <c r="T752" s="18"/>
      <c r="U752" s="18"/>
      <c r="V752" s="18"/>
      <c r="W752" s="18"/>
      <c r="X752" s="18"/>
      <c r="Y752" s="18"/>
    </row>
    <row r="753">
      <c r="A753" s="67"/>
      <c r="B753" s="66"/>
      <c r="C753" s="18"/>
      <c r="D753" s="18"/>
      <c r="E753" s="18"/>
      <c r="F753" s="65"/>
      <c r="G753" s="66"/>
      <c r="H753" s="18"/>
      <c r="I753" s="18"/>
      <c r="J753" s="18"/>
      <c r="K753" s="65"/>
      <c r="L753" s="66"/>
      <c r="M753" s="65"/>
      <c r="N753" s="66"/>
      <c r="O753" s="65"/>
      <c r="P753" s="18"/>
      <c r="Q753" s="18"/>
      <c r="R753" s="18"/>
      <c r="S753" s="18"/>
      <c r="T753" s="18"/>
      <c r="U753" s="18"/>
      <c r="V753" s="18"/>
      <c r="W753" s="18"/>
      <c r="X753" s="18"/>
      <c r="Y753" s="18"/>
    </row>
    <row r="754">
      <c r="A754" s="67"/>
      <c r="B754" s="66"/>
      <c r="C754" s="18"/>
      <c r="D754" s="18"/>
      <c r="E754" s="18"/>
      <c r="F754" s="65"/>
      <c r="G754" s="66"/>
      <c r="H754" s="18"/>
      <c r="I754" s="18"/>
      <c r="J754" s="18"/>
      <c r="K754" s="65"/>
      <c r="L754" s="66"/>
      <c r="M754" s="65"/>
      <c r="N754" s="66"/>
      <c r="O754" s="65"/>
      <c r="P754" s="18"/>
      <c r="Q754" s="18"/>
      <c r="R754" s="18"/>
      <c r="S754" s="18"/>
      <c r="T754" s="18"/>
      <c r="U754" s="18"/>
      <c r="V754" s="18"/>
      <c r="W754" s="18"/>
      <c r="X754" s="18"/>
      <c r="Y754" s="18"/>
    </row>
    <row r="755">
      <c r="A755" s="67"/>
      <c r="B755" s="66"/>
      <c r="C755" s="18"/>
      <c r="D755" s="18"/>
      <c r="E755" s="18"/>
      <c r="F755" s="65"/>
      <c r="G755" s="66"/>
      <c r="H755" s="18"/>
      <c r="I755" s="18"/>
      <c r="J755" s="18"/>
      <c r="K755" s="65"/>
      <c r="L755" s="66"/>
      <c r="M755" s="65"/>
      <c r="N755" s="66"/>
      <c r="O755" s="65"/>
      <c r="P755" s="18"/>
      <c r="Q755" s="18"/>
      <c r="R755" s="18"/>
      <c r="S755" s="18"/>
      <c r="T755" s="18"/>
      <c r="U755" s="18"/>
      <c r="V755" s="18"/>
      <c r="W755" s="18"/>
      <c r="X755" s="18"/>
      <c r="Y755" s="18"/>
    </row>
    <row r="756">
      <c r="A756" s="67"/>
      <c r="B756" s="66"/>
      <c r="C756" s="18"/>
      <c r="D756" s="18"/>
      <c r="E756" s="18"/>
      <c r="F756" s="65"/>
      <c r="G756" s="66"/>
      <c r="H756" s="18"/>
      <c r="I756" s="18"/>
      <c r="J756" s="18"/>
      <c r="K756" s="65"/>
      <c r="L756" s="66"/>
      <c r="M756" s="65"/>
      <c r="N756" s="66"/>
      <c r="O756" s="65"/>
      <c r="P756" s="18"/>
      <c r="Q756" s="18"/>
      <c r="R756" s="18"/>
      <c r="S756" s="18"/>
      <c r="T756" s="18"/>
      <c r="U756" s="18"/>
      <c r="V756" s="18"/>
      <c r="W756" s="18"/>
      <c r="X756" s="18"/>
      <c r="Y756" s="18"/>
    </row>
    <row r="757">
      <c r="A757" s="67"/>
      <c r="B757" s="66"/>
      <c r="C757" s="18"/>
      <c r="D757" s="18"/>
      <c r="E757" s="18"/>
      <c r="F757" s="65"/>
      <c r="G757" s="66"/>
      <c r="H757" s="18"/>
      <c r="I757" s="18"/>
      <c r="J757" s="18"/>
      <c r="K757" s="65"/>
      <c r="L757" s="66"/>
      <c r="M757" s="65"/>
      <c r="N757" s="66"/>
      <c r="O757" s="65"/>
      <c r="P757" s="18"/>
      <c r="Q757" s="18"/>
      <c r="R757" s="18"/>
      <c r="S757" s="18"/>
      <c r="T757" s="18"/>
      <c r="U757" s="18"/>
      <c r="V757" s="18"/>
      <c r="W757" s="18"/>
      <c r="X757" s="18"/>
      <c r="Y757" s="18"/>
    </row>
    <row r="758">
      <c r="A758" s="67"/>
      <c r="B758" s="66"/>
      <c r="C758" s="18"/>
      <c r="D758" s="18"/>
      <c r="E758" s="18"/>
      <c r="F758" s="65"/>
      <c r="G758" s="66"/>
      <c r="H758" s="18"/>
      <c r="I758" s="18"/>
      <c r="J758" s="18"/>
      <c r="K758" s="65"/>
      <c r="L758" s="66"/>
      <c r="M758" s="65"/>
      <c r="N758" s="66"/>
      <c r="O758" s="65"/>
      <c r="P758" s="18"/>
      <c r="Q758" s="18"/>
      <c r="R758" s="18"/>
      <c r="S758" s="18"/>
      <c r="T758" s="18"/>
      <c r="U758" s="18"/>
      <c r="V758" s="18"/>
      <c r="W758" s="18"/>
      <c r="X758" s="18"/>
      <c r="Y758" s="18"/>
    </row>
    <row r="759">
      <c r="A759" s="67"/>
      <c r="B759" s="66"/>
      <c r="C759" s="18"/>
      <c r="D759" s="18"/>
      <c r="E759" s="18"/>
      <c r="F759" s="65"/>
      <c r="G759" s="66"/>
      <c r="H759" s="18"/>
      <c r="I759" s="18"/>
      <c r="J759" s="18"/>
      <c r="K759" s="65"/>
      <c r="L759" s="66"/>
      <c r="M759" s="65"/>
      <c r="N759" s="66"/>
      <c r="O759" s="65"/>
      <c r="P759" s="18"/>
      <c r="Q759" s="18"/>
      <c r="R759" s="18"/>
      <c r="S759" s="18"/>
      <c r="T759" s="18"/>
      <c r="U759" s="18"/>
      <c r="V759" s="18"/>
      <c r="W759" s="18"/>
      <c r="X759" s="18"/>
      <c r="Y759" s="18"/>
    </row>
    <row r="760">
      <c r="A760" s="67"/>
      <c r="B760" s="66"/>
      <c r="C760" s="18"/>
      <c r="D760" s="18"/>
      <c r="E760" s="18"/>
      <c r="F760" s="65"/>
      <c r="G760" s="66"/>
      <c r="H760" s="18"/>
      <c r="I760" s="18"/>
      <c r="J760" s="18"/>
      <c r="K760" s="65"/>
      <c r="L760" s="66"/>
      <c r="M760" s="65"/>
      <c r="N760" s="66"/>
      <c r="O760" s="65"/>
      <c r="P760" s="18"/>
      <c r="Q760" s="18"/>
      <c r="R760" s="18"/>
      <c r="S760" s="18"/>
      <c r="T760" s="18"/>
      <c r="U760" s="18"/>
      <c r="V760" s="18"/>
      <c r="W760" s="18"/>
      <c r="X760" s="18"/>
      <c r="Y760" s="18"/>
    </row>
    <row r="761">
      <c r="A761" s="67"/>
      <c r="B761" s="66"/>
      <c r="C761" s="18"/>
      <c r="D761" s="18"/>
      <c r="E761" s="18"/>
      <c r="F761" s="65"/>
      <c r="G761" s="66"/>
      <c r="H761" s="18"/>
      <c r="I761" s="18"/>
      <c r="J761" s="18"/>
      <c r="K761" s="65"/>
      <c r="L761" s="66"/>
      <c r="M761" s="65"/>
      <c r="N761" s="66"/>
      <c r="O761" s="65"/>
      <c r="P761" s="18"/>
      <c r="Q761" s="18"/>
      <c r="R761" s="18"/>
      <c r="S761" s="18"/>
      <c r="T761" s="18"/>
      <c r="U761" s="18"/>
      <c r="V761" s="18"/>
      <c r="W761" s="18"/>
      <c r="X761" s="18"/>
      <c r="Y761" s="18"/>
    </row>
    <row r="762">
      <c r="A762" s="67"/>
      <c r="B762" s="66"/>
      <c r="C762" s="18"/>
      <c r="D762" s="18"/>
      <c r="E762" s="18"/>
      <c r="F762" s="65"/>
      <c r="G762" s="66"/>
      <c r="H762" s="18"/>
      <c r="I762" s="18"/>
      <c r="J762" s="18"/>
      <c r="K762" s="65"/>
      <c r="L762" s="66"/>
      <c r="M762" s="65"/>
      <c r="N762" s="66"/>
      <c r="O762" s="65"/>
      <c r="P762" s="18"/>
      <c r="Q762" s="18"/>
      <c r="R762" s="18"/>
      <c r="S762" s="18"/>
      <c r="T762" s="18"/>
      <c r="U762" s="18"/>
      <c r="V762" s="18"/>
      <c r="W762" s="18"/>
      <c r="X762" s="18"/>
      <c r="Y762" s="18"/>
    </row>
    <row r="763">
      <c r="A763" s="67"/>
      <c r="B763" s="66"/>
      <c r="C763" s="18"/>
      <c r="D763" s="18"/>
      <c r="E763" s="18"/>
      <c r="F763" s="65"/>
      <c r="G763" s="66"/>
      <c r="H763" s="18"/>
      <c r="I763" s="18"/>
      <c r="J763" s="18"/>
      <c r="K763" s="65"/>
      <c r="L763" s="66"/>
      <c r="M763" s="65"/>
      <c r="N763" s="66"/>
      <c r="O763" s="65"/>
      <c r="P763" s="18"/>
      <c r="Q763" s="18"/>
      <c r="R763" s="18"/>
      <c r="S763" s="18"/>
      <c r="T763" s="18"/>
      <c r="U763" s="18"/>
      <c r="V763" s="18"/>
      <c r="W763" s="18"/>
      <c r="X763" s="18"/>
      <c r="Y763" s="18"/>
    </row>
    <row r="764">
      <c r="A764" s="67"/>
      <c r="B764" s="66"/>
      <c r="C764" s="18"/>
      <c r="D764" s="18"/>
      <c r="E764" s="18"/>
      <c r="F764" s="65"/>
      <c r="G764" s="66"/>
      <c r="H764" s="18"/>
      <c r="I764" s="18"/>
      <c r="J764" s="18"/>
      <c r="K764" s="65"/>
      <c r="L764" s="66"/>
      <c r="M764" s="65"/>
      <c r="N764" s="66"/>
      <c r="O764" s="65"/>
      <c r="P764" s="18"/>
      <c r="Q764" s="18"/>
      <c r="R764" s="18"/>
      <c r="S764" s="18"/>
      <c r="T764" s="18"/>
      <c r="U764" s="18"/>
      <c r="V764" s="18"/>
      <c r="W764" s="18"/>
      <c r="X764" s="18"/>
      <c r="Y764" s="18"/>
    </row>
    <row r="765">
      <c r="A765" s="67"/>
      <c r="B765" s="66"/>
      <c r="C765" s="18"/>
      <c r="D765" s="18"/>
      <c r="E765" s="18"/>
      <c r="F765" s="65"/>
      <c r="G765" s="66"/>
      <c r="H765" s="18"/>
      <c r="I765" s="18"/>
      <c r="J765" s="18"/>
      <c r="K765" s="65"/>
      <c r="L765" s="66"/>
      <c r="M765" s="65"/>
      <c r="N765" s="66"/>
      <c r="O765" s="65"/>
      <c r="P765" s="18"/>
      <c r="Q765" s="18"/>
      <c r="R765" s="18"/>
      <c r="S765" s="18"/>
      <c r="T765" s="18"/>
      <c r="U765" s="18"/>
      <c r="V765" s="18"/>
      <c r="W765" s="18"/>
      <c r="X765" s="18"/>
      <c r="Y765" s="18"/>
    </row>
    <row r="766">
      <c r="A766" s="67"/>
      <c r="B766" s="66"/>
      <c r="C766" s="18"/>
      <c r="D766" s="18"/>
      <c r="E766" s="18"/>
      <c r="F766" s="65"/>
      <c r="G766" s="66"/>
      <c r="H766" s="18"/>
      <c r="I766" s="18"/>
      <c r="J766" s="18"/>
      <c r="K766" s="65"/>
      <c r="L766" s="66"/>
      <c r="M766" s="65"/>
      <c r="N766" s="66"/>
      <c r="O766" s="65"/>
      <c r="P766" s="18"/>
      <c r="Q766" s="18"/>
      <c r="R766" s="18"/>
      <c r="S766" s="18"/>
      <c r="T766" s="18"/>
      <c r="U766" s="18"/>
      <c r="V766" s="18"/>
      <c r="W766" s="18"/>
      <c r="X766" s="18"/>
      <c r="Y766" s="18"/>
    </row>
    <row r="767">
      <c r="A767" s="67"/>
      <c r="B767" s="66"/>
      <c r="C767" s="18"/>
      <c r="D767" s="18"/>
      <c r="E767" s="18"/>
      <c r="F767" s="65"/>
      <c r="G767" s="66"/>
      <c r="H767" s="18"/>
      <c r="I767" s="18"/>
      <c r="J767" s="18"/>
      <c r="K767" s="65"/>
      <c r="L767" s="66"/>
      <c r="M767" s="65"/>
      <c r="N767" s="66"/>
      <c r="O767" s="65"/>
      <c r="P767" s="18"/>
      <c r="Q767" s="18"/>
      <c r="R767" s="18"/>
      <c r="S767" s="18"/>
      <c r="T767" s="18"/>
      <c r="U767" s="18"/>
      <c r="V767" s="18"/>
      <c r="W767" s="18"/>
      <c r="X767" s="18"/>
      <c r="Y767" s="18"/>
    </row>
    <row r="768">
      <c r="A768" s="67"/>
      <c r="B768" s="66"/>
      <c r="C768" s="18"/>
      <c r="D768" s="18"/>
      <c r="E768" s="18"/>
      <c r="F768" s="65"/>
      <c r="G768" s="66"/>
      <c r="H768" s="18"/>
      <c r="I768" s="18"/>
      <c r="J768" s="18"/>
      <c r="K768" s="65"/>
      <c r="L768" s="66"/>
      <c r="M768" s="65"/>
      <c r="N768" s="66"/>
      <c r="O768" s="65"/>
      <c r="P768" s="18"/>
      <c r="Q768" s="18"/>
      <c r="R768" s="18"/>
      <c r="S768" s="18"/>
      <c r="T768" s="18"/>
      <c r="U768" s="18"/>
      <c r="V768" s="18"/>
      <c r="W768" s="18"/>
      <c r="X768" s="18"/>
      <c r="Y768" s="18"/>
    </row>
    <row r="769">
      <c r="A769" s="67"/>
      <c r="B769" s="66"/>
      <c r="C769" s="18"/>
      <c r="D769" s="18"/>
      <c r="E769" s="18"/>
      <c r="F769" s="65"/>
      <c r="G769" s="66"/>
      <c r="H769" s="18"/>
      <c r="I769" s="18"/>
      <c r="J769" s="18"/>
      <c r="K769" s="65"/>
      <c r="L769" s="66"/>
      <c r="M769" s="65"/>
      <c r="N769" s="66"/>
      <c r="O769" s="65"/>
      <c r="P769" s="18"/>
      <c r="Q769" s="18"/>
      <c r="R769" s="18"/>
      <c r="S769" s="18"/>
      <c r="T769" s="18"/>
      <c r="U769" s="18"/>
      <c r="V769" s="18"/>
      <c r="W769" s="18"/>
      <c r="X769" s="18"/>
      <c r="Y769" s="18"/>
    </row>
    <row r="770">
      <c r="A770" s="67"/>
      <c r="B770" s="66"/>
      <c r="C770" s="18"/>
      <c r="D770" s="18"/>
      <c r="E770" s="18"/>
      <c r="F770" s="65"/>
      <c r="G770" s="66"/>
      <c r="H770" s="18"/>
      <c r="I770" s="18"/>
      <c r="J770" s="18"/>
      <c r="K770" s="65"/>
      <c r="L770" s="66"/>
      <c r="M770" s="65"/>
      <c r="N770" s="66"/>
      <c r="O770" s="65"/>
      <c r="P770" s="18"/>
      <c r="Q770" s="18"/>
      <c r="R770" s="18"/>
      <c r="S770" s="18"/>
      <c r="T770" s="18"/>
      <c r="U770" s="18"/>
      <c r="V770" s="18"/>
      <c r="W770" s="18"/>
      <c r="X770" s="18"/>
      <c r="Y770" s="18"/>
    </row>
    <row r="771">
      <c r="A771" s="67"/>
      <c r="B771" s="66"/>
      <c r="C771" s="18"/>
      <c r="D771" s="18"/>
      <c r="E771" s="18"/>
      <c r="F771" s="65"/>
      <c r="G771" s="66"/>
      <c r="H771" s="18"/>
      <c r="I771" s="18"/>
      <c r="J771" s="18"/>
      <c r="K771" s="65"/>
      <c r="L771" s="66"/>
      <c r="M771" s="65"/>
      <c r="N771" s="66"/>
      <c r="O771" s="65"/>
      <c r="P771" s="18"/>
      <c r="Q771" s="18"/>
      <c r="R771" s="18"/>
      <c r="S771" s="18"/>
      <c r="T771" s="18"/>
      <c r="U771" s="18"/>
      <c r="V771" s="18"/>
      <c r="W771" s="18"/>
      <c r="X771" s="18"/>
      <c r="Y771" s="18"/>
    </row>
    <row r="772">
      <c r="A772" s="67"/>
      <c r="B772" s="66"/>
      <c r="C772" s="18"/>
      <c r="D772" s="18"/>
      <c r="E772" s="18"/>
      <c r="F772" s="65"/>
      <c r="G772" s="66"/>
      <c r="H772" s="18"/>
      <c r="I772" s="18"/>
      <c r="J772" s="18"/>
      <c r="K772" s="65"/>
      <c r="L772" s="66"/>
      <c r="M772" s="65"/>
      <c r="N772" s="66"/>
      <c r="O772" s="65"/>
      <c r="P772" s="18"/>
      <c r="Q772" s="18"/>
      <c r="R772" s="18"/>
      <c r="S772" s="18"/>
      <c r="T772" s="18"/>
      <c r="U772" s="18"/>
      <c r="V772" s="18"/>
      <c r="W772" s="18"/>
      <c r="X772" s="18"/>
      <c r="Y772" s="18"/>
    </row>
    <row r="773">
      <c r="A773" s="67"/>
      <c r="B773" s="66"/>
      <c r="C773" s="18"/>
      <c r="D773" s="18"/>
      <c r="E773" s="18"/>
      <c r="F773" s="65"/>
      <c r="G773" s="66"/>
      <c r="H773" s="18"/>
      <c r="I773" s="18"/>
      <c r="J773" s="18"/>
      <c r="K773" s="65"/>
      <c r="L773" s="66"/>
      <c r="M773" s="65"/>
      <c r="N773" s="66"/>
      <c r="O773" s="65"/>
      <c r="P773" s="18"/>
      <c r="Q773" s="18"/>
      <c r="R773" s="18"/>
      <c r="S773" s="18"/>
      <c r="T773" s="18"/>
      <c r="U773" s="18"/>
      <c r="V773" s="18"/>
      <c r="W773" s="18"/>
      <c r="X773" s="18"/>
      <c r="Y773" s="18"/>
    </row>
    <row r="774">
      <c r="A774" s="67"/>
      <c r="B774" s="66"/>
      <c r="C774" s="18"/>
      <c r="D774" s="18"/>
      <c r="E774" s="18"/>
      <c r="F774" s="65"/>
      <c r="G774" s="66"/>
      <c r="H774" s="18"/>
      <c r="I774" s="18"/>
      <c r="J774" s="18"/>
      <c r="K774" s="65"/>
      <c r="L774" s="66"/>
      <c r="M774" s="65"/>
      <c r="N774" s="66"/>
      <c r="O774" s="65"/>
      <c r="P774" s="18"/>
      <c r="Q774" s="18"/>
      <c r="R774" s="18"/>
      <c r="S774" s="18"/>
      <c r="T774" s="18"/>
      <c r="U774" s="18"/>
      <c r="V774" s="18"/>
      <c r="W774" s="18"/>
      <c r="X774" s="18"/>
      <c r="Y774" s="18"/>
    </row>
    <row r="775">
      <c r="A775" s="67"/>
      <c r="B775" s="66"/>
      <c r="C775" s="18"/>
      <c r="D775" s="18"/>
      <c r="E775" s="18"/>
      <c r="F775" s="65"/>
      <c r="G775" s="66"/>
      <c r="H775" s="18"/>
      <c r="I775" s="18"/>
      <c r="J775" s="18"/>
      <c r="K775" s="65"/>
      <c r="L775" s="66"/>
      <c r="M775" s="65"/>
      <c r="N775" s="66"/>
      <c r="O775" s="65"/>
      <c r="P775" s="18"/>
      <c r="Q775" s="18"/>
      <c r="R775" s="18"/>
      <c r="S775" s="18"/>
      <c r="T775" s="18"/>
      <c r="U775" s="18"/>
      <c r="V775" s="18"/>
      <c r="W775" s="18"/>
      <c r="X775" s="18"/>
      <c r="Y775" s="18"/>
    </row>
    <row r="776">
      <c r="A776" s="67"/>
      <c r="B776" s="66"/>
      <c r="C776" s="18"/>
      <c r="D776" s="18"/>
      <c r="E776" s="18"/>
      <c r="F776" s="65"/>
      <c r="G776" s="66"/>
      <c r="H776" s="18"/>
      <c r="I776" s="18"/>
      <c r="J776" s="18"/>
      <c r="K776" s="65"/>
      <c r="L776" s="66"/>
      <c r="M776" s="65"/>
      <c r="N776" s="66"/>
      <c r="O776" s="65"/>
      <c r="P776" s="18"/>
      <c r="Q776" s="18"/>
      <c r="R776" s="18"/>
      <c r="S776" s="18"/>
      <c r="T776" s="18"/>
      <c r="U776" s="18"/>
      <c r="V776" s="18"/>
      <c r="W776" s="18"/>
      <c r="X776" s="18"/>
      <c r="Y776" s="18"/>
    </row>
    <row r="777">
      <c r="A777" s="67"/>
      <c r="B777" s="66"/>
      <c r="C777" s="18"/>
      <c r="D777" s="18"/>
      <c r="E777" s="18"/>
      <c r="F777" s="65"/>
      <c r="G777" s="66"/>
      <c r="H777" s="18"/>
      <c r="I777" s="18"/>
      <c r="J777" s="18"/>
      <c r="K777" s="65"/>
      <c r="L777" s="66"/>
      <c r="M777" s="65"/>
      <c r="N777" s="66"/>
      <c r="O777" s="65"/>
      <c r="P777" s="18"/>
      <c r="Q777" s="18"/>
      <c r="R777" s="18"/>
      <c r="S777" s="18"/>
      <c r="T777" s="18"/>
      <c r="U777" s="18"/>
      <c r="V777" s="18"/>
      <c r="W777" s="18"/>
      <c r="X777" s="18"/>
      <c r="Y777" s="18"/>
    </row>
    <row r="778">
      <c r="A778" s="67"/>
      <c r="B778" s="66"/>
      <c r="C778" s="18"/>
      <c r="D778" s="18"/>
      <c r="E778" s="18"/>
      <c r="F778" s="65"/>
      <c r="G778" s="66"/>
      <c r="H778" s="18"/>
      <c r="I778" s="18"/>
      <c r="J778" s="18"/>
      <c r="K778" s="65"/>
      <c r="L778" s="66"/>
      <c r="M778" s="65"/>
      <c r="N778" s="66"/>
      <c r="O778" s="65"/>
      <c r="P778" s="18"/>
      <c r="Q778" s="18"/>
      <c r="R778" s="18"/>
      <c r="S778" s="18"/>
      <c r="T778" s="18"/>
      <c r="U778" s="18"/>
      <c r="V778" s="18"/>
      <c r="W778" s="18"/>
      <c r="X778" s="18"/>
      <c r="Y778" s="18"/>
    </row>
    <row r="779">
      <c r="A779" s="67"/>
      <c r="B779" s="66"/>
      <c r="C779" s="18"/>
      <c r="D779" s="18"/>
      <c r="E779" s="18"/>
      <c r="F779" s="65"/>
      <c r="G779" s="66"/>
      <c r="H779" s="18"/>
      <c r="I779" s="18"/>
      <c r="J779" s="18"/>
      <c r="K779" s="65"/>
      <c r="L779" s="66"/>
      <c r="M779" s="65"/>
      <c r="N779" s="66"/>
      <c r="O779" s="65"/>
      <c r="P779" s="18"/>
      <c r="Q779" s="18"/>
      <c r="R779" s="18"/>
      <c r="S779" s="18"/>
      <c r="T779" s="18"/>
      <c r="U779" s="18"/>
      <c r="V779" s="18"/>
      <c r="W779" s="18"/>
      <c r="X779" s="18"/>
      <c r="Y779" s="18"/>
    </row>
    <row r="780">
      <c r="A780" s="67"/>
      <c r="B780" s="66"/>
      <c r="C780" s="18"/>
      <c r="D780" s="18"/>
      <c r="E780" s="18"/>
      <c r="F780" s="65"/>
      <c r="G780" s="66"/>
      <c r="H780" s="18"/>
      <c r="I780" s="18"/>
      <c r="J780" s="18"/>
      <c r="K780" s="65"/>
      <c r="L780" s="66"/>
      <c r="M780" s="65"/>
      <c r="N780" s="66"/>
      <c r="O780" s="65"/>
      <c r="P780" s="18"/>
      <c r="Q780" s="18"/>
      <c r="R780" s="18"/>
      <c r="S780" s="18"/>
      <c r="T780" s="18"/>
      <c r="U780" s="18"/>
      <c r="V780" s="18"/>
      <c r="W780" s="18"/>
      <c r="X780" s="18"/>
      <c r="Y780" s="18"/>
    </row>
    <row r="781">
      <c r="A781" s="67"/>
      <c r="B781" s="66"/>
      <c r="C781" s="18"/>
      <c r="D781" s="18"/>
      <c r="E781" s="18"/>
      <c r="F781" s="65"/>
      <c r="G781" s="66"/>
      <c r="H781" s="18"/>
      <c r="I781" s="18"/>
      <c r="J781" s="18"/>
      <c r="K781" s="65"/>
      <c r="L781" s="66"/>
      <c r="M781" s="65"/>
      <c r="N781" s="66"/>
      <c r="O781" s="65"/>
      <c r="P781" s="18"/>
      <c r="Q781" s="18"/>
      <c r="R781" s="18"/>
      <c r="S781" s="18"/>
      <c r="T781" s="18"/>
      <c r="U781" s="18"/>
      <c r="V781" s="18"/>
      <c r="W781" s="18"/>
      <c r="X781" s="18"/>
      <c r="Y781" s="18"/>
    </row>
    <row r="782">
      <c r="A782" s="67"/>
      <c r="B782" s="66"/>
      <c r="C782" s="18"/>
      <c r="D782" s="18"/>
      <c r="E782" s="18"/>
      <c r="F782" s="65"/>
      <c r="G782" s="66"/>
      <c r="H782" s="18"/>
      <c r="I782" s="18"/>
      <c r="J782" s="18"/>
      <c r="K782" s="65"/>
      <c r="L782" s="66"/>
      <c r="M782" s="65"/>
      <c r="N782" s="66"/>
      <c r="O782" s="65"/>
      <c r="P782" s="18"/>
      <c r="Q782" s="18"/>
      <c r="R782" s="18"/>
      <c r="S782" s="18"/>
      <c r="T782" s="18"/>
      <c r="U782" s="18"/>
      <c r="V782" s="18"/>
      <c r="W782" s="18"/>
      <c r="X782" s="18"/>
      <c r="Y782" s="18"/>
    </row>
    <row r="783">
      <c r="A783" s="67"/>
      <c r="B783" s="66"/>
      <c r="C783" s="18"/>
      <c r="D783" s="18"/>
      <c r="E783" s="18"/>
      <c r="F783" s="65"/>
      <c r="G783" s="66"/>
      <c r="H783" s="18"/>
      <c r="I783" s="18"/>
      <c r="J783" s="18"/>
      <c r="K783" s="65"/>
      <c r="L783" s="66"/>
      <c r="M783" s="65"/>
      <c r="N783" s="66"/>
      <c r="O783" s="65"/>
      <c r="P783" s="18"/>
      <c r="Q783" s="18"/>
      <c r="R783" s="18"/>
      <c r="S783" s="18"/>
      <c r="T783" s="18"/>
      <c r="U783" s="18"/>
      <c r="V783" s="18"/>
      <c r="W783" s="18"/>
      <c r="X783" s="18"/>
      <c r="Y783" s="18"/>
    </row>
    <row r="784">
      <c r="A784" s="67"/>
      <c r="B784" s="66"/>
      <c r="C784" s="18"/>
      <c r="D784" s="18"/>
      <c r="E784" s="18"/>
      <c r="F784" s="65"/>
      <c r="G784" s="66"/>
      <c r="H784" s="18"/>
      <c r="I784" s="18"/>
      <c r="J784" s="18"/>
      <c r="K784" s="65"/>
      <c r="L784" s="66"/>
      <c r="M784" s="65"/>
      <c r="N784" s="66"/>
      <c r="O784" s="65"/>
      <c r="P784" s="18"/>
      <c r="Q784" s="18"/>
      <c r="R784" s="18"/>
      <c r="S784" s="18"/>
      <c r="T784" s="18"/>
      <c r="U784" s="18"/>
      <c r="V784" s="18"/>
      <c r="W784" s="18"/>
      <c r="X784" s="18"/>
      <c r="Y784" s="18"/>
    </row>
    <row r="785">
      <c r="A785" s="67"/>
      <c r="B785" s="66"/>
      <c r="C785" s="18"/>
      <c r="D785" s="18"/>
      <c r="E785" s="18"/>
      <c r="F785" s="65"/>
      <c r="G785" s="66"/>
      <c r="H785" s="18"/>
      <c r="I785" s="18"/>
      <c r="J785" s="18"/>
      <c r="K785" s="65"/>
      <c r="L785" s="66"/>
      <c r="M785" s="65"/>
      <c r="N785" s="66"/>
      <c r="O785" s="65"/>
      <c r="P785" s="18"/>
      <c r="Q785" s="18"/>
      <c r="R785" s="18"/>
      <c r="S785" s="18"/>
      <c r="T785" s="18"/>
      <c r="U785" s="18"/>
      <c r="V785" s="18"/>
      <c r="W785" s="18"/>
      <c r="X785" s="18"/>
      <c r="Y785" s="18"/>
    </row>
    <row r="786">
      <c r="A786" s="67"/>
      <c r="B786" s="66"/>
      <c r="C786" s="18"/>
      <c r="D786" s="18"/>
      <c r="E786" s="18"/>
      <c r="F786" s="65"/>
      <c r="G786" s="66"/>
      <c r="H786" s="18"/>
      <c r="I786" s="18"/>
      <c r="J786" s="18"/>
      <c r="K786" s="65"/>
      <c r="L786" s="66"/>
      <c r="M786" s="65"/>
      <c r="N786" s="66"/>
      <c r="O786" s="65"/>
      <c r="P786" s="18"/>
      <c r="Q786" s="18"/>
      <c r="R786" s="18"/>
      <c r="S786" s="18"/>
      <c r="T786" s="18"/>
      <c r="U786" s="18"/>
      <c r="V786" s="18"/>
      <c r="W786" s="18"/>
      <c r="X786" s="18"/>
      <c r="Y786" s="18"/>
    </row>
    <row r="787">
      <c r="A787" s="67"/>
      <c r="B787" s="66"/>
      <c r="C787" s="18"/>
      <c r="D787" s="18"/>
      <c r="E787" s="18"/>
      <c r="F787" s="65"/>
      <c r="G787" s="66"/>
      <c r="H787" s="18"/>
      <c r="I787" s="18"/>
      <c r="J787" s="18"/>
      <c r="K787" s="65"/>
      <c r="L787" s="66"/>
      <c r="M787" s="65"/>
      <c r="N787" s="66"/>
      <c r="O787" s="65"/>
      <c r="P787" s="18"/>
      <c r="Q787" s="18"/>
      <c r="R787" s="18"/>
      <c r="S787" s="18"/>
      <c r="T787" s="18"/>
      <c r="U787" s="18"/>
      <c r="V787" s="18"/>
      <c r="W787" s="18"/>
      <c r="X787" s="18"/>
      <c r="Y787" s="18"/>
    </row>
    <row r="788">
      <c r="A788" s="67"/>
      <c r="B788" s="66"/>
      <c r="C788" s="18"/>
      <c r="D788" s="18"/>
      <c r="E788" s="18"/>
      <c r="F788" s="65"/>
      <c r="G788" s="66"/>
      <c r="H788" s="18"/>
      <c r="I788" s="18"/>
      <c r="J788" s="18"/>
      <c r="K788" s="65"/>
      <c r="L788" s="66"/>
      <c r="M788" s="65"/>
      <c r="N788" s="66"/>
      <c r="O788" s="65"/>
      <c r="P788" s="18"/>
      <c r="Q788" s="18"/>
      <c r="R788" s="18"/>
      <c r="S788" s="18"/>
      <c r="T788" s="18"/>
      <c r="U788" s="18"/>
      <c r="V788" s="18"/>
      <c r="W788" s="18"/>
      <c r="X788" s="18"/>
      <c r="Y788" s="18"/>
    </row>
    <row r="789">
      <c r="A789" s="67"/>
      <c r="B789" s="66"/>
      <c r="C789" s="18"/>
      <c r="D789" s="18"/>
      <c r="E789" s="18"/>
      <c r="F789" s="65"/>
      <c r="G789" s="66"/>
      <c r="H789" s="18"/>
      <c r="I789" s="18"/>
      <c r="J789" s="18"/>
      <c r="K789" s="65"/>
      <c r="L789" s="66"/>
      <c r="M789" s="65"/>
      <c r="N789" s="66"/>
      <c r="O789" s="65"/>
      <c r="P789" s="18"/>
      <c r="Q789" s="18"/>
      <c r="R789" s="18"/>
      <c r="S789" s="18"/>
      <c r="T789" s="18"/>
      <c r="U789" s="18"/>
      <c r="V789" s="18"/>
      <c r="W789" s="18"/>
      <c r="X789" s="18"/>
      <c r="Y789" s="18"/>
    </row>
    <row r="790">
      <c r="A790" s="67"/>
      <c r="B790" s="66"/>
      <c r="C790" s="18"/>
      <c r="D790" s="18"/>
      <c r="E790" s="18"/>
      <c r="F790" s="65"/>
      <c r="G790" s="66"/>
      <c r="H790" s="18"/>
      <c r="I790" s="18"/>
      <c r="J790" s="18"/>
      <c r="K790" s="65"/>
      <c r="L790" s="66"/>
      <c r="M790" s="65"/>
      <c r="N790" s="66"/>
      <c r="O790" s="65"/>
      <c r="P790" s="18"/>
      <c r="Q790" s="18"/>
      <c r="R790" s="18"/>
      <c r="S790" s="18"/>
      <c r="T790" s="18"/>
      <c r="U790" s="18"/>
      <c r="V790" s="18"/>
      <c r="W790" s="18"/>
      <c r="X790" s="18"/>
      <c r="Y790" s="18"/>
    </row>
    <row r="791">
      <c r="A791" s="67"/>
      <c r="B791" s="66"/>
      <c r="C791" s="18"/>
      <c r="D791" s="18"/>
      <c r="E791" s="18"/>
      <c r="F791" s="65"/>
      <c r="G791" s="66"/>
      <c r="H791" s="18"/>
      <c r="I791" s="18"/>
      <c r="J791" s="18"/>
      <c r="K791" s="65"/>
      <c r="L791" s="66"/>
      <c r="M791" s="65"/>
      <c r="N791" s="66"/>
      <c r="O791" s="65"/>
      <c r="P791" s="18"/>
      <c r="Q791" s="18"/>
      <c r="R791" s="18"/>
      <c r="S791" s="18"/>
      <c r="T791" s="18"/>
      <c r="U791" s="18"/>
      <c r="V791" s="18"/>
      <c r="W791" s="18"/>
      <c r="X791" s="18"/>
      <c r="Y791" s="18"/>
    </row>
    <row r="792">
      <c r="A792" s="67"/>
      <c r="B792" s="66"/>
      <c r="C792" s="18"/>
      <c r="D792" s="18"/>
      <c r="E792" s="18"/>
      <c r="F792" s="65"/>
      <c r="G792" s="66"/>
      <c r="H792" s="18"/>
      <c r="I792" s="18"/>
      <c r="J792" s="18"/>
      <c r="K792" s="65"/>
      <c r="L792" s="66"/>
      <c r="M792" s="65"/>
      <c r="N792" s="66"/>
      <c r="O792" s="65"/>
      <c r="P792" s="18"/>
      <c r="Q792" s="18"/>
      <c r="R792" s="18"/>
      <c r="S792" s="18"/>
      <c r="T792" s="18"/>
      <c r="U792" s="18"/>
      <c r="V792" s="18"/>
      <c r="W792" s="18"/>
      <c r="X792" s="18"/>
      <c r="Y792" s="18"/>
    </row>
    <row r="793">
      <c r="A793" s="67"/>
      <c r="B793" s="66"/>
      <c r="C793" s="18"/>
      <c r="D793" s="18"/>
      <c r="E793" s="18"/>
      <c r="F793" s="65"/>
      <c r="G793" s="66"/>
      <c r="H793" s="18"/>
      <c r="I793" s="18"/>
      <c r="J793" s="18"/>
      <c r="K793" s="65"/>
      <c r="L793" s="66"/>
      <c r="M793" s="65"/>
      <c r="N793" s="66"/>
      <c r="O793" s="65"/>
      <c r="P793" s="18"/>
      <c r="Q793" s="18"/>
      <c r="R793" s="18"/>
      <c r="S793" s="18"/>
      <c r="T793" s="18"/>
      <c r="U793" s="18"/>
      <c r="V793" s="18"/>
      <c r="W793" s="18"/>
      <c r="X793" s="18"/>
      <c r="Y793" s="18"/>
    </row>
    <row r="794">
      <c r="A794" s="67"/>
      <c r="B794" s="66"/>
      <c r="C794" s="18"/>
      <c r="D794" s="18"/>
      <c r="E794" s="18"/>
      <c r="F794" s="65"/>
      <c r="G794" s="66"/>
      <c r="H794" s="18"/>
      <c r="I794" s="18"/>
      <c r="J794" s="18"/>
      <c r="K794" s="65"/>
      <c r="L794" s="66"/>
      <c r="M794" s="65"/>
      <c r="N794" s="66"/>
      <c r="O794" s="65"/>
      <c r="P794" s="18"/>
      <c r="Q794" s="18"/>
      <c r="R794" s="18"/>
      <c r="S794" s="18"/>
      <c r="T794" s="18"/>
      <c r="U794" s="18"/>
      <c r="V794" s="18"/>
      <c r="W794" s="18"/>
      <c r="X794" s="18"/>
      <c r="Y794" s="18"/>
    </row>
    <row r="795">
      <c r="A795" s="67"/>
      <c r="B795" s="66"/>
      <c r="C795" s="18"/>
      <c r="D795" s="18"/>
      <c r="E795" s="18"/>
      <c r="F795" s="65"/>
      <c r="G795" s="66"/>
      <c r="H795" s="18"/>
      <c r="I795" s="18"/>
      <c r="J795" s="18"/>
      <c r="K795" s="65"/>
      <c r="L795" s="66"/>
      <c r="M795" s="65"/>
      <c r="N795" s="66"/>
      <c r="O795" s="65"/>
      <c r="P795" s="18"/>
      <c r="Q795" s="18"/>
      <c r="R795" s="18"/>
      <c r="S795" s="18"/>
      <c r="T795" s="18"/>
      <c r="U795" s="18"/>
      <c r="V795" s="18"/>
      <c r="W795" s="18"/>
      <c r="X795" s="18"/>
      <c r="Y795" s="18"/>
    </row>
    <row r="796">
      <c r="A796" s="67"/>
      <c r="B796" s="66"/>
      <c r="C796" s="18"/>
      <c r="D796" s="18"/>
      <c r="E796" s="18"/>
      <c r="F796" s="65"/>
      <c r="G796" s="66"/>
      <c r="H796" s="18"/>
      <c r="I796" s="18"/>
      <c r="J796" s="18"/>
      <c r="K796" s="65"/>
      <c r="L796" s="66"/>
      <c r="M796" s="65"/>
      <c r="N796" s="66"/>
      <c r="O796" s="65"/>
      <c r="P796" s="18"/>
      <c r="Q796" s="18"/>
      <c r="R796" s="18"/>
      <c r="S796" s="18"/>
      <c r="T796" s="18"/>
      <c r="U796" s="18"/>
      <c r="V796" s="18"/>
      <c r="W796" s="18"/>
      <c r="X796" s="18"/>
      <c r="Y796" s="18"/>
    </row>
    <row r="797">
      <c r="A797" s="67"/>
      <c r="B797" s="66"/>
      <c r="C797" s="18"/>
      <c r="D797" s="18"/>
      <c r="E797" s="18"/>
      <c r="F797" s="65"/>
      <c r="G797" s="66"/>
      <c r="H797" s="18"/>
      <c r="I797" s="18"/>
      <c r="J797" s="18"/>
      <c r="K797" s="65"/>
      <c r="L797" s="66"/>
      <c r="M797" s="65"/>
      <c r="N797" s="66"/>
      <c r="O797" s="65"/>
      <c r="P797" s="18"/>
      <c r="Q797" s="18"/>
      <c r="R797" s="18"/>
      <c r="S797" s="18"/>
      <c r="T797" s="18"/>
      <c r="U797" s="18"/>
      <c r="V797" s="18"/>
      <c r="W797" s="18"/>
      <c r="X797" s="18"/>
      <c r="Y797" s="18"/>
    </row>
    <row r="798">
      <c r="A798" s="67"/>
      <c r="B798" s="66"/>
      <c r="C798" s="18"/>
      <c r="D798" s="18"/>
      <c r="E798" s="18"/>
      <c r="F798" s="65"/>
      <c r="G798" s="66"/>
      <c r="H798" s="18"/>
      <c r="I798" s="18"/>
      <c r="J798" s="18"/>
      <c r="K798" s="65"/>
      <c r="L798" s="66"/>
      <c r="M798" s="65"/>
      <c r="N798" s="66"/>
      <c r="O798" s="65"/>
      <c r="P798" s="18"/>
      <c r="Q798" s="18"/>
      <c r="R798" s="18"/>
      <c r="S798" s="18"/>
      <c r="T798" s="18"/>
      <c r="U798" s="18"/>
      <c r="V798" s="18"/>
      <c r="W798" s="18"/>
      <c r="X798" s="18"/>
      <c r="Y798" s="18"/>
    </row>
    <row r="799">
      <c r="A799" s="67"/>
      <c r="B799" s="66"/>
      <c r="C799" s="18"/>
      <c r="D799" s="18"/>
      <c r="E799" s="18"/>
      <c r="F799" s="65"/>
      <c r="G799" s="66"/>
      <c r="H799" s="18"/>
      <c r="I799" s="18"/>
      <c r="J799" s="18"/>
      <c r="K799" s="65"/>
      <c r="L799" s="66"/>
      <c r="M799" s="65"/>
      <c r="N799" s="66"/>
      <c r="O799" s="65"/>
      <c r="P799" s="18"/>
      <c r="Q799" s="18"/>
      <c r="R799" s="18"/>
      <c r="S799" s="18"/>
      <c r="T799" s="18"/>
      <c r="U799" s="18"/>
      <c r="V799" s="18"/>
      <c r="W799" s="18"/>
      <c r="X799" s="18"/>
      <c r="Y799" s="18"/>
    </row>
    <row r="800">
      <c r="A800" s="67"/>
      <c r="B800" s="66"/>
      <c r="C800" s="18"/>
      <c r="D800" s="18"/>
      <c r="E800" s="18"/>
      <c r="F800" s="65"/>
      <c r="G800" s="66"/>
      <c r="H800" s="18"/>
      <c r="I800" s="18"/>
      <c r="J800" s="18"/>
      <c r="K800" s="65"/>
      <c r="L800" s="66"/>
      <c r="M800" s="65"/>
      <c r="N800" s="66"/>
      <c r="O800" s="65"/>
      <c r="P800" s="18"/>
      <c r="Q800" s="18"/>
      <c r="R800" s="18"/>
      <c r="S800" s="18"/>
      <c r="T800" s="18"/>
      <c r="U800" s="18"/>
      <c r="V800" s="18"/>
      <c r="W800" s="18"/>
      <c r="X800" s="18"/>
      <c r="Y800" s="18"/>
    </row>
    <row r="801">
      <c r="A801" s="67"/>
      <c r="B801" s="66"/>
      <c r="C801" s="18"/>
      <c r="D801" s="18"/>
      <c r="E801" s="18"/>
      <c r="F801" s="65"/>
      <c r="G801" s="66"/>
      <c r="H801" s="18"/>
      <c r="I801" s="18"/>
      <c r="J801" s="18"/>
      <c r="K801" s="65"/>
      <c r="L801" s="66"/>
      <c r="M801" s="65"/>
      <c r="N801" s="66"/>
      <c r="O801" s="65"/>
      <c r="P801" s="18"/>
      <c r="Q801" s="18"/>
      <c r="R801" s="18"/>
      <c r="S801" s="18"/>
      <c r="T801" s="18"/>
      <c r="U801" s="18"/>
      <c r="V801" s="18"/>
      <c r="W801" s="18"/>
      <c r="X801" s="18"/>
      <c r="Y801" s="18"/>
    </row>
    <row r="802">
      <c r="A802" s="67"/>
      <c r="B802" s="66"/>
      <c r="C802" s="18"/>
      <c r="D802" s="18"/>
      <c r="E802" s="18"/>
      <c r="F802" s="65"/>
      <c r="G802" s="66"/>
      <c r="H802" s="18"/>
      <c r="I802" s="18"/>
      <c r="J802" s="18"/>
      <c r="K802" s="65"/>
      <c r="L802" s="66"/>
      <c r="M802" s="65"/>
      <c r="N802" s="66"/>
      <c r="O802" s="65"/>
      <c r="P802" s="18"/>
      <c r="Q802" s="18"/>
      <c r="R802" s="18"/>
      <c r="S802" s="18"/>
      <c r="T802" s="18"/>
      <c r="U802" s="18"/>
      <c r="V802" s="18"/>
      <c r="W802" s="18"/>
      <c r="X802" s="18"/>
      <c r="Y802" s="18"/>
    </row>
    <row r="803">
      <c r="A803" s="67"/>
      <c r="B803" s="66"/>
      <c r="C803" s="18"/>
      <c r="D803" s="18"/>
      <c r="E803" s="18"/>
      <c r="F803" s="65"/>
      <c r="G803" s="66"/>
      <c r="H803" s="18"/>
      <c r="I803" s="18"/>
      <c r="J803" s="18"/>
      <c r="K803" s="65"/>
      <c r="L803" s="66"/>
      <c r="M803" s="65"/>
      <c r="N803" s="66"/>
      <c r="O803" s="65"/>
      <c r="P803" s="18"/>
      <c r="Q803" s="18"/>
      <c r="R803" s="18"/>
      <c r="S803" s="18"/>
      <c r="T803" s="18"/>
      <c r="U803" s="18"/>
      <c r="V803" s="18"/>
      <c r="W803" s="18"/>
      <c r="X803" s="18"/>
      <c r="Y803" s="18"/>
    </row>
    <row r="804">
      <c r="A804" s="67"/>
      <c r="B804" s="66"/>
      <c r="C804" s="18"/>
      <c r="D804" s="18"/>
      <c r="E804" s="18"/>
      <c r="F804" s="65"/>
      <c r="G804" s="66"/>
      <c r="H804" s="18"/>
      <c r="I804" s="18"/>
      <c r="J804" s="18"/>
      <c r="K804" s="65"/>
      <c r="L804" s="66"/>
      <c r="M804" s="65"/>
      <c r="N804" s="66"/>
      <c r="O804" s="65"/>
      <c r="P804" s="18"/>
      <c r="Q804" s="18"/>
      <c r="R804" s="18"/>
      <c r="S804" s="18"/>
      <c r="T804" s="18"/>
      <c r="U804" s="18"/>
      <c r="V804" s="18"/>
      <c r="W804" s="18"/>
      <c r="X804" s="18"/>
      <c r="Y804" s="18"/>
    </row>
    <row r="805">
      <c r="A805" s="67"/>
      <c r="B805" s="66"/>
      <c r="C805" s="18"/>
      <c r="D805" s="18"/>
      <c r="E805" s="18"/>
      <c r="F805" s="65"/>
      <c r="G805" s="66"/>
      <c r="H805" s="18"/>
      <c r="I805" s="18"/>
      <c r="J805" s="18"/>
      <c r="K805" s="65"/>
      <c r="L805" s="66"/>
      <c r="M805" s="65"/>
      <c r="N805" s="66"/>
      <c r="O805" s="65"/>
      <c r="P805" s="18"/>
      <c r="Q805" s="18"/>
      <c r="R805" s="18"/>
      <c r="S805" s="18"/>
      <c r="T805" s="18"/>
      <c r="U805" s="18"/>
      <c r="V805" s="18"/>
      <c r="W805" s="18"/>
      <c r="X805" s="18"/>
      <c r="Y805" s="18"/>
    </row>
    <row r="806">
      <c r="A806" s="67"/>
      <c r="B806" s="66"/>
      <c r="C806" s="18"/>
      <c r="D806" s="18"/>
      <c r="E806" s="18"/>
      <c r="F806" s="65"/>
      <c r="G806" s="66"/>
      <c r="H806" s="18"/>
      <c r="I806" s="18"/>
      <c r="J806" s="18"/>
      <c r="K806" s="65"/>
      <c r="L806" s="66"/>
      <c r="M806" s="65"/>
      <c r="N806" s="66"/>
      <c r="O806" s="65"/>
      <c r="P806" s="18"/>
      <c r="Q806" s="18"/>
      <c r="R806" s="18"/>
      <c r="S806" s="18"/>
      <c r="T806" s="18"/>
      <c r="U806" s="18"/>
      <c r="V806" s="18"/>
      <c r="W806" s="18"/>
      <c r="X806" s="18"/>
      <c r="Y806" s="18"/>
    </row>
    <row r="807">
      <c r="A807" s="67"/>
      <c r="B807" s="66"/>
      <c r="C807" s="18"/>
      <c r="D807" s="18"/>
      <c r="E807" s="18"/>
      <c r="F807" s="65"/>
      <c r="G807" s="66"/>
      <c r="H807" s="18"/>
      <c r="I807" s="18"/>
      <c r="J807" s="18"/>
      <c r="K807" s="65"/>
      <c r="L807" s="66"/>
      <c r="M807" s="65"/>
      <c r="N807" s="66"/>
      <c r="O807" s="65"/>
      <c r="P807" s="18"/>
      <c r="Q807" s="18"/>
      <c r="R807" s="18"/>
      <c r="S807" s="18"/>
      <c r="T807" s="18"/>
      <c r="U807" s="18"/>
      <c r="V807" s="18"/>
      <c r="W807" s="18"/>
      <c r="X807" s="18"/>
      <c r="Y807" s="18"/>
    </row>
    <row r="808">
      <c r="A808" s="67"/>
      <c r="B808" s="66"/>
      <c r="C808" s="18"/>
      <c r="D808" s="18"/>
      <c r="E808" s="18"/>
      <c r="F808" s="65"/>
      <c r="G808" s="66"/>
      <c r="H808" s="18"/>
      <c r="I808" s="18"/>
      <c r="J808" s="18"/>
      <c r="K808" s="65"/>
      <c r="L808" s="66"/>
      <c r="M808" s="65"/>
      <c r="N808" s="66"/>
      <c r="O808" s="65"/>
      <c r="P808" s="18"/>
      <c r="Q808" s="18"/>
      <c r="R808" s="18"/>
      <c r="S808" s="18"/>
      <c r="T808" s="18"/>
      <c r="U808" s="18"/>
      <c r="V808" s="18"/>
      <c r="W808" s="18"/>
      <c r="X808" s="18"/>
      <c r="Y808" s="18"/>
    </row>
    <row r="809">
      <c r="A809" s="67"/>
      <c r="B809" s="66"/>
      <c r="C809" s="18"/>
      <c r="D809" s="18"/>
      <c r="E809" s="18"/>
      <c r="F809" s="65"/>
      <c r="G809" s="66"/>
      <c r="H809" s="18"/>
      <c r="I809" s="18"/>
      <c r="J809" s="18"/>
      <c r="K809" s="65"/>
      <c r="L809" s="66"/>
      <c r="M809" s="65"/>
      <c r="N809" s="66"/>
      <c r="O809" s="65"/>
      <c r="P809" s="18"/>
      <c r="Q809" s="18"/>
      <c r="R809" s="18"/>
      <c r="S809" s="18"/>
      <c r="T809" s="18"/>
      <c r="U809" s="18"/>
      <c r="V809" s="18"/>
      <c r="W809" s="18"/>
      <c r="X809" s="18"/>
      <c r="Y809" s="18"/>
    </row>
    <row r="810">
      <c r="A810" s="67"/>
      <c r="B810" s="66"/>
      <c r="C810" s="18"/>
      <c r="D810" s="18"/>
      <c r="E810" s="18"/>
      <c r="F810" s="65"/>
      <c r="G810" s="66"/>
      <c r="H810" s="18"/>
      <c r="I810" s="18"/>
      <c r="J810" s="18"/>
      <c r="K810" s="65"/>
      <c r="L810" s="66"/>
      <c r="M810" s="65"/>
      <c r="N810" s="66"/>
      <c r="O810" s="65"/>
      <c r="P810" s="18"/>
      <c r="Q810" s="18"/>
      <c r="R810" s="18"/>
      <c r="S810" s="18"/>
      <c r="T810" s="18"/>
      <c r="U810" s="18"/>
      <c r="V810" s="18"/>
      <c r="W810" s="18"/>
      <c r="X810" s="18"/>
      <c r="Y810" s="18"/>
    </row>
    <row r="811">
      <c r="A811" s="67"/>
      <c r="B811" s="66"/>
      <c r="C811" s="18"/>
      <c r="D811" s="18"/>
      <c r="E811" s="18"/>
      <c r="F811" s="65"/>
      <c r="G811" s="66"/>
      <c r="H811" s="18"/>
      <c r="I811" s="18"/>
      <c r="J811" s="18"/>
      <c r="K811" s="65"/>
      <c r="L811" s="66"/>
      <c r="M811" s="65"/>
      <c r="N811" s="66"/>
      <c r="O811" s="65"/>
      <c r="P811" s="18"/>
      <c r="Q811" s="18"/>
      <c r="R811" s="18"/>
      <c r="S811" s="18"/>
      <c r="T811" s="18"/>
      <c r="U811" s="18"/>
      <c r="V811" s="18"/>
      <c r="W811" s="18"/>
      <c r="X811" s="18"/>
      <c r="Y811" s="18"/>
    </row>
    <row r="812">
      <c r="A812" s="67"/>
      <c r="B812" s="66"/>
      <c r="C812" s="18"/>
      <c r="D812" s="18"/>
      <c r="E812" s="18"/>
      <c r="F812" s="65"/>
      <c r="G812" s="66"/>
      <c r="H812" s="18"/>
      <c r="I812" s="18"/>
      <c r="J812" s="18"/>
      <c r="K812" s="65"/>
      <c r="L812" s="66"/>
      <c r="M812" s="65"/>
      <c r="N812" s="66"/>
      <c r="O812" s="65"/>
      <c r="P812" s="18"/>
      <c r="Q812" s="18"/>
      <c r="R812" s="18"/>
      <c r="S812" s="18"/>
      <c r="T812" s="18"/>
      <c r="U812" s="18"/>
      <c r="V812" s="18"/>
      <c r="W812" s="18"/>
      <c r="X812" s="18"/>
      <c r="Y812" s="18"/>
    </row>
    <row r="813">
      <c r="A813" s="67"/>
      <c r="B813" s="66"/>
      <c r="C813" s="18"/>
      <c r="D813" s="18"/>
      <c r="E813" s="18"/>
      <c r="F813" s="65"/>
      <c r="G813" s="66"/>
      <c r="H813" s="18"/>
      <c r="I813" s="18"/>
      <c r="J813" s="18"/>
      <c r="K813" s="65"/>
      <c r="L813" s="66"/>
      <c r="M813" s="65"/>
      <c r="N813" s="66"/>
      <c r="O813" s="65"/>
      <c r="P813" s="18"/>
      <c r="Q813" s="18"/>
      <c r="R813" s="18"/>
      <c r="S813" s="18"/>
      <c r="T813" s="18"/>
      <c r="U813" s="18"/>
      <c r="V813" s="18"/>
      <c r="W813" s="18"/>
      <c r="X813" s="18"/>
      <c r="Y813" s="18"/>
    </row>
    <row r="814">
      <c r="A814" s="67"/>
      <c r="B814" s="66"/>
      <c r="C814" s="18"/>
      <c r="D814" s="18"/>
      <c r="E814" s="18"/>
      <c r="F814" s="65"/>
      <c r="G814" s="66"/>
      <c r="H814" s="18"/>
      <c r="I814" s="18"/>
      <c r="J814" s="18"/>
      <c r="K814" s="65"/>
      <c r="L814" s="66"/>
      <c r="M814" s="65"/>
      <c r="N814" s="66"/>
      <c r="O814" s="65"/>
      <c r="P814" s="18"/>
      <c r="Q814" s="18"/>
      <c r="R814" s="18"/>
      <c r="S814" s="18"/>
      <c r="T814" s="18"/>
      <c r="U814" s="18"/>
      <c r="V814" s="18"/>
      <c r="W814" s="18"/>
      <c r="X814" s="18"/>
      <c r="Y814" s="18"/>
    </row>
    <row r="815">
      <c r="A815" s="67"/>
      <c r="B815" s="66"/>
      <c r="C815" s="18"/>
      <c r="D815" s="18"/>
      <c r="E815" s="18"/>
      <c r="F815" s="65"/>
      <c r="G815" s="66"/>
      <c r="H815" s="18"/>
      <c r="I815" s="18"/>
      <c r="J815" s="18"/>
      <c r="K815" s="65"/>
      <c r="L815" s="66"/>
      <c r="M815" s="65"/>
      <c r="N815" s="66"/>
      <c r="O815" s="65"/>
      <c r="P815" s="18"/>
      <c r="Q815" s="18"/>
      <c r="R815" s="18"/>
      <c r="S815" s="18"/>
      <c r="T815" s="18"/>
      <c r="U815" s="18"/>
      <c r="V815" s="18"/>
      <c r="W815" s="18"/>
      <c r="X815" s="18"/>
      <c r="Y815" s="18"/>
    </row>
    <row r="816">
      <c r="A816" s="67"/>
      <c r="B816" s="66"/>
      <c r="C816" s="18"/>
      <c r="D816" s="18"/>
      <c r="E816" s="18"/>
      <c r="F816" s="65"/>
      <c r="G816" s="66"/>
      <c r="H816" s="18"/>
      <c r="I816" s="18"/>
      <c r="J816" s="18"/>
      <c r="K816" s="65"/>
      <c r="L816" s="66"/>
      <c r="M816" s="65"/>
      <c r="N816" s="66"/>
      <c r="O816" s="65"/>
      <c r="P816" s="18"/>
      <c r="Q816" s="18"/>
      <c r="R816" s="18"/>
      <c r="S816" s="18"/>
      <c r="T816" s="18"/>
      <c r="U816" s="18"/>
      <c r="V816" s="18"/>
      <c r="W816" s="18"/>
      <c r="X816" s="18"/>
      <c r="Y816" s="18"/>
    </row>
    <row r="817">
      <c r="A817" s="67"/>
      <c r="B817" s="66"/>
      <c r="C817" s="18"/>
      <c r="D817" s="18"/>
      <c r="E817" s="18"/>
      <c r="F817" s="65"/>
      <c r="G817" s="66"/>
      <c r="H817" s="18"/>
      <c r="I817" s="18"/>
      <c r="J817" s="18"/>
      <c r="K817" s="65"/>
      <c r="L817" s="66"/>
      <c r="M817" s="65"/>
      <c r="N817" s="66"/>
      <c r="O817" s="65"/>
      <c r="P817" s="18"/>
      <c r="Q817" s="18"/>
      <c r="R817" s="18"/>
      <c r="S817" s="18"/>
      <c r="T817" s="18"/>
      <c r="U817" s="18"/>
      <c r="V817" s="18"/>
      <c r="W817" s="18"/>
      <c r="X817" s="18"/>
      <c r="Y817" s="18"/>
    </row>
    <row r="818">
      <c r="A818" s="67"/>
      <c r="B818" s="66"/>
      <c r="C818" s="18"/>
      <c r="D818" s="18"/>
      <c r="E818" s="18"/>
      <c r="F818" s="65"/>
      <c r="G818" s="66"/>
      <c r="H818" s="18"/>
      <c r="I818" s="18"/>
      <c r="J818" s="18"/>
      <c r="K818" s="65"/>
      <c r="L818" s="66"/>
      <c r="M818" s="65"/>
      <c r="N818" s="66"/>
      <c r="O818" s="65"/>
      <c r="P818" s="18"/>
      <c r="Q818" s="18"/>
      <c r="R818" s="18"/>
      <c r="S818" s="18"/>
      <c r="T818" s="18"/>
      <c r="U818" s="18"/>
      <c r="V818" s="18"/>
      <c r="W818" s="18"/>
      <c r="X818" s="18"/>
      <c r="Y818" s="18"/>
    </row>
    <row r="819">
      <c r="A819" s="67"/>
      <c r="B819" s="66"/>
      <c r="C819" s="18"/>
      <c r="D819" s="18"/>
      <c r="E819" s="18"/>
      <c r="F819" s="65"/>
      <c r="G819" s="66"/>
      <c r="H819" s="18"/>
      <c r="I819" s="18"/>
      <c r="J819" s="18"/>
      <c r="K819" s="65"/>
      <c r="L819" s="66"/>
      <c r="M819" s="65"/>
      <c r="N819" s="66"/>
      <c r="O819" s="65"/>
      <c r="P819" s="18"/>
      <c r="Q819" s="18"/>
      <c r="R819" s="18"/>
      <c r="S819" s="18"/>
      <c r="T819" s="18"/>
      <c r="U819" s="18"/>
      <c r="V819" s="18"/>
      <c r="W819" s="18"/>
      <c r="X819" s="18"/>
      <c r="Y819" s="18"/>
    </row>
    <row r="820">
      <c r="A820" s="67"/>
      <c r="B820" s="66"/>
      <c r="C820" s="18"/>
      <c r="D820" s="18"/>
      <c r="E820" s="18"/>
      <c r="F820" s="65"/>
      <c r="G820" s="66"/>
      <c r="H820" s="18"/>
      <c r="I820" s="18"/>
      <c r="J820" s="18"/>
      <c r="K820" s="65"/>
      <c r="L820" s="66"/>
      <c r="M820" s="65"/>
      <c r="N820" s="66"/>
      <c r="O820" s="65"/>
      <c r="P820" s="18"/>
      <c r="Q820" s="18"/>
      <c r="R820" s="18"/>
      <c r="S820" s="18"/>
      <c r="T820" s="18"/>
      <c r="U820" s="18"/>
      <c r="V820" s="18"/>
      <c r="W820" s="18"/>
      <c r="X820" s="18"/>
      <c r="Y820" s="18"/>
    </row>
    <row r="821">
      <c r="A821" s="67"/>
      <c r="B821" s="66"/>
      <c r="C821" s="18"/>
      <c r="D821" s="18"/>
      <c r="E821" s="18"/>
      <c r="F821" s="65"/>
      <c r="G821" s="66"/>
      <c r="H821" s="18"/>
      <c r="I821" s="18"/>
      <c r="J821" s="18"/>
      <c r="K821" s="65"/>
      <c r="L821" s="66"/>
      <c r="M821" s="65"/>
      <c r="N821" s="66"/>
      <c r="O821" s="65"/>
      <c r="P821" s="18"/>
      <c r="Q821" s="18"/>
      <c r="R821" s="18"/>
      <c r="S821" s="18"/>
      <c r="T821" s="18"/>
      <c r="U821" s="18"/>
      <c r="V821" s="18"/>
      <c r="W821" s="18"/>
      <c r="X821" s="18"/>
      <c r="Y821" s="18"/>
    </row>
    <row r="822">
      <c r="A822" s="67"/>
      <c r="B822" s="66"/>
      <c r="C822" s="18"/>
      <c r="D822" s="18"/>
      <c r="E822" s="18"/>
      <c r="F822" s="65"/>
      <c r="G822" s="66"/>
      <c r="H822" s="18"/>
      <c r="I822" s="18"/>
      <c r="J822" s="18"/>
      <c r="K822" s="65"/>
      <c r="L822" s="66"/>
      <c r="M822" s="65"/>
      <c r="N822" s="66"/>
      <c r="O822" s="65"/>
      <c r="P822" s="18"/>
      <c r="Q822" s="18"/>
      <c r="R822" s="18"/>
      <c r="S822" s="18"/>
      <c r="T822" s="18"/>
      <c r="U822" s="18"/>
      <c r="V822" s="18"/>
      <c r="W822" s="18"/>
      <c r="X822" s="18"/>
      <c r="Y822" s="18"/>
    </row>
    <row r="823">
      <c r="A823" s="67"/>
      <c r="B823" s="66"/>
      <c r="C823" s="18"/>
      <c r="D823" s="18"/>
      <c r="E823" s="18"/>
      <c r="F823" s="65"/>
      <c r="G823" s="66"/>
      <c r="H823" s="18"/>
      <c r="I823" s="18"/>
      <c r="J823" s="18"/>
      <c r="K823" s="65"/>
      <c r="L823" s="66"/>
      <c r="M823" s="65"/>
      <c r="N823" s="66"/>
      <c r="O823" s="65"/>
      <c r="P823" s="18"/>
      <c r="Q823" s="18"/>
      <c r="R823" s="18"/>
      <c r="S823" s="18"/>
      <c r="T823" s="18"/>
      <c r="U823" s="18"/>
      <c r="V823" s="18"/>
      <c r="W823" s="18"/>
      <c r="X823" s="18"/>
      <c r="Y823" s="18"/>
    </row>
    <row r="824">
      <c r="A824" s="67"/>
      <c r="B824" s="66"/>
      <c r="C824" s="18"/>
      <c r="D824" s="18"/>
      <c r="E824" s="18"/>
      <c r="F824" s="65"/>
      <c r="G824" s="66"/>
      <c r="H824" s="18"/>
      <c r="I824" s="18"/>
      <c r="J824" s="18"/>
      <c r="K824" s="65"/>
      <c r="L824" s="66"/>
      <c r="M824" s="65"/>
      <c r="N824" s="66"/>
      <c r="O824" s="65"/>
      <c r="P824" s="18"/>
      <c r="Q824" s="18"/>
      <c r="R824" s="18"/>
      <c r="S824" s="18"/>
      <c r="T824" s="18"/>
      <c r="U824" s="18"/>
      <c r="V824" s="18"/>
      <c r="W824" s="18"/>
      <c r="X824" s="18"/>
      <c r="Y824" s="18"/>
    </row>
    <row r="825">
      <c r="A825" s="67"/>
      <c r="B825" s="66"/>
      <c r="C825" s="18"/>
      <c r="D825" s="18"/>
      <c r="E825" s="18"/>
      <c r="F825" s="65"/>
      <c r="G825" s="66"/>
      <c r="H825" s="18"/>
      <c r="I825" s="18"/>
      <c r="J825" s="18"/>
      <c r="K825" s="65"/>
      <c r="L825" s="66"/>
      <c r="M825" s="65"/>
      <c r="N825" s="66"/>
      <c r="O825" s="65"/>
      <c r="P825" s="18"/>
      <c r="Q825" s="18"/>
      <c r="R825" s="18"/>
      <c r="S825" s="18"/>
      <c r="T825" s="18"/>
      <c r="U825" s="18"/>
      <c r="V825" s="18"/>
      <c r="W825" s="18"/>
      <c r="X825" s="18"/>
      <c r="Y825" s="18"/>
    </row>
    <row r="826">
      <c r="A826" s="67"/>
      <c r="B826" s="66"/>
      <c r="C826" s="18"/>
      <c r="D826" s="18"/>
      <c r="E826" s="18"/>
      <c r="F826" s="65"/>
      <c r="G826" s="66"/>
      <c r="H826" s="18"/>
      <c r="I826" s="18"/>
      <c r="J826" s="18"/>
      <c r="K826" s="65"/>
      <c r="L826" s="66"/>
      <c r="M826" s="65"/>
      <c r="N826" s="66"/>
      <c r="O826" s="65"/>
      <c r="P826" s="18"/>
      <c r="Q826" s="18"/>
      <c r="R826" s="18"/>
      <c r="S826" s="18"/>
      <c r="T826" s="18"/>
      <c r="U826" s="18"/>
      <c r="V826" s="18"/>
      <c r="W826" s="18"/>
      <c r="X826" s="18"/>
      <c r="Y826" s="18"/>
    </row>
    <row r="827">
      <c r="A827" s="67"/>
      <c r="B827" s="66"/>
      <c r="C827" s="18"/>
      <c r="D827" s="18"/>
      <c r="E827" s="18"/>
      <c r="F827" s="65"/>
      <c r="G827" s="66"/>
      <c r="H827" s="18"/>
      <c r="I827" s="18"/>
      <c r="J827" s="18"/>
      <c r="K827" s="65"/>
      <c r="L827" s="66"/>
      <c r="M827" s="65"/>
      <c r="N827" s="66"/>
      <c r="O827" s="65"/>
      <c r="P827" s="18"/>
      <c r="Q827" s="18"/>
      <c r="R827" s="18"/>
      <c r="S827" s="18"/>
      <c r="T827" s="18"/>
      <c r="U827" s="18"/>
      <c r="V827" s="18"/>
      <c r="W827" s="18"/>
      <c r="X827" s="18"/>
      <c r="Y827" s="18"/>
    </row>
    <row r="828">
      <c r="A828" s="67"/>
      <c r="B828" s="66"/>
      <c r="C828" s="18"/>
      <c r="D828" s="18"/>
      <c r="E828" s="18"/>
      <c r="F828" s="65"/>
      <c r="G828" s="66"/>
      <c r="H828" s="18"/>
      <c r="I828" s="18"/>
      <c r="J828" s="18"/>
      <c r="K828" s="65"/>
      <c r="L828" s="66"/>
      <c r="M828" s="65"/>
      <c r="N828" s="66"/>
      <c r="O828" s="65"/>
      <c r="P828" s="18"/>
      <c r="Q828" s="18"/>
      <c r="R828" s="18"/>
      <c r="S828" s="18"/>
      <c r="T828" s="18"/>
      <c r="U828" s="18"/>
      <c r="V828" s="18"/>
      <c r="W828" s="18"/>
      <c r="X828" s="18"/>
      <c r="Y828" s="18"/>
    </row>
    <row r="829">
      <c r="A829" s="67"/>
      <c r="B829" s="66"/>
      <c r="C829" s="18"/>
      <c r="D829" s="18"/>
      <c r="E829" s="18"/>
      <c r="F829" s="65"/>
      <c r="G829" s="66"/>
      <c r="H829" s="18"/>
      <c r="I829" s="18"/>
      <c r="J829" s="18"/>
      <c r="K829" s="65"/>
      <c r="L829" s="66"/>
      <c r="M829" s="65"/>
      <c r="N829" s="66"/>
      <c r="O829" s="65"/>
      <c r="P829" s="18"/>
      <c r="Q829" s="18"/>
      <c r="R829" s="18"/>
      <c r="S829" s="18"/>
      <c r="T829" s="18"/>
      <c r="U829" s="18"/>
      <c r="V829" s="18"/>
      <c r="W829" s="18"/>
      <c r="X829" s="18"/>
      <c r="Y829" s="18"/>
    </row>
    <row r="830">
      <c r="A830" s="67"/>
      <c r="B830" s="66"/>
      <c r="C830" s="18"/>
      <c r="D830" s="18"/>
      <c r="E830" s="18"/>
      <c r="F830" s="65"/>
      <c r="G830" s="66"/>
      <c r="H830" s="18"/>
      <c r="I830" s="18"/>
      <c r="J830" s="18"/>
      <c r="K830" s="65"/>
      <c r="L830" s="66"/>
      <c r="M830" s="65"/>
      <c r="N830" s="66"/>
      <c r="O830" s="65"/>
      <c r="P830" s="18"/>
      <c r="Q830" s="18"/>
      <c r="R830" s="18"/>
      <c r="S830" s="18"/>
      <c r="T830" s="18"/>
      <c r="U830" s="18"/>
      <c r="V830" s="18"/>
      <c r="W830" s="18"/>
      <c r="X830" s="18"/>
      <c r="Y830" s="18"/>
    </row>
    <row r="831">
      <c r="A831" s="67"/>
      <c r="B831" s="66"/>
      <c r="C831" s="18"/>
      <c r="D831" s="18"/>
      <c r="E831" s="18"/>
      <c r="F831" s="65"/>
      <c r="G831" s="66"/>
      <c r="H831" s="18"/>
      <c r="I831" s="18"/>
      <c r="J831" s="18"/>
      <c r="K831" s="65"/>
      <c r="L831" s="66"/>
      <c r="M831" s="65"/>
      <c r="N831" s="66"/>
      <c r="O831" s="65"/>
      <c r="P831" s="18"/>
      <c r="Q831" s="18"/>
      <c r="R831" s="18"/>
      <c r="S831" s="18"/>
      <c r="T831" s="18"/>
      <c r="U831" s="18"/>
      <c r="V831" s="18"/>
      <c r="W831" s="18"/>
      <c r="X831" s="18"/>
      <c r="Y831" s="18"/>
    </row>
    <row r="832">
      <c r="A832" s="67"/>
      <c r="B832" s="66"/>
      <c r="C832" s="18"/>
      <c r="D832" s="18"/>
      <c r="E832" s="18"/>
      <c r="F832" s="65"/>
      <c r="G832" s="66"/>
      <c r="H832" s="18"/>
      <c r="I832" s="18"/>
      <c r="J832" s="18"/>
      <c r="K832" s="65"/>
      <c r="L832" s="66"/>
      <c r="M832" s="65"/>
      <c r="N832" s="66"/>
      <c r="O832" s="65"/>
      <c r="P832" s="18"/>
      <c r="Q832" s="18"/>
      <c r="R832" s="18"/>
      <c r="S832" s="18"/>
      <c r="T832" s="18"/>
      <c r="U832" s="18"/>
      <c r="V832" s="18"/>
      <c r="W832" s="18"/>
      <c r="X832" s="18"/>
      <c r="Y832" s="18"/>
    </row>
    <row r="833">
      <c r="A833" s="67"/>
      <c r="B833" s="66"/>
      <c r="C833" s="18"/>
      <c r="D833" s="18"/>
      <c r="E833" s="18"/>
      <c r="F833" s="65"/>
      <c r="G833" s="66"/>
      <c r="H833" s="18"/>
      <c r="I833" s="18"/>
      <c r="J833" s="18"/>
      <c r="K833" s="65"/>
      <c r="L833" s="66"/>
      <c r="M833" s="65"/>
      <c r="N833" s="66"/>
      <c r="O833" s="65"/>
      <c r="P833" s="18"/>
      <c r="Q833" s="18"/>
      <c r="R833" s="18"/>
      <c r="S833" s="18"/>
      <c r="T833" s="18"/>
      <c r="U833" s="18"/>
      <c r="V833" s="18"/>
      <c r="W833" s="18"/>
      <c r="X833" s="18"/>
      <c r="Y833" s="18"/>
    </row>
    <row r="834">
      <c r="A834" s="67"/>
      <c r="B834" s="66"/>
      <c r="C834" s="18"/>
      <c r="D834" s="18"/>
      <c r="E834" s="18"/>
      <c r="F834" s="65"/>
      <c r="G834" s="66"/>
      <c r="H834" s="18"/>
      <c r="I834" s="18"/>
      <c r="J834" s="18"/>
      <c r="K834" s="65"/>
      <c r="L834" s="66"/>
      <c r="M834" s="65"/>
      <c r="N834" s="66"/>
      <c r="O834" s="65"/>
      <c r="P834" s="18"/>
      <c r="Q834" s="18"/>
      <c r="R834" s="18"/>
      <c r="S834" s="18"/>
      <c r="T834" s="18"/>
      <c r="U834" s="18"/>
      <c r="V834" s="18"/>
      <c r="W834" s="18"/>
      <c r="X834" s="18"/>
      <c r="Y834" s="18"/>
    </row>
    <row r="835">
      <c r="A835" s="67"/>
      <c r="B835" s="66"/>
      <c r="C835" s="18"/>
      <c r="D835" s="18"/>
      <c r="E835" s="18"/>
      <c r="F835" s="65"/>
      <c r="G835" s="66"/>
      <c r="H835" s="18"/>
      <c r="I835" s="18"/>
      <c r="J835" s="18"/>
      <c r="K835" s="65"/>
      <c r="L835" s="66"/>
      <c r="M835" s="65"/>
      <c r="N835" s="66"/>
      <c r="O835" s="65"/>
      <c r="P835" s="18"/>
      <c r="Q835" s="18"/>
      <c r="R835" s="18"/>
      <c r="S835" s="18"/>
      <c r="T835" s="18"/>
      <c r="U835" s="18"/>
      <c r="V835" s="18"/>
      <c r="W835" s="18"/>
      <c r="X835" s="18"/>
      <c r="Y835" s="18"/>
    </row>
    <row r="836">
      <c r="A836" s="67"/>
      <c r="B836" s="66"/>
      <c r="C836" s="18"/>
      <c r="D836" s="18"/>
      <c r="E836" s="18"/>
      <c r="F836" s="65"/>
      <c r="G836" s="66"/>
      <c r="H836" s="18"/>
      <c r="I836" s="18"/>
      <c r="J836" s="18"/>
      <c r="K836" s="65"/>
      <c r="L836" s="66"/>
      <c r="M836" s="65"/>
      <c r="N836" s="66"/>
      <c r="O836" s="65"/>
      <c r="P836" s="18"/>
      <c r="Q836" s="18"/>
      <c r="R836" s="18"/>
      <c r="S836" s="18"/>
      <c r="T836" s="18"/>
      <c r="U836" s="18"/>
      <c r="V836" s="18"/>
      <c r="W836" s="18"/>
      <c r="X836" s="18"/>
      <c r="Y836" s="18"/>
    </row>
    <row r="837">
      <c r="A837" s="67"/>
      <c r="B837" s="66"/>
      <c r="C837" s="18"/>
      <c r="D837" s="18"/>
      <c r="E837" s="18"/>
      <c r="F837" s="65"/>
      <c r="G837" s="66"/>
      <c r="H837" s="18"/>
      <c r="I837" s="18"/>
      <c r="J837" s="18"/>
      <c r="K837" s="65"/>
      <c r="L837" s="66"/>
      <c r="M837" s="65"/>
      <c r="N837" s="66"/>
      <c r="O837" s="65"/>
      <c r="P837" s="18"/>
      <c r="Q837" s="18"/>
      <c r="R837" s="18"/>
      <c r="S837" s="18"/>
      <c r="T837" s="18"/>
      <c r="U837" s="18"/>
      <c r="V837" s="18"/>
      <c r="W837" s="18"/>
      <c r="X837" s="18"/>
      <c r="Y837" s="18"/>
    </row>
    <row r="838">
      <c r="A838" s="67"/>
      <c r="B838" s="66"/>
      <c r="C838" s="18"/>
      <c r="D838" s="18"/>
      <c r="E838" s="18"/>
      <c r="F838" s="65"/>
      <c r="G838" s="66"/>
      <c r="H838" s="18"/>
      <c r="I838" s="18"/>
      <c r="J838" s="18"/>
      <c r="K838" s="65"/>
      <c r="L838" s="66"/>
      <c r="M838" s="65"/>
      <c r="N838" s="66"/>
      <c r="O838" s="65"/>
      <c r="P838" s="18"/>
      <c r="Q838" s="18"/>
      <c r="R838" s="18"/>
      <c r="S838" s="18"/>
      <c r="T838" s="18"/>
      <c r="U838" s="18"/>
      <c r="V838" s="18"/>
      <c r="W838" s="18"/>
      <c r="X838" s="18"/>
      <c r="Y838" s="18"/>
    </row>
    <row r="839">
      <c r="A839" s="67"/>
      <c r="B839" s="66"/>
      <c r="C839" s="18"/>
      <c r="D839" s="18"/>
      <c r="E839" s="18"/>
      <c r="F839" s="65"/>
      <c r="G839" s="66"/>
      <c r="H839" s="18"/>
      <c r="I839" s="18"/>
      <c r="J839" s="18"/>
      <c r="K839" s="65"/>
      <c r="L839" s="66"/>
      <c r="M839" s="65"/>
      <c r="N839" s="66"/>
      <c r="O839" s="65"/>
      <c r="P839" s="18"/>
      <c r="Q839" s="18"/>
      <c r="R839" s="18"/>
      <c r="S839" s="18"/>
      <c r="T839" s="18"/>
      <c r="U839" s="18"/>
      <c r="V839" s="18"/>
      <c r="W839" s="18"/>
      <c r="X839" s="18"/>
      <c r="Y839" s="18"/>
    </row>
    <row r="840">
      <c r="A840" s="67"/>
      <c r="B840" s="66"/>
      <c r="C840" s="18"/>
      <c r="D840" s="18"/>
      <c r="E840" s="18"/>
      <c r="F840" s="65"/>
      <c r="G840" s="66"/>
      <c r="H840" s="18"/>
      <c r="I840" s="18"/>
      <c r="J840" s="18"/>
      <c r="K840" s="65"/>
      <c r="L840" s="66"/>
      <c r="M840" s="65"/>
      <c r="N840" s="66"/>
      <c r="O840" s="65"/>
      <c r="P840" s="18"/>
      <c r="Q840" s="18"/>
      <c r="R840" s="18"/>
      <c r="S840" s="18"/>
      <c r="T840" s="18"/>
      <c r="U840" s="18"/>
      <c r="V840" s="18"/>
      <c r="W840" s="18"/>
      <c r="X840" s="18"/>
      <c r="Y840" s="18"/>
    </row>
    <row r="841">
      <c r="A841" s="67"/>
      <c r="B841" s="66"/>
      <c r="C841" s="18"/>
      <c r="D841" s="18"/>
      <c r="E841" s="18"/>
      <c r="F841" s="65"/>
      <c r="G841" s="66"/>
      <c r="H841" s="18"/>
      <c r="I841" s="18"/>
      <c r="J841" s="18"/>
      <c r="K841" s="65"/>
      <c r="L841" s="66"/>
      <c r="M841" s="65"/>
      <c r="N841" s="66"/>
      <c r="O841" s="65"/>
      <c r="P841" s="18"/>
      <c r="Q841" s="18"/>
      <c r="R841" s="18"/>
      <c r="S841" s="18"/>
      <c r="T841" s="18"/>
      <c r="U841" s="18"/>
      <c r="V841" s="18"/>
      <c r="W841" s="18"/>
      <c r="X841" s="18"/>
      <c r="Y841" s="18"/>
    </row>
    <row r="842">
      <c r="A842" s="67"/>
      <c r="B842" s="66"/>
      <c r="C842" s="18"/>
      <c r="D842" s="18"/>
      <c r="E842" s="18"/>
      <c r="F842" s="65"/>
      <c r="G842" s="66"/>
      <c r="H842" s="18"/>
      <c r="I842" s="18"/>
      <c r="J842" s="18"/>
      <c r="K842" s="65"/>
      <c r="L842" s="66"/>
      <c r="M842" s="65"/>
      <c r="N842" s="66"/>
      <c r="O842" s="65"/>
      <c r="P842" s="18"/>
      <c r="Q842" s="18"/>
      <c r="R842" s="18"/>
      <c r="S842" s="18"/>
      <c r="T842" s="18"/>
      <c r="U842" s="18"/>
      <c r="V842" s="18"/>
      <c r="W842" s="18"/>
      <c r="X842" s="18"/>
      <c r="Y842" s="18"/>
    </row>
    <row r="843">
      <c r="A843" s="67"/>
      <c r="B843" s="66"/>
      <c r="C843" s="18"/>
      <c r="D843" s="18"/>
      <c r="E843" s="18"/>
      <c r="F843" s="65"/>
      <c r="G843" s="66"/>
      <c r="H843" s="18"/>
      <c r="I843" s="18"/>
      <c r="J843" s="18"/>
      <c r="K843" s="65"/>
      <c r="L843" s="66"/>
      <c r="M843" s="65"/>
      <c r="N843" s="66"/>
      <c r="O843" s="65"/>
      <c r="P843" s="18"/>
      <c r="Q843" s="18"/>
      <c r="R843" s="18"/>
      <c r="S843" s="18"/>
      <c r="T843" s="18"/>
      <c r="U843" s="18"/>
      <c r="V843" s="18"/>
      <c r="W843" s="18"/>
      <c r="X843" s="18"/>
      <c r="Y843" s="18"/>
    </row>
    <row r="844">
      <c r="A844" s="67"/>
      <c r="B844" s="66"/>
      <c r="C844" s="18"/>
      <c r="D844" s="18"/>
      <c r="E844" s="18"/>
      <c r="F844" s="65"/>
      <c r="G844" s="66"/>
      <c r="H844" s="18"/>
      <c r="I844" s="18"/>
      <c r="J844" s="18"/>
      <c r="K844" s="65"/>
      <c r="L844" s="66"/>
      <c r="M844" s="65"/>
      <c r="N844" s="66"/>
      <c r="O844" s="65"/>
      <c r="P844" s="18"/>
      <c r="Q844" s="18"/>
      <c r="R844" s="18"/>
      <c r="S844" s="18"/>
      <c r="T844" s="18"/>
      <c r="U844" s="18"/>
      <c r="V844" s="18"/>
      <c r="W844" s="18"/>
      <c r="X844" s="18"/>
      <c r="Y844" s="18"/>
    </row>
    <row r="845">
      <c r="A845" s="67"/>
      <c r="B845" s="66"/>
      <c r="C845" s="18"/>
      <c r="D845" s="18"/>
      <c r="E845" s="18"/>
      <c r="F845" s="65"/>
      <c r="G845" s="66"/>
      <c r="H845" s="18"/>
      <c r="I845" s="18"/>
      <c r="J845" s="18"/>
      <c r="K845" s="65"/>
      <c r="L845" s="66"/>
      <c r="M845" s="65"/>
      <c r="N845" s="66"/>
      <c r="O845" s="65"/>
      <c r="P845" s="18"/>
      <c r="Q845" s="18"/>
      <c r="R845" s="18"/>
      <c r="S845" s="18"/>
      <c r="T845" s="18"/>
      <c r="U845" s="18"/>
      <c r="V845" s="18"/>
      <c r="W845" s="18"/>
      <c r="X845" s="18"/>
      <c r="Y845" s="18"/>
    </row>
    <row r="846">
      <c r="A846" s="67"/>
      <c r="B846" s="66"/>
      <c r="C846" s="18"/>
      <c r="D846" s="18"/>
      <c r="E846" s="18"/>
      <c r="F846" s="65"/>
      <c r="G846" s="66"/>
      <c r="H846" s="18"/>
      <c r="I846" s="18"/>
      <c r="J846" s="18"/>
      <c r="K846" s="65"/>
      <c r="L846" s="66"/>
      <c r="M846" s="65"/>
      <c r="N846" s="66"/>
      <c r="O846" s="65"/>
      <c r="P846" s="18"/>
      <c r="Q846" s="18"/>
      <c r="R846" s="18"/>
      <c r="S846" s="18"/>
      <c r="T846" s="18"/>
      <c r="U846" s="18"/>
      <c r="V846" s="18"/>
      <c r="W846" s="18"/>
      <c r="X846" s="18"/>
      <c r="Y846" s="18"/>
    </row>
    <row r="847">
      <c r="A847" s="67"/>
      <c r="B847" s="66"/>
      <c r="C847" s="18"/>
      <c r="D847" s="18"/>
      <c r="E847" s="18"/>
      <c r="F847" s="65"/>
      <c r="G847" s="66"/>
      <c r="H847" s="18"/>
      <c r="I847" s="18"/>
      <c r="J847" s="18"/>
      <c r="K847" s="65"/>
      <c r="L847" s="66"/>
      <c r="M847" s="65"/>
      <c r="N847" s="66"/>
      <c r="O847" s="65"/>
      <c r="P847" s="18"/>
      <c r="Q847" s="18"/>
      <c r="R847" s="18"/>
      <c r="S847" s="18"/>
      <c r="T847" s="18"/>
      <c r="U847" s="18"/>
      <c r="V847" s="18"/>
      <c r="W847" s="18"/>
      <c r="X847" s="18"/>
      <c r="Y847" s="18"/>
    </row>
    <row r="848">
      <c r="A848" s="67"/>
      <c r="B848" s="66"/>
      <c r="C848" s="18"/>
      <c r="D848" s="18"/>
      <c r="E848" s="18"/>
      <c r="F848" s="65"/>
      <c r="G848" s="66"/>
      <c r="H848" s="18"/>
      <c r="I848" s="18"/>
      <c r="J848" s="18"/>
      <c r="K848" s="65"/>
      <c r="L848" s="66"/>
      <c r="M848" s="65"/>
      <c r="N848" s="66"/>
      <c r="O848" s="65"/>
      <c r="P848" s="18"/>
      <c r="Q848" s="18"/>
      <c r="R848" s="18"/>
      <c r="S848" s="18"/>
      <c r="T848" s="18"/>
      <c r="U848" s="18"/>
      <c r="V848" s="18"/>
      <c r="W848" s="18"/>
      <c r="X848" s="18"/>
      <c r="Y848" s="18"/>
    </row>
    <row r="849">
      <c r="A849" s="67"/>
      <c r="B849" s="66"/>
      <c r="C849" s="18"/>
      <c r="D849" s="18"/>
      <c r="E849" s="18"/>
      <c r="F849" s="65"/>
      <c r="G849" s="66"/>
      <c r="H849" s="18"/>
      <c r="I849" s="18"/>
      <c r="J849" s="18"/>
      <c r="K849" s="65"/>
      <c r="L849" s="66"/>
      <c r="M849" s="65"/>
      <c r="N849" s="66"/>
      <c r="O849" s="65"/>
      <c r="P849" s="18"/>
      <c r="Q849" s="18"/>
      <c r="R849" s="18"/>
      <c r="S849" s="18"/>
      <c r="T849" s="18"/>
      <c r="U849" s="18"/>
      <c r="V849" s="18"/>
      <c r="W849" s="18"/>
      <c r="X849" s="18"/>
      <c r="Y849" s="18"/>
    </row>
    <row r="850">
      <c r="A850" s="67"/>
      <c r="B850" s="66"/>
      <c r="C850" s="18"/>
      <c r="D850" s="18"/>
      <c r="E850" s="18"/>
      <c r="F850" s="65"/>
      <c r="G850" s="66"/>
      <c r="H850" s="18"/>
      <c r="I850" s="18"/>
      <c r="J850" s="18"/>
      <c r="K850" s="65"/>
      <c r="L850" s="66"/>
      <c r="M850" s="65"/>
      <c r="N850" s="66"/>
      <c r="O850" s="65"/>
      <c r="P850" s="18"/>
      <c r="Q850" s="18"/>
      <c r="R850" s="18"/>
      <c r="S850" s="18"/>
      <c r="T850" s="18"/>
      <c r="U850" s="18"/>
      <c r="V850" s="18"/>
      <c r="W850" s="18"/>
      <c r="X850" s="18"/>
      <c r="Y850" s="18"/>
    </row>
    <row r="851">
      <c r="A851" s="67"/>
      <c r="B851" s="66"/>
      <c r="C851" s="18"/>
      <c r="D851" s="18"/>
      <c r="E851" s="18"/>
      <c r="F851" s="65"/>
      <c r="G851" s="66"/>
      <c r="H851" s="18"/>
      <c r="I851" s="18"/>
      <c r="J851" s="18"/>
      <c r="K851" s="65"/>
      <c r="L851" s="66"/>
      <c r="M851" s="65"/>
      <c r="N851" s="66"/>
      <c r="O851" s="65"/>
      <c r="P851" s="18"/>
      <c r="Q851" s="18"/>
      <c r="R851" s="18"/>
      <c r="S851" s="18"/>
      <c r="T851" s="18"/>
      <c r="U851" s="18"/>
      <c r="V851" s="18"/>
      <c r="W851" s="18"/>
      <c r="X851" s="18"/>
      <c r="Y851" s="18"/>
    </row>
    <row r="852">
      <c r="A852" s="67"/>
      <c r="B852" s="66"/>
      <c r="C852" s="18"/>
      <c r="D852" s="18"/>
      <c r="E852" s="18"/>
      <c r="F852" s="65"/>
      <c r="G852" s="66"/>
      <c r="H852" s="18"/>
      <c r="I852" s="18"/>
      <c r="J852" s="18"/>
      <c r="K852" s="65"/>
      <c r="L852" s="66"/>
      <c r="M852" s="65"/>
      <c r="N852" s="66"/>
      <c r="O852" s="65"/>
      <c r="P852" s="18"/>
      <c r="Q852" s="18"/>
      <c r="R852" s="18"/>
      <c r="S852" s="18"/>
      <c r="T852" s="18"/>
      <c r="U852" s="18"/>
      <c r="V852" s="18"/>
      <c r="W852" s="18"/>
      <c r="X852" s="18"/>
      <c r="Y852" s="18"/>
    </row>
    <row r="853">
      <c r="A853" s="67"/>
      <c r="B853" s="66"/>
      <c r="C853" s="18"/>
      <c r="D853" s="18"/>
      <c r="E853" s="18"/>
      <c r="F853" s="65"/>
      <c r="G853" s="66"/>
      <c r="H853" s="18"/>
      <c r="I853" s="18"/>
      <c r="J853" s="18"/>
      <c r="K853" s="65"/>
      <c r="L853" s="66"/>
      <c r="M853" s="65"/>
      <c r="N853" s="66"/>
      <c r="O853" s="65"/>
      <c r="P853" s="18"/>
      <c r="Q853" s="18"/>
      <c r="R853" s="18"/>
      <c r="S853" s="18"/>
      <c r="T853" s="18"/>
      <c r="U853" s="18"/>
      <c r="V853" s="18"/>
      <c r="W853" s="18"/>
      <c r="X853" s="18"/>
      <c r="Y853" s="18"/>
    </row>
    <row r="854">
      <c r="A854" s="67"/>
      <c r="B854" s="66"/>
      <c r="C854" s="18"/>
      <c r="D854" s="18"/>
      <c r="E854" s="18"/>
      <c r="F854" s="65"/>
      <c r="G854" s="66"/>
      <c r="H854" s="18"/>
      <c r="I854" s="18"/>
      <c r="J854" s="18"/>
      <c r="K854" s="65"/>
      <c r="L854" s="66"/>
      <c r="M854" s="65"/>
      <c r="N854" s="66"/>
      <c r="O854" s="65"/>
      <c r="P854" s="18"/>
      <c r="Q854" s="18"/>
      <c r="R854" s="18"/>
      <c r="S854" s="18"/>
      <c r="T854" s="18"/>
      <c r="U854" s="18"/>
      <c r="V854" s="18"/>
      <c r="W854" s="18"/>
      <c r="X854" s="18"/>
      <c r="Y854" s="18"/>
    </row>
    <row r="855">
      <c r="A855" s="67"/>
      <c r="B855" s="66"/>
      <c r="C855" s="18"/>
      <c r="D855" s="18"/>
      <c r="E855" s="18"/>
      <c r="F855" s="65"/>
      <c r="G855" s="66"/>
      <c r="H855" s="18"/>
      <c r="I855" s="18"/>
      <c r="J855" s="18"/>
      <c r="K855" s="65"/>
      <c r="L855" s="66"/>
      <c r="M855" s="65"/>
      <c r="N855" s="66"/>
      <c r="O855" s="65"/>
      <c r="P855" s="18"/>
      <c r="Q855" s="18"/>
      <c r="R855" s="18"/>
      <c r="S855" s="18"/>
      <c r="T855" s="18"/>
      <c r="U855" s="18"/>
      <c r="V855" s="18"/>
      <c r="W855" s="18"/>
      <c r="X855" s="18"/>
      <c r="Y855" s="18"/>
    </row>
    <row r="856">
      <c r="A856" s="67"/>
      <c r="B856" s="66"/>
      <c r="C856" s="18"/>
      <c r="D856" s="18"/>
      <c r="E856" s="18"/>
      <c r="F856" s="65"/>
      <c r="G856" s="66"/>
      <c r="H856" s="18"/>
      <c r="I856" s="18"/>
      <c r="J856" s="18"/>
      <c r="K856" s="65"/>
      <c r="L856" s="66"/>
      <c r="M856" s="65"/>
      <c r="N856" s="66"/>
      <c r="O856" s="65"/>
      <c r="P856" s="18"/>
      <c r="Q856" s="18"/>
      <c r="R856" s="18"/>
      <c r="S856" s="18"/>
      <c r="T856" s="18"/>
      <c r="U856" s="18"/>
      <c r="V856" s="18"/>
      <c r="W856" s="18"/>
      <c r="X856" s="18"/>
      <c r="Y856" s="18"/>
    </row>
    <row r="857">
      <c r="A857" s="67"/>
      <c r="B857" s="66"/>
      <c r="C857" s="18"/>
      <c r="D857" s="18"/>
      <c r="E857" s="18"/>
      <c r="F857" s="65"/>
      <c r="G857" s="66"/>
      <c r="H857" s="18"/>
      <c r="I857" s="18"/>
      <c r="J857" s="18"/>
      <c r="K857" s="65"/>
      <c r="L857" s="66"/>
      <c r="M857" s="65"/>
      <c r="N857" s="66"/>
      <c r="O857" s="65"/>
      <c r="P857" s="18"/>
      <c r="Q857" s="18"/>
      <c r="R857" s="18"/>
      <c r="S857" s="18"/>
      <c r="T857" s="18"/>
      <c r="U857" s="18"/>
      <c r="V857" s="18"/>
      <c r="W857" s="18"/>
      <c r="X857" s="18"/>
      <c r="Y857" s="18"/>
    </row>
    <row r="858">
      <c r="A858" s="67"/>
      <c r="B858" s="66"/>
      <c r="C858" s="18"/>
      <c r="D858" s="18"/>
      <c r="E858" s="18"/>
      <c r="F858" s="65"/>
      <c r="G858" s="66"/>
      <c r="H858" s="18"/>
      <c r="I858" s="18"/>
      <c r="J858" s="18"/>
      <c r="K858" s="65"/>
      <c r="L858" s="66"/>
      <c r="M858" s="65"/>
      <c r="N858" s="66"/>
      <c r="O858" s="65"/>
      <c r="P858" s="18"/>
      <c r="Q858" s="18"/>
      <c r="R858" s="18"/>
      <c r="S858" s="18"/>
      <c r="T858" s="18"/>
      <c r="U858" s="18"/>
      <c r="V858" s="18"/>
      <c r="W858" s="18"/>
      <c r="X858" s="18"/>
      <c r="Y858" s="18"/>
    </row>
    <row r="859">
      <c r="A859" s="67"/>
      <c r="B859" s="66"/>
      <c r="C859" s="18"/>
      <c r="D859" s="18"/>
      <c r="E859" s="18"/>
      <c r="F859" s="65"/>
      <c r="G859" s="66"/>
      <c r="H859" s="18"/>
      <c r="I859" s="18"/>
      <c r="J859" s="18"/>
      <c r="K859" s="65"/>
      <c r="L859" s="66"/>
      <c r="M859" s="65"/>
      <c r="N859" s="66"/>
      <c r="O859" s="65"/>
      <c r="P859" s="18"/>
      <c r="Q859" s="18"/>
      <c r="R859" s="18"/>
      <c r="S859" s="18"/>
      <c r="T859" s="18"/>
      <c r="U859" s="18"/>
      <c r="V859" s="18"/>
      <c r="W859" s="18"/>
      <c r="X859" s="18"/>
      <c r="Y859" s="18"/>
    </row>
    <row r="860">
      <c r="A860" s="67"/>
      <c r="B860" s="66"/>
      <c r="C860" s="18"/>
      <c r="D860" s="18"/>
      <c r="E860" s="18"/>
      <c r="F860" s="65"/>
      <c r="G860" s="66"/>
      <c r="H860" s="18"/>
      <c r="I860" s="18"/>
      <c r="J860" s="18"/>
      <c r="K860" s="65"/>
      <c r="L860" s="66"/>
      <c r="M860" s="65"/>
      <c r="N860" s="66"/>
      <c r="O860" s="65"/>
      <c r="P860" s="18"/>
      <c r="Q860" s="18"/>
      <c r="R860" s="18"/>
      <c r="S860" s="18"/>
      <c r="T860" s="18"/>
      <c r="U860" s="18"/>
      <c r="V860" s="18"/>
      <c r="W860" s="18"/>
      <c r="X860" s="18"/>
      <c r="Y860" s="18"/>
    </row>
    <row r="861">
      <c r="A861" s="67"/>
      <c r="B861" s="66"/>
      <c r="C861" s="18"/>
      <c r="D861" s="18"/>
      <c r="E861" s="18"/>
      <c r="F861" s="65"/>
      <c r="G861" s="66"/>
      <c r="H861" s="18"/>
      <c r="I861" s="18"/>
      <c r="J861" s="18"/>
      <c r="K861" s="65"/>
      <c r="L861" s="66"/>
      <c r="M861" s="65"/>
      <c r="N861" s="66"/>
      <c r="O861" s="65"/>
      <c r="P861" s="18"/>
      <c r="Q861" s="18"/>
      <c r="R861" s="18"/>
      <c r="S861" s="18"/>
      <c r="T861" s="18"/>
      <c r="U861" s="18"/>
      <c r="V861" s="18"/>
      <c r="W861" s="18"/>
      <c r="X861" s="18"/>
      <c r="Y861" s="18"/>
    </row>
    <row r="862">
      <c r="A862" s="67"/>
      <c r="B862" s="66"/>
      <c r="C862" s="18"/>
      <c r="D862" s="18"/>
      <c r="E862" s="18"/>
      <c r="F862" s="65"/>
      <c r="G862" s="66"/>
      <c r="H862" s="18"/>
      <c r="I862" s="18"/>
      <c r="J862" s="18"/>
      <c r="K862" s="65"/>
      <c r="L862" s="66"/>
      <c r="M862" s="65"/>
      <c r="N862" s="66"/>
      <c r="O862" s="65"/>
      <c r="P862" s="18"/>
      <c r="Q862" s="18"/>
      <c r="R862" s="18"/>
      <c r="S862" s="18"/>
      <c r="T862" s="18"/>
      <c r="U862" s="18"/>
      <c r="V862" s="18"/>
      <c r="W862" s="18"/>
      <c r="X862" s="18"/>
      <c r="Y862" s="18"/>
    </row>
    <row r="863">
      <c r="A863" s="67"/>
      <c r="B863" s="66"/>
      <c r="C863" s="18"/>
      <c r="D863" s="18"/>
      <c r="E863" s="18"/>
      <c r="F863" s="65"/>
      <c r="G863" s="66"/>
      <c r="H863" s="18"/>
      <c r="I863" s="18"/>
      <c r="J863" s="18"/>
      <c r="K863" s="65"/>
      <c r="L863" s="66"/>
      <c r="M863" s="65"/>
      <c r="N863" s="66"/>
      <c r="O863" s="65"/>
      <c r="P863" s="18"/>
      <c r="Q863" s="18"/>
      <c r="R863" s="18"/>
      <c r="S863" s="18"/>
      <c r="T863" s="18"/>
      <c r="U863" s="18"/>
      <c r="V863" s="18"/>
      <c r="W863" s="18"/>
      <c r="X863" s="18"/>
      <c r="Y863" s="18"/>
    </row>
    <row r="864">
      <c r="A864" s="67"/>
      <c r="B864" s="66"/>
      <c r="C864" s="18"/>
      <c r="D864" s="18"/>
      <c r="E864" s="18"/>
      <c r="F864" s="65"/>
      <c r="G864" s="66"/>
      <c r="H864" s="18"/>
      <c r="I864" s="18"/>
      <c r="J864" s="18"/>
      <c r="K864" s="65"/>
      <c r="L864" s="66"/>
      <c r="M864" s="65"/>
      <c r="N864" s="66"/>
      <c r="O864" s="65"/>
      <c r="P864" s="18"/>
      <c r="Q864" s="18"/>
      <c r="R864" s="18"/>
      <c r="S864" s="18"/>
      <c r="T864" s="18"/>
      <c r="U864" s="18"/>
      <c r="V864" s="18"/>
      <c r="W864" s="18"/>
      <c r="X864" s="18"/>
      <c r="Y864" s="18"/>
    </row>
    <row r="865">
      <c r="A865" s="67"/>
      <c r="B865" s="66"/>
      <c r="C865" s="18"/>
      <c r="D865" s="18"/>
      <c r="E865" s="18"/>
      <c r="F865" s="65"/>
      <c r="G865" s="66"/>
      <c r="H865" s="18"/>
      <c r="I865" s="18"/>
      <c r="J865" s="18"/>
      <c r="K865" s="65"/>
      <c r="L865" s="66"/>
      <c r="M865" s="65"/>
      <c r="N865" s="66"/>
      <c r="O865" s="65"/>
      <c r="P865" s="18"/>
      <c r="Q865" s="18"/>
      <c r="R865" s="18"/>
      <c r="S865" s="18"/>
      <c r="T865" s="18"/>
      <c r="U865" s="18"/>
      <c r="V865" s="18"/>
      <c r="W865" s="18"/>
      <c r="X865" s="18"/>
      <c r="Y865" s="18"/>
    </row>
    <row r="866">
      <c r="A866" s="67"/>
      <c r="B866" s="66"/>
      <c r="C866" s="18"/>
      <c r="D866" s="18"/>
      <c r="E866" s="18"/>
      <c r="F866" s="65"/>
      <c r="G866" s="66"/>
      <c r="H866" s="18"/>
      <c r="I866" s="18"/>
      <c r="J866" s="18"/>
      <c r="K866" s="65"/>
      <c r="L866" s="66"/>
      <c r="M866" s="65"/>
      <c r="N866" s="66"/>
      <c r="O866" s="65"/>
      <c r="P866" s="18"/>
      <c r="Q866" s="18"/>
      <c r="R866" s="18"/>
      <c r="S866" s="18"/>
      <c r="T866" s="18"/>
      <c r="U866" s="18"/>
      <c r="V866" s="18"/>
      <c r="W866" s="18"/>
      <c r="X866" s="18"/>
      <c r="Y866" s="18"/>
    </row>
    <row r="867">
      <c r="A867" s="67"/>
      <c r="B867" s="66"/>
      <c r="C867" s="18"/>
      <c r="D867" s="18"/>
      <c r="E867" s="18"/>
      <c r="F867" s="65"/>
      <c r="G867" s="66"/>
      <c r="H867" s="18"/>
      <c r="I867" s="18"/>
      <c r="J867" s="18"/>
      <c r="K867" s="65"/>
      <c r="L867" s="66"/>
      <c r="M867" s="65"/>
      <c r="N867" s="66"/>
      <c r="O867" s="65"/>
      <c r="P867" s="18"/>
      <c r="Q867" s="18"/>
      <c r="R867" s="18"/>
      <c r="S867" s="18"/>
      <c r="T867" s="18"/>
      <c r="U867" s="18"/>
      <c r="V867" s="18"/>
      <c r="W867" s="18"/>
      <c r="X867" s="18"/>
      <c r="Y867" s="18"/>
    </row>
    <row r="868">
      <c r="A868" s="67"/>
      <c r="B868" s="66"/>
      <c r="C868" s="18"/>
      <c r="D868" s="18"/>
      <c r="E868" s="18"/>
      <c r="F868" s="65"/>
      <c r="G868" s="66"/>
      <c r="H868" s="18"/>
      <c r="I868" s="18"/>
      <c r="J868" s="18"/>
      <c r="K868" s="65"/>
      <c r="L868" s="66"/>
      <c r="M868" s="65"/>
      <c r="N868" s="66"/>
      <c r="O868" s="65"/>
      <c r="P868" s="18"/>
      <c r="Q868" s="18"/>
      <c r="R868" s="18"/>
      <c r="S868" s="18"/>
      <c r="T868" s="18"/>
      <c r="U868" s="18"/>
      <c r="V868" s="18"/>
      <c r="W868" s="18"/>
      <c r="X868" s="18"/>
      <c r="Y868" s="18"/>
    </row>
    <row r="869">
      <c r="A869" s="67"/>
      <c r="B869" s="66"/>
      <c r="C869" s="18"/>
      <c r="D869" s="18"/>
      <c r="E869" s="18"/>
      <c r="F869" s="65"/>
      <c r="G869" s="66"/>
      <c r="H869" s="18"/>
      <c r="I869" s="18"/>
      <c r="J869" s="18"/>
      <c r="K869" s="65"/>
      <c r="L869" s="66"/>
      <c r="M869" s="65"/>
      <c r="N869" s="66"/>
      <c r="O869" s="65"/>
      <c r="P869" s="18"/>
      <c r="Q869" s="18"/>
      <c r="R869" s="18"/>
      <c r="S869" s="18"/>
      <c r="T869" s="18"/>
      <c r="U869" s="18"/>
      <c r="V869" s="18"/>
      <c r="W869" s="18"/>
      <c r="X869" s="18"/>
      <c r="Y869" s="18"/>
    </row>
    <row r="870">
      <c r="A870" s="67"/>
      <c r="B870" s="66"/>
      <c r="C870" s="18"/>
      <c r="D870" s="18"/>
      <c r="E870" s="18"/>
      <c r="F870" s="65"/>
      <c r="G870" s="66"/>
      <c r="H870" s="18"/>
      <c r="I870" s="18"/>
      <c r="J870" s="18"/>
      <c r="K870" s="65"/>
      <c r="L870" s="66"/>
      <c r="M870" s="65"/>
      <c r="N870" s="66"/>
      <c r="O870" s="65"/>
      <c r="P870" s="18"/>
      <c r="Q870" s="18"/>
      <c r="R870" s="18"/>
      <c r="S870" s="18"/>
      <c r="T870" s="18"/>
      <c r="U870" s="18"/>
      <c r="V870" s="18"/>
      <c r="W870" s="18"/>
      <c r="X870" s="18"/>
      <c r="Y870" s="18"/>
    </row>
    <row r="871">
      <c r="A871" s="67"/>
      <c r="B871" s="66"/>
      <c r="C871" s="18"/>
      <c r="D871" s="18"/>
      <c r="E871" s="18"/>
      <c r="F871" s="65"/>
      <c r="G871" s="66"/>
      <c r="H871" s="18"/>
      <c r="I871" s="18"/>
      <c r="J871" s="18"/>
      <c r="K871" s="65"/>
      <c r="L871" s="66"/>
      <c r="M871" s="65"/>
      <c r="N871" s="66"/>
      <c r="O871" s="65"/>
      <c r="P871" s="18"/>
      <c r="Q871" s="18"/>
      <c r="R871" s="18"/>
      <c r="S871" s="18"/>
      <c r="T871" s="18"/>
      <c r="U871" s="18"/>
      <c r="V871" s="18"/>
      <c r="W871" s="18"/>
      <c r="X871" s="18"/>
      <c r="Y871" s="18"/>
    </row>
    <row r="872">
      <c r="A872" s="67"/>
      <c r="B872" s="66"/>
      <c r="C872" s="18"/>
      <c r="D872" s="18"/>
      <c r="E872" s="18"/>
      <c r="F872" s="65"/>
      <c r="G872" s="66"/>
      <c r="H872" s="18"/>
      <c r="I872" s="18"/>
      <c r="J872" s="18"/>
      <c r="K872" s="65"/>
      <c r="L872" s="66"/>
      <c r="M872" s="65"/>
      <c r="N872" s="66"/>
      <c r="O872" s="65"/>
      <c r="P872" s="18"/>
      <c r="Q872" s="18"/>
      <c r="R872" s="18"/>
      <c r="S872" s="18"/>
      <c r="T872" s="18"/>
      <c r="U872" s="18"/>
      <c r="V872" s="18"/>
      <c r="W872" s="18"/>
      <c r="X872" s="18"/>
      <c r="Y872" s="18"/>
    </row>
    <row r="873">
      <c r="A873" s="67"/>
      <c r="B873" s="66"/>
      <c r="C873" s="18"/>
      <c r="D873" s="18"/>
      <c r="E873" s="18"/>
      <c r="F873" s="65"/>
      <c r="G873" s="66"/>
      <c r="H873" s="18"/>
      <c r="I873" s="18"/>
      <c r="J873" s="18"/>
      <c r="K873" s="65"/>
      <c r="L873" s="66"/>
      <c r="M873" s="65"/>
      <c r="N873" s="66"/>
      <c r="O873" s="65"/>
      <c r="P873" s="18"/>
      <c r="Q873" s="18"/>
      <c r="R873" s="18"/>
      <c r="S873" s="18"/>
      <c r="T873" s="18"/>
      <c r="U873" s="18"/>
      <c r="V873" s="18"/>
      <c r="W873" s="18"/>
      <c r="X873" s="18"/>
      <c r="Y873" s="18"/>
    </row>
    <row r="874">
      <c r="A874" s="67"/>
      <c r="B874" s="66"/>
      <c r="C874" s="18"/>
      <c r="D874" s="18"/>
      <c r="E874" s="18"/>
      <c r="F874" s="65"/>
      <c r="G874" s="66"/>
      <c r="H874" s="18"/>
      <c r="I874" s="18"/>
      <c r="J874" s="18"/>
      <c r="K874" s="65"/>
      <c r="L874" s="66"/>
      <c r="M874" s="65"/>
      <c r="N874" s="66"/>
      <c r="O874" s="65"/>
      <c r="P874" s="18"/>
      <c r="Q874" s="18"/>
      <c r="R874" s="18"/>
      <c r="S874" s="18"/>
      <c r="T874" s="18"/>
      <c r="U874" s="18"/>
      <c r="V874" s="18"/>
      <c r="W874" s="18"/>
      <c r="X874" s="18"/>
      <c r="Y874" s="18"/>
    </row>
    <row r="875">
      <c r="A875" s="67"/>
      <c r="B875" s="66"/>
      <c r="C875" s="18"/>
      <c r="D875" s="18"/>
      <c r="E875" s="18"/>
      <c r="F875" s="65"/>
      <c r="G875" s="66"/>
      <c r="H875" s="18"/>
      <c r="I875" s="18"/>
      <c r="J875" s="18"/>
      <c r="K875" s="65"/>
      <c r="L875" s="66"/>
      <c r="M875" s="65"/>
      <c r="N875" s="66"/>
      <c r="O875" s="65"/>
      <c r="P875" s="18"/>
      <c r="Q875" s="18"/>
      <c r="R875" s="18"/>
      <c r="S875" s="18"/>
      <c r="T875" s="18"/>
      <c r="U875" s="18"/>
      <c r="V875" s="18"/>
      <c r="W875" s="18"/>
      <c r="X875" s="18"/>
      <c r="Y875" s="18"/>
    </row>
    <row r="876">
      <c r="A876" s="67"/>
      <c r="B876" s="66"/>
      <c r="C876" s="18"/>
      <c r="D876" s="18"/>
      <c r="E876" s="18"/>
      <c r="F876" s="65"/>
      <c r="G876" s="66"/>
      <c r="H876" s="18"/>
      <c r="I876" s="18"/>
      <c r="J876" s="18"/>
      <c r="K876" s="65"/>
      <c r="L876" s="66"/>
      <c r="M876" s="65"/>
      <c r="N876" s="66"/>
      <c r="O876" s="65"/>
      <c r="P876" s="18"/>
      <c r="Q876" s="18"/>
      <c r="R876" s="18"/>
      <c r="S876" s="18"/>
      <c r="T876" s="18"/>
      <c r="U876" s="18"/>
      <c r="V876" s="18"/>
      <c r="W876" s="18"/>
      <c r="X876" s="18"/>
      <c r="Y876" s="18"/>
    </row>
    <row r="877">
      <c r="A877" s="67"/>
      <c r="B877" s="66"/>
      <c r="C877" s="18"/>
      <c r="D877" s="18"/>
      <c r="E877" s="18"/>
      <c r="F877" s="65"/>
      <c r="G877" s="66"/>
      <c r="H877" s="18"/>
      <c r="I877" s="18"/>
      <c r="J877" s="18"/>
      <c r="K877" s="65"/>
      <c r="L877" s="66"/>
      <c r="M877" s="65"/>
      <c r="N877" s="66"/>
      <c r="O877" s="65"/>
      <c r="P877" s="18"/>
      <c r="Q877" s="18"/>
      <c r="R877" s="18"/>
      <c r="S877" s="18"/>
      <c r="T877" s="18"/>
      <c r="U877" s="18"/>
      <c r="V877" s="18"/>
      <c r="W877" s="18"/>
      <c r="X877" s="18"/>
      <c r="Y877" s="18"/>
    </row>
    <row r="878">
      <c r="A878" s="67"/>
      <c r="B878" s="66"/>
      <c r="C878" s="18"/>
      <c r="D878" s="18"/>
      <c r="E878" s="18"/>
      <c r="F878" s="65"/>
      <c r="G878" s="66"/>
      <c r="H878" s="18"/>
      <c r="I878" s="18"/>
      <c r="J878" s="18"/>
      <c r="K878" s="65"/>
      <c r="L878" s="66"/>
      <c r="M878" s="65"/>
      <c r="N878" s="66"/>
      <c r="O878" s="65"/>
      <c r="P878" s="18"/>
      <c r="Q878" s="18"/>
      <c r="R878" s="18"/>
      <c r="S878" s="18"/>
      <c r="T878" s="18"/>
      <c r="U878" s="18"/>
      <c r="V878" s="18"/>
      <c r="W878" s="18"/>
      <c r="X878" s="18"/>
      <c r="Y878" s="18"/>
    </row>
    <row r="879">
      <c r="A879" s="67"/>
      <c r="B879" s="66"/>
      <c r="C879" s="18"/>
      <c r="D879" s="18"/>
      <c r="E879" s="18"/>
      <c r="F879" s="65"/>
      <c r="G879" s="66"/>
      <c r="H879" s="18"/>
      <c r="I879" s="18"/>
      <c r="J879" s="18"/>
      <c r="K879" s="65"/>
      <c r="L879" s="66"/>
      <c r="M879" s="65"/>
      <c r="N879" s="66"/>
      <c r="O879" s="65"/>
      <c r="P879" s="18"/>
      <c r="Q879" s="18"/>
      <c r="R879" s="18"/>
      <c r="S879" s="18"/>
      <c r="T879" s="18"/>
      <c r="U879" s="18"/>
      <c r="V879" s="18"/>
      <c r="W879" s="18"/>
      <c r="X879" s="18"/>
      <c r="Y879" s="18"/>
    </row>
    <row r="880">
      <c r="A880" s="67"/>
      <c r="B880" s="66"/>
      <c r="C880" s="18"/>
      <c r="D880" s="18"/>
      <c r="E880" s="18"/>
      <c r="F880" s="65"/>
      <c r="G880" s="66"/>
      <c r="H880" s="18"/>
      <c r="I880" s="18"/>
      <c r="J880" s="18"/>
      <c r="K880" s="65"/>
      <c r="L880" s="66"/>
      <c r="M880" s="65"/>
      <c r="N880" s="66"/>
      <c r="O880" s="65"/>
      <c r="P880" s="18"/>
      <c r="Q880" s="18"/>
      <c r="R880" s="18"/>
      <c r="S880" s="18"/>
      <c r="T880" s="18"/>
      <c r="U880" s="18"/>
      <c r="V880" s="18"/>
      <c r="W880" s="18"/>
      <c r="X880" s="18"/>
      <c r="Y880" s="18"/>
    </row>
    <row r="881">
      <c r="A881" s="67"/>
      <c r="B881" s="66"/>
      <c r="C881" s="18"/>
      <c r="D881" s="18"/>
      <c r="E881" s="18"/>
      <c r="F881" s="65"/>
      <c r="G881" s="66"/>
      <c r="H881" s="18"/>
      <c r="I881" s="18"/>
      <c r="J881" s="18"/>
      <c r="K881" s="65"/>
      <c r="L881" s="66"/>
      <c r="M881" s="65"/>
      <c r="N881" s="66"/>
      <c r="O881" s="65"/>
      <c r="P881" s="18"/>
      <c r="Q881" s="18"/>
      <c r="R881" s="18"/>
      <c r="S881" s="18"/>
      <c r="T881" s="18"/>
      <c r="U881" s="18"/>
      <c r="V881" s="18"/>
      <c r="W881" s="18"/>
      <c r="X881" s="18"/>
      <c r="Y881" s="18"/>
    </row>
    <row r="882">
      <c r="A882" s="67"/>
      <c r="B882" s="66"/>
      <c r="C882" s="18"/>
      <c r="D882" s="18"/>
      <c r="E882" s="18"/>
      <c r="F882" s="65"/>
      <c r="G882" s="66"/>
      <c r="H882" s="18"/>
      <c r="I882" s="18"/>
      <c r="J882" s="18"/>
      <c r="K882" s="65"/>
      <c r="L882" s="66"/>
      <c r="M882" s="65"/>
      <c r="N882" s="66"/>
      <c r="O882" s="65"/>
      <c r="P882" s="18"/>
      <c r="Q882" s="18"/>
      <c r="R882" s="18"/>
      <c r="S882" s="18"/>
      <c r="T882" s="18"/>
      <c r="U882" s="18"/>
      <c r="V882" s="18"/>
      <c r="W882" s="18"/>
      <c r="X882" s="18"/>
      <c r="Y882" s="18"/>
    </row>
    <row r="883">
      <c r="A883" s="67"/>
      <c r="B883" s="66"/>
      <c r="C883" s="18"/>
      <c r="D883" s="18"/>
      <c r="E883" s="18"/>
      <c r="F883" s="65"/>
      <c r="G883" s="66"/>
      <c r="H883" s="18"/>
      <c r="I883" s="18"/>
      <c r="J883" s="18"/>
      <c r="K883" s="65"/>
      <c r="L883" s="66"/>
      <c r="M883" s="65"/>
      <c r="N883" s="66"/>
      <c r="O883" s="65"/>
      <c r="P883" s="18"/>
      <c r="Q883" s="18"/>
      <c r="R883" s="18"/>
      <c r="S883" s="18"/>
      <c r="T883" s="18"/>
      <c r="U883" s="18"/>
      <c r="V883" s="18"/>
      <c r="W883" s="18"/>
      <c r="X883" s="18"/>
      <c r="Y883" s="18"/>
    </row>
    <row r="884">
      <c r="A884" s="67"/>
      <c r="B884" s="66"/>
      <c r="C884" s="18"/>
      <c r="D884" s="18"/>
      <c r="E884" s="18"/>
      <c r="F884" s="65"/>
      <c r="G884" s="66"/>
      <c r="H884" s="18"/>
      <c r="I884" s="18"/>
      <c r="J884" s="18"/>
      <c r="K884" s="65"/>
      <c r="L884" s="66"/>
      <c r="M884" s="65"/>
      <c r="N884" s="66"/>
      <c r="O884" s="65"/>
      <c r="P884" s="18"/>
      <c r="Q884" s="18"/>
      <c r="R884" s="18"/>
      <c r="S884" s="18"/>
      <c r="T884" s="18"/>
      <c r="U884" s="18"/>
      <c r="V884" s="18"/>
      <c r="W884" s="18"/>
      <c r="X884" s="18"/>
      <c r="Y884" s="18"/>
    </row>
    <row r="885">
      <c r="A885" s="67"/>
      <c r="B885" s="66"/>
      <c r="C885" s="18"/>
      <c r="D885" s="18"/>
      <c r="E885" s="18"/>
      <c r="F885" s="65"/>
      <c r="G885" s="66"/>
      <c r="H885" s="18"/>
      <c r="I885" s="18"/>
      <c r="J885" s="18"/>
      <c r="K885" s="65"/>
      <c r="L885" s="66"/>
      <c r="M885" s="65"/>
      <c r="N885" s="66"/>
      <c r="O885" s="65"/>
      <c r="P885" s="18"/>
      <c r="Q885" s="18"/>
      <c r="R885" s="18"/>
      <c r="S885" s="18"/>
      <c r="T885" s="18"/>
      <c r="U885" s="18"/>
      <c r="V885" s="18"/>
      <c r="W885" s="18"/>
      <c r="X885" s="18"/>
      <c r="Y885" s="18"/>
    </row>
    <row r="886">
      <c r="A886" s="67"/>
      <c r="B886" s="66"/>
      <c r="C886" s="18"/>
      <c r="D886" s="18"/>
      <c r="E886" s="18"/>
      <c r="F886" s="65"/>
      <c r="G886" s="66"/>
      <c r="H886" s="18"/>
      <c r="I886" s="18"/>
      <c r="J886" s="18"/>
      <c r="K886" s="65"/>
      <c r="L886" s="66"/>
      <c r="M886" s="65"/>
      <c r="N886" s="66"/>
      <c r="O886" s="65"/>
      <c r="P886" s="18"/>
      <c r="Q886" s="18"/>
      <c r="R886" s="18"/>
      <c r="S886" s="18"/>
      <c r="T886" s="18"/>
      <c r="U886" s="18"/>
      <c r="V886" s="18"/>
      <c r="W886" s="18"/>
      <c r="X886" s="18"/>
      <c r="Y886" s="18"/>
    </row>
    <row r="887">
      <c r="A887" s="67"/>
      <c r="B887" s="66"/>
      <c r="C887" s="18"/>
      <c r="D887" s="18"/>
      <c r="E887" s="18"/>
      <c r="F887" s="65"/>
      <c r="G887" s="66"/>
      <c r="H887" s="18"/>
      <c r="I887" s="18"/>
      <c r="J887" s="18"/>
      <c r="K887" s="65"/>
      <c r="L887" s="66"/>
      <c r="M887" s="65"/>
      <c r="N887" s="66"/>
      <c r="O887" s="65"/>
      <c r="P887" s="18"/>
      <c r="Q887" s="18"/>
      <c r="R887" s="18"/>
      <c r="S887" s="18"/>
      <c r="T887" s="18"/>
      <c r="U887" s="18"/>
      <c r="V887" s="18"/>
      <c r="W887" s="18"/>
      <c r="X887" s="18"/>
      <c r="Y887" s="18"/>
    </row>
    <row r="888">
      <c r="A888" s="67"/>
      <c r="B888" s="66"/>
      <c r="C888" s="18"/>
      <c r="D888" s="18"/>
      <c r="E888" s="18"/>
      <c r="F888" s="65"/>
      <c r="G888" s="66"/>
      <c r="H888" s="18"/>
      <c r="I888" s="18"/>
      <c r="J888" s="18"/>
      <c r="K888" s="65"/>
      <c r="L888" s="66"/>
      <c r="M888" s="65"/>
      <c r="N888" s="66"/>
      <c r="O888" s="65"/>
      <c r="P888" s="18"/>
      <c r="Q888" s="18"/>
      <c r="R888" s="18"/>
      <c r="S888" s="18"/>
      <c r="T888" s="18"/>
      <c r="U888" s="18"/>
      <c r="V888" s="18"/>
      <c r="W888" s="18"/>
      <c r="X888" s="18"/>
      <c r="Y888" s="18"/>
    </row>
    <row r="889">
      <c r="A889" s="67"/>
      <c r="B889" s="66"/>
      <c r="C889" s="18"/>
      <c r="D889" s="18"/>
      <c r="E889" s="18"/>
      <c r="F889" s="65"/>
      <c r="G889" s="66"/>
      <c r="H889" s="18"/>
      <c r="I889" s="18"/>
      <c r="J889" s="18"/>
      <c r="K889" s="65"/>
      <c r="L889" s="66"/>
      <c r="M889" s="65"/>
      <c r="N889" s="66"/>
      <c r="O889" s="65"/>
      <c r="P889" s="18"/>
      <c r="Q889" s="18"/>
      <c r="R889" s="18"/>
      <c r="S889" s="18"/>
      <c r="T889" s="18"/>
      <c r="U889" s="18"/>
      <c r="V889" s="18"/>
      <c r="W889" s="18"/>
      <c r="X889" s="18"/>
      <c r="Y889" s="18"/>
    </row>
    <row r="890">
      <c r="A890" s="67"/>
      <c r="B890" s="66"/>
      <c r="C890" s="18"/>
      <c r="D890" s="18"/>
      <c r="E890" s="18"/>
      <c r="F890" s="65"/>
      <c r="G890" s="66"/>
      <c r="H890" s="18"/>
      <c r="I890" s="18"/>
      <c r="J890" s="18"/>
      <c r="K890" s="65"/>
      <c r="L890" s="66"/>
      <c r="M890" s="65"/>
      <c r="N890" s="66"/>
      <c r="O890" s="65"/>
      <c r="P890" s="18"/>
      <c r="Q890" s="18"/>
      <c r="R890" s="18"/>
      <c r="S890" s="18"/>
      <c r="T890" s="18"/>
      <c r="U890" s="18"/>
      <c r="V890" s="18"/>
      <c r="W890" s="18"/>
      <c r="X890" s="18"/>
      <c r="Y890" s="18"/>
    </row>
    <row r="891">
      <c r="A891" s="67"/>
      <c r="B891" s="66"/>
      <c r="C891" s="18"/>
      <c r="D891" s="18"/>
      <c r="E891" s="18"/>
      <c r="F891" s="65"/>
      <c r="G891" s="66"/>
      <c r="H891" s="18"/>
      <c r="I891" s="18"/>
      <c r="J891" s="18"/>
      <c r="K891" s="65"/>
      <c r="L891" s="66"/>
      <c r="M891" s="65"/>
      <c r="N891" s="66"/>
      <c r="O891" s="65"/>
      <c r="P891" s="18"/>
      <c r="Q891" s="18"/>
      <c r="R891" s="18"/>
      <c r="S891" s="18"/>
      <c r="T891" s="18"/>
      <c r="U891" s="18"/>
      <c r="V891" s="18"/>
      <c r="W891" s="18"/>
      <c r="X891" s="18"/>
      <c r="Y891" s="18"/>
    </row>
    <row r="892">
      <c r="A892" s="67"/>
      <c r="B892" s="66"/>
      <c r="C892" s="18"/>
      <c r="D892" s="18"/>
      <c r="E892" s="18"/>
      <c r="F892" s="65"/>
      <c r="G892" s="66"/>
      <c r="H892" s="18"/>
      <c r="I892" s="18"/>
      <c r="J892" s="18"/>
      <c r="K892" s="65"/>
      <c r="L892" s="66"/>
      <c r="M892" s="65"/>
      <c r="N892" s="66"/>
      <c r="O892" s="65"/>
      <c r="P892" s="18"/>
      <c r="Q892" s="18"/>
      <c r="R892" s="18"/>
      <c r="S892" s="18"/>
      <c r="T892" s="18"/>
      <c r="U892" s="18"/>
      <c r="V892" s="18"/>
      <c r="W892" s="18"/>
      <c r="X892" s="18"/>
      <c r="Y892" s="18"/>
    </row>
    <row r="893">
      <c r="A893" s="67"/>
      <c r="B893" s="66"/>
      <c r="C893" s="18"/>
      <c r="D893" s="18"/>
      <c r="E893" s="18"/>
      <c r="F893" s="65"/>
      <c r="G893" s="66"/>
      <c r="H893" s="18"/>
      <c r="I893" s="18"/>
      <c r="J893" s="18"/>
      <c r="K893" s="65"/>
      <c r="L893" s="66"/>
      <c r="M893" s="65"/>
      <c r="N893" s="66"/>
      <c r="O893" s="65"/>
      <c r="P893" s="18"/>
      <c r="Q893" s="18"/>
      <c r="R893" s="18"/>
      <c r="S893" s="18"/>
      <c r="T893" s="18"/>
      <c r="U893" s="18"/>
      <c r="V893" s="18"/>
      <c r="W893" s="18"/>
      <c r="X893" s="18"/>
      <c r="Y893" s="18"/>
    </row>
    <row r="894">
      <c r="A894" s="67"/>
      <c r="B894" s="66"/>
      <c r="C894" s="18"/>
      <c r="D894" s="18"/>
      <c r="E894" s="18"/>
      <c r="F894" s="65"/>
      <c r="G894" s="66"/>
      <c r="H894" s="18"/>
      <c r="I894" s="18"/>
      <c r="J894" s="18"/>
      <c r="K894" s="65"/>
      <c r="L894" s="66"/>
      <c r="M894" s="65"/>
      <c r="N894" s="66"/>
      <c r="O894" s="65"/>
      <c r="P894" s="18"/>
      <c r="Q894" s="18"/>
      <c r="R894" s="18"/>
      <c r="S894" s="18"/>
      <c r="T894" s="18"/>
      <c r="U894" s="18"/>
      <c r="V894" s="18"/>
      <c r="W894" s="18"/>
      <c r="X894" s="18"/>
      <c r="Y894" s="18"/>
    </row>
    <row r="895">
      <c r="A895" s="67"/>
      <c r="B895" s="66"/>
      <c r="C895" s="18"/>
      <c r="D895" s="18"/>
      <c r="E895" s="18"/>
      <c r="F895" s="65"/>
      <c r="G895" s="66"/>
      <c r="H895" s="18"/>
      <c r="I895" s="18"/>
      <c r="J895" s="18"/>
      <c r="K895" s="65"/>
      <c r="L895" s="66"/>
      <c r="M895" s="65"/>
      <c r="N895" s="66"/>
      <c r="O895" s="65"/>
      <c r="P895" s="18"/>
      <c r="Q895" s="18"/>
      <c r="R895" s="18"/>
      <c r="S895" s="18"/>
      <c r="T895" s="18"/>
      <c r="U895" s="18"/>
      <c r="V895" s="18"/>
      <c r="W895" s="18"/>
      <c r="X895" s="18"/>
      <c r="Y895" s="18"/>
    </row>
    <row r="896">
      <c r="A896" s="67"/>
      <c r="B896" s="66"/>
      <c r="C896" s="18"/>
      <c r="D896" s="18"/>
      <c r="E896" s="18"/>
      <c r="F896" s="65"/>
      <c r="G896" s="66"/>
      <c r="H896" s="18"/>
      <c r="I896" s="18"/>
      <c r="J896" s="18"/>
      <c r="K896" s="65"/>
      <c r="L896" s="66"/>
      <c r="M896" s="65"/>
      <c r="N896" s="66"/>
      <c r="O896" s="65"/>
      <c r="P896" s="18"/>
      <c r="Q896" s="18"/>
      <c r="R896" s="18"/>
      <c r="S896" s="18"/>
      <c r="T896" s="18"/>
      <c r="U896" s="18"/>
      <c r="V896" s="18"/>
      <c r="W896" s="18"/>
      <c r="X896" s="18"/>
      <c r="Y896" s="18"/>
    </row>
    <row r="897">
      <c r="A897" s="67"/>
      <c r="B897" s="66"/>
      <c r="C897" s="18"/>
      <c r="D897" s="18"/>
      <c r="E897" s="18"/>
      <c r="F897" s="65"/>
      <c r="G897" s="66"/>
      <c r="H897" s="18"/>
      <c r="I897" s="18"/>
      <c r="J897" s="18"/>
      <c r="K897" s="65"/>
      <c r="L897" s="66"/>
      <c r="M897" s="65"/>
      <c r="N897" s="66"/>
      <c r="O897" s="65"/>
      <c r="P897" s="18"/>
      <c r="Q897" s="18"/>
      <c r="R897" s="18"/>
      <c r="S897" s="18"/>
      <c r="T897" s="18"/>
      <c r="U897" s="18"/>
      <c r="V897" s="18"/>
      <c r="W897" s="18"/>
      <c r="X897" s="18"/>
      <c r="Y897" s="18"/>
    </row>
    <row r="898">
      <c r="A898" s="67"/>
      <c r="B898" s="66"/>
      <c r="C898" s="18"/>
      <c r="D898" s="18"/>
      <c r="E898" s="18"/>
      <c r="F898" s="65"/>
      <c r="G898" s="66"/>
      <c r="H898" s="18"/>
      <c r="I898" s="18"/>
      <c r="J898" s="18"/>
      <c r="K898" s="65"/>
      <c r="L898" s="66"/>
      <c r="M898" s="65"/>
      <c r="N898" s="66"/>
      <c r="O898" s="65"/>
      <c r="P898" s="18"/>
      <c r="Q898" s="18"/>
      <c r="R898" s="18"/>
      <c r="S898" s="18"/>
      <c r="T898" s="18"/>
      <c r="U898" s="18"/>
      <c r="V898" s="18"/>
      <c r="W898" s="18"/>
      <c r="X898" s="18"/>
      <c r="Y898" s="18"/>
    </row>
    <row r="899">
      <c r="A899" s="67"/>
      <c r="B899" s="66"/>
      <c r="C899" s="18"/>
      <c r="D899" s="18"/>
      <c r="E899" s="18"/>
      <c r="F899" s="65"/>
      <c r="G899" s="66"/>
      <c r="H899" s="18"/>
      <c r="I899" s="18"/>
      <c r="J899" s="18"/>
      <c r="K899" s="65"/>
      <c r="L899" s="66"/>
      <c r="M899" s="65"/>
      <c r="N899" s="66"/>
      <c r="O899" s="65"/>
      <c r="P899" s="18"/>
      <c r="Q899" s="18"/>
      <c r="R899" s="18"/>
      <c r="S899" s="18"/>
      <c r="T899" s="18"/>
      <c r="U899" s="18"/>
      <c r="V899" s="18"/>
      <c r="W899" s="18"/>
      <c r="X899" s="18"/>
      <c r="Y899" s="18"/>
    </row>
    <row r="900">
      <c r="A900" s="67"/>
      <c r="B900" s="66"/>
      <c r="C900" s="18"/>
      <c r="D900" s="18"/>
      <c r="E900" s="18"/>
      <c r="F900" s="65"/>
      <c r="G900" s="66"/>
      <c r="H900" s="18"/>
      <c r="I900" s="18"/>
      <c r="J900" s="18"/>
      <c r="K900" s="65"/>
      <c r="L900" s="66"/>
      <c r="M900" s="65"/>
      <c r="N900" s="66"/>
      <c r="O900" s="65"/>
      <c r="P900" s="18"/>
      <c r="Q900" s="18"/>
      <c r="R900" s="18"/>
      <c r="S900" s="18"/>
      <c r="T900" s="18"/>
      <c r="U900" s="18"/>
      <c r="V900" s="18"/>
      <c r="W900" s="18"/>
      <c r="X900" s="18"/>
      <c r="Y900" s="18"/>
    </row>
    <row r="901">
      <c r="A901" s="67"/>
      <c r="B901" s="66"/>
      <c r="C901" s="18"/>
      <c r="D901" s="18"/>
      <c r="E901" s="18"/>
      <c r="F901" s="65"/>
      <c r="G901" s="66"/>
      <c r="H901" s="18"/>
      <c r="I901" s="18"/>
      <c r="J901" s="18"/>
      <c r="K901" s="65"/>
      <c r="L901" s="66"/>
      <c r="M901" s="65"/>
      <c r="N901" s="66"/>
      <c r="O901" s="65"/>
      <c r="P901" s="18"/>
      <c r="Q901" s="18"/>
      <c r="R901" s="18"/>
      <c r="S901" s="18"/>
      <c r="T901" s="18"/>
      <c r="U901" s="18"/>
      <c r="V901" s="18"/>
      <c r="W901" s="18"/>
      <c r="X901" s="18"/>
      <c r="Y901" s="18"/>
    </row>
    <row r="902">
      <c r="A902" s="67"/>
      <c r="B902" s="66"/>
      <c r="C902" s="18"/>
      <c r="D902" s="18"/>
      <c r="E902" s="18"/>
      <c r="F902" s="65"/>
      <c r="G902" s="66"/>
      <c r="H902" s="18"/>
      <c r="I902" s="18"/>
      <c r="J902" s="18"/>
      <c r="K902" s="65"/>
      <c r="L902" s="66"/>
      <c r="M902" s="65"/>
      <c r="N902" s="66"/>
      <c r="O902" s="65"/>
      <c r="P902" s="18"/>
      <c r="Q902" s="18"/>
      <c r="R902" s="18"/>
      <c r="S902" s="18"/>
      <c r="T902" s="18"/>
      <c r="U902" s="18"/>
      <c r="V902" s="18"/>
      <c r="W902" s="18"/>
      <c r="X902" s="18"/>
      <c r="Y902" s="18"/>
    </row>
    <row r="903">
      <c r="A903" s="67"/>
      <c r="B903" s="66"/>
      <c r="C903" s="18"/>
      <c r="D903" s="18"/>
      <c r="E903" s="18"/>
      <c r="F903" s="65"/>
      <c r="G903" s="66"/>
      <c r="H903" s="18"/>
      <c r="I903" s="18"/>
      <c r="J903" s="18"/>
      <c r="K903" s="65"/>
      <c r="L903" s="66"/>
      <c r="M903" s="65"/>
      <c r="N903" s="66"/>
      <c r="O903" s="65"/>
      <c r="P903" s="18"/>
      <c r="Q903" s="18"/>
      <c r="R903" s="18"/>
      <c r="S903" s="18"/>
      <c r="T903" s="18"/>
      <c r="U903" s="18"/>
      <c r="V903" s="18"/>
      <c r="W903" s="18"/>
      <c r="X903" s="18"/>
      <c r="Y903" s="18"/>
    </row>
    <row r="904">
      <c r="A904" s="67"/>
      <c r="B904" s="66"/>
      <c r="C904" s="18"/>
      <c r="D904" s="18"/>
      <c r="E904" s="18"/>
      <c r="F904" s="65"/>
      <c r="G904" s="66"/>
      <c r="H904" s="18"/>
      <c r="I904" s="18"/>
      <c r="J904" s="18"/>
      <c r="K904" s="65"/>
      <c r="L904" s="66"/>
      <c r="M904" s="65"/>
      <c r="N904" s="66"/>
      <c r="O904" s="65"/>
      <c r="P904" s="18"/>
      <c r="Q904" s="18"/>
      <c r="R904" s="18"/>
      <c r="S904" s="18"/>
      <c r="T904" s="18"/>
      <c r="U904" s="18"/>
      <c r="V904" s="18"/>
      <c r="W904" s="18"/>
      <c r="X904" s="18"/>
      <c r="Y904" s="18"/>
    </row>
    <row r="905">
      <c r="A905" s="67"/>
      <c r="B905" s="66"/>
      <c r="C905" s="18"/>
      <c r="D905" s="18"/>
      <c r="E905" s="18"/>
      <c r="F905" s="65"/>
      <c r="G905" s="66"/>
      <c r="H905" s="18"/>
      <c r="I905" s="18"/>
      <c r="J905" s="18"/>
      <c r="K905" s="65"/>
      <c r="L905" s="66"/>
      <c r="M905" s="65"/>
      <c r="N905" s="66"/>
      <c r="O905" s="65"/>
      <c r="P905" s="18"/>
      <c r="Q905" s="18"/>
      <c r="R905" s="18"/>
      <c r="S905" s="18"/>
      <c r="T905" s="18"/>
      <c r="U905" s="18"/>
      <c r="V905" s="18"/>
      <c r="W905" s="18"/>
      <c r="X905" s="18"/>
      <c r="Y905" s="18"/>
    </row>
    <row r="906">
      <c r="A906" s="67"/>
      <c r="B906" s="66"/>
      <c r="C906" s="18"/>
      <c r="D906" s="18"/>
      <c r="E906" s="18"/>
      <c r="F906" s="65"/>
      <c r="G906" s="66"/>
      <c r="H906" s="18"/>
      <c r="I906" s="18"/>
      <c r="J906" s="18"/>
      <c r="K906" s="65"/>
      <c r="L906" s="66"/>
      <c r="M906" s="65"/>
      <c r="N906" s="66"/>
      <c r="O906" s="65"/>
      <c r="P906" s="18"/>
      <c r="Q906" s="18"/>
      <c r="R906" s="18"/>
      <c r="S906" s="18"/>
      <c r="T906" s="18"/>
      <c r="U906" s="18"/>
      <c r="V906" s="18"/>
      <c r="W906" s="18"/>
      <c r="X906" s="18"/>
      <c r="Y906" s="18"/>
    </row>
    <row r="907">
      <c r="A907" s="67"/>
      <c r="B907" s="66"/>
      <c r="C907" s="18"/>
      <c r="D907" s="18"/>
      <c r="E907" s="18"/>
      <c r="F907" s="65"/>
      <c r="G907" s="66"/>
      <c r="H907" s="18"/>
      <c r="I907" s="18"/>
      <c r="J907" s="18"/>
      <c r="K907" s="65"/>
      <c r="L907" s="66"/>
      <c r="M907" s="65"/>
      <c r="N907" s="66"/>
      <c r="O907" s="65"/>
      <c r="P907" s="18"/>
      <c r="Q907" s="18"/>
      <c r="R907" s="18"/>
      <c r="S907" s="18"/>
      <c r="T907" s="18"/>
      <c r="U907" s="18"/>
      <c r="V907" s="18"/>
      <c r="W907" s="18"/>
      <c r="X907" s="18"/>
      <c r="Y907" s="18"/>
    </row>
    <row r="908">
      <c r="A908" s="67"/>
      <c r="B908" s="66"/>
      <c r="C908" s="18"/>
      <c r="D908" s="18"/>
      <c r="E908" s="18"/>
      <c r="F908" s="65"/>
      <c r="G908" s="66"/>
      <c r="H908" s="18"/>
      <c r="I908" s="18"/>
      <c r="J908" s="18"/>
      <c r="K908" s="65"/>
      <c r="L908" s="66"/>
      <c r="M908" s="65"/>
      <c r="N908" s="66"/>
      <c r="O908" s="65"/>
      <c r="P908" s="18"/>
      <c r="Q908" s="18"/>
      <c r="R908" s="18"/>
      <c r="S908" s="18"/>
      <c r="T908" s="18"/>
      <c r="U908" s="18"/>
      <c r="V908" s="18"/>
      <c r="W908" s="18"/>
      <c r="X908" s="18"/>
      <c r="Y908" s="18"/>
    </row>
    <row r="909">
      <c r="A909" s="67"/>
      <c r="B909" s="66"/>
      <c r="C909" s="18"/>
      <c r="D909" s="18"/>
      <c r="E909" s="18"/>
      <c r="F909" s="65"/>
      <c r="G909" s="66"/>
      <c r="H909" s="18"/>
      <c r="I909" s="18"/>
      <c r="J909" s="18"/>
      <c r="K909" s="65"/>
      <c r="L909" s="66"/>
      <c r="M909" s="65"/>
      <c r="N909" s="66"/>
      <c r="O909" s="65"/>
      <c r="P909" s="18"/>
      <c r="Q909" s="18"/>
      <c r="R909" s="18"/>
      <c r="S909" s="18"/>
      <c r="T909" s="18"/>
      <c r="U909" s="18"/>
      <c r="V909" s="18"/>
      <c r="W909" s="18"/>
      <c r="X909" s="18"/>
      <c r="Y909" s="18"/>
    </row>
    <row r="910">
      <c r="A910" s="67"/>
      <c r="B910" s="66"/>
      <c r="C910" s="18"/>
      <c r="D910" s="18"/>
      <c r="E910" s="18"/>
      <c r="F910" s="65"/>
      <c r="G910" s="66"/>
      <c r="H910" s="18"/>
      <c r="I910" s="18"/>
      <c r="J910" s="18"/>
      <c r="K910" s="65"/>
      <c r="L910" s="66"/>
      <c r="M910" s="65"/>
      <c r="N910" s="66"/>
      <c r="O910" s="65"/>
      <c r="P910" s="18"/>
      <c r="Q910" s="18"/>
      <c r="R910" s="18"/>
      <c r="S910" s="18"/>
      <c r="T910" s="18"/>
      <c r="U910" s="18"/>
      <c r="V910" s="18"/>
      <c r="W910" s="18"/>
      <c r="X910" s="18"/>
      <c r="Y910" s="18"/>
    </row>
    <row r="911">
      <c r="A911" s="67"/>
      <c r="B911" s="66"/>
      <c r="C911" s="18"/>
      <c r="D911" s="18"/>
      <c r="E911" s="18"/>
      <c r="F911" s="65"/>
      <c r="G911" s="66"/>
      <c r="H911" s="18"/>
      <c r="I911" s="18"/>
      <c r="J911" s="18"/>
      <c r="K911" s="65"/>
      <c r="L911" s="66"/>
      <c r="M911" s="65"/>
      <c r="N911" s="66"/>
      <c r="O911" s="65"/>
      <c r="P911" s="18"/>
      <c r="Q911" s="18"/>
      <c r="R911" s="18"/>
      <c r="S911" s="18"/>
      <c r="T911" s="18"/>
      <c r="U911" s="18"/>
      <c r="V911" s="18"/>
      <c r="W911" s="18"/>
      <c r="X911" s="18"/>
      <c r="Y911" s="18"/>
    </row>
    <row r="912">
      <c r="A912" s="67"/>
      <c r="B912" s="66"/>
      <c r="C912" s="18"/>
      <c r="D912" s="18"/>
      <c r="E912" s="18"/>
      <c r="F912" s="65"/>
      <c r="G912" s="66"/>
      <c r="H912" s="18"/>
      <c r="I912" s="18"/>
      <c r="J912" s="18"/>
      <c r="K912" s="65"/>
      <c r="L912" s="66"/>
      <c r="M912" s="65"/>
      <c r="N912" s="66"/>
      <c r="O912" s="65"/>
      <c r="P912" s="18"/>
      <c r="Q912" s="18"/>
      <c r="R912" s="18"/>
      <c r="S912" s="18"/>
      <c r="T912" s="18"/>
      <c r="U912" s="18"/>
      <c r="V912" s="18"/>
      <c r="W912" s="18"/>
      <c r="X912" s="18"/>
      <c r="Y912" s="18"/>
    </row>
    <row r="913">
      <c r="A913" s="67"/>
      <c r="B913" s="66"/>
      <c r="C913" s="18"/>
      <c r="D913" s="18"/>
      <c r="E913" s="18"/>
      <c r="F913" s="65"/>
      <c r="G913" s="66"/>
      <c r="H913" s="18"/>
      <c r="I913" s="18"/>
      <c r="J913" s="18"/>
      <c r="K913" s="65"/>
      <c r="L913" s="66"/>
      <c r="M913" s="65"/>
      <c r="N913" s="66"/>
      <c r="O913" s="65"/>
      <c r="P913" s="18"/>
      <c r="Q913" s="18"/>
      <c r="R913" s="18"/>
      <c r="S913" s="18"/>
      <c r="T913" s="18"/>
      <c r="U913" s="18"/>
      <c r="V913" s="18"/>
      <c r="W913" s="18"/>
      <c r="X913" s="18"/>
      <c r="Y913" s="18"/>
    </row>
    <row r="914">
      <c r="A914" s="67"/>
      <c r="B914" s="66"/>
      <c r="C914" s="18"/>
      <c r="D914" s="18"/>
      <c r="E914" s="18"/>
      <c r="F914" s="65"/>
      <c r="G914" s="66"/>
      <c r="H914" s="18"/>
      <c r="I914" s="18"/>
      <c r="J914" s="18"/>
      <c r="K914" s="65"/>
      <c r="L914" s="66"/>
      <c r="M914" s="65"/>
      <c r="N914" s="66"/>
      <c r="O914" s="65"/>
      <c r="P914" s="18"/>
      <c r="Q914" s="18"/>
      <c r="R914" s="18"/>
      <c r="S914" s="18"/>
      <c r="T914" s="18"/>
      <c r="U914" s="18"/>
      <c r="V914" s="18"/>
      <c r="W914" s="18"/>
      <c r="X914" s="18"/>
      <c r="Y914" s="18"/>
    </row>
    <row r="915">
      <c r="A915" s="67"/>
      <c r="B915" s="66"/>
      <c r="C915" s="18"/>
      <c r="D915" s="18"/>
      <c r="E915" s="18"/>
      <c r="F915" s="65"/>
      <c r="G915" s="66"/>
      <c r="H915" s="18"/>
      <c r="I915" s="18"/>
      <c r="J915" s="18"/>
      <c r="K915" s="65"/>
      <c r="L915" s="66"/>
      <c r="M915" s="65"/>
      <c r="N915" s="66"/>
      <c r="O915" s="65"/>
      <c r="P915" s="18"/>
      <c r="Q915" s="18"/>
      <c r="R915" s="18"/>
      <c r="S915" s="18"/>
      <c r="T915" s="18"/>
      <c r="U915" s="18"/>
      <c r="V915" s="18"/>
      <c r="W915" s="18"/>
      <c r="X915" s="18"/>
      <c r="Y915" s="18"/>
    </row>
    <row r="916">
      <c r="A916" s="67"/>
      <c r="B916" s="66"/>
      <c r="C916" s="18"/>
      <c r="D916" s="18"/>
      <c r="E916" s="18"/>
      <c r="F916" s="65"/>
      <c r="G916" s="66"/>
      <c r="H916" s="18"/>
      <c r="I916" s="18"/>
      <c r="J916" s="18"/>
      <c r="K916" s="65"/>
      <c r="L916" s="66"/>
      <c r="M916" s="65"/>
      <c r="N916" s="66"/>
      <c r="O916" s="65"/>
      <c r="P916" s="18"/>
      <c r="Q916" s="18"/>
      <c r="R916" s="18"/>
      <c r="S916" s="18"/>
      <c r="T916" s="18"/>
      <c r="U916" s="18"/>
      <c r="V916" s="18"/>
      <c r="W916" s="18"/>
      <c r="X916" s="18"/>
      <c r="Y916" s="18"/>
    </row>
    <row r="917">
      <c r="A917" s="67"/>
      <c r="B917" s="66"/>
      <c r="C917" s="18"/>
      <c r="D917" s="18"/>
      <c r="E917" s="18"/>
      <c r="F917" s="65"/>
      <c r="G917" s="66"/>
      <c r="H917" s="18"/>
      <c r="I917" s="18"/>
      <c r="J917" s="18"/>
      <c r="K917" s="65"/>
      <c r="L917" s="66"/>
      <c r="M917" s="65"/>
      <c r="N917" s="66"/>
      <c r="O917" s="65"/>
      <c r="P917" s="18"/>
      <c r="Q917" s="18"/>
      <c r="R917" s="18"/>
      <c r="S917" s="18"/>
      <c r="T917" s="18"/>
      <c r="U917" s="18"/>
      <c r="V917" s="18"/>
      <c r="W917" s="18"/>
      <c r="X917" s="18"/>
      <c r="Y917" s="18"/>
    </row>
    <row r="918">
      <c r="A918" s="67"/>
      <c r="B918" s="66"/>
      <c r="C918" s="18"/>
      <c r="D918" s="18"/>
      <c r="E918" s="18"/>
      <c r="F918" s="65"/>
      <c r="G918" s="66"/>
      <c r="H918" s="18"/>
      <c r="I918" s="18"/>
      <c r="J918" s="18"/>
      <c r="K918" s="65"/>
      <c r="L918" s="66"/>
      <c r="M918" s="65"/>
      <c r="N918" s="66"/>
      <c r="O918" s="65"/>
      <c r="P918" s="18"/>
      <c r="Q918" s="18"/>
      <c r="R918" s="18"/>
      <c r="S918" s="18"/>
      <c r="T918" s="18"/>
      <c r="U918" s="18"/>
      <c r="V918" s="18"/>
      <c r="W918" s="18"/>
      <c r="X918" s="18"/>
      <c r="Y918" s="18"/>
    </row>
    <row r="919">
      <c r="A919" s="67"/>
      <c r="B919" s="66"/>
      <c r="C919" s="18"/>
      <c r="D919" s="18"/>
      <c r="E919" s="18"/>
      <c r="F919" s="65"/>
      <c r="G919" s="66"/>
      <c r="H919" s="18"/>
      <c r="I919" s="18"/>
      <c r="J919" s="18"/>
      <c r="K919" s="65"/>
      <c r="L919" s="66"/>
      <c r="M919" s="65"/>
      <c r="N919" s="66"/>
      <c r="O919" s="65"/>
      <c r="P919" s="18"/>
      <c r="Q919" s="18"/>
      <c r="R919" s="18"/>
      <c r="S919" s="18"/>
      <c r="T919" s="18"/>
      <c r="U919" s="18"/>
      <c r="V919" s="18"/>
      <c r="W919" s="18"/>
      <c r="X919" s="18"/>
      <c r="Y919" s="18"/>
    </row>
    <row r="920">
      <c r="A920" s="67"/>
      <c r="B920" s="66"/>
      <c r="C920" s="18"/>
      <c r="D920" s="18"/>
      <c r="E920" s="18"/>
      <c r="F920" s="65"/>
      <c r="G920" s="66"/>
      <c r="H920" s="18"/>
      <c r="I920" s="18"/>
      <c r="J920" s="18"/>
      <c r="K920" s="65"/>
      <c r="L920" s="66"/>
      <c r="M920" s="65"/>
      <c r="N920" s="66"/>
      <c r="O920" s="65"/>
      <c r="P920" s="18"/>
      <c r="Q920" s="18"/>
      <c r="R920" s="18"/>
      <c r="S920" s="18"/>
      <c r="T920" s="18"/>
      <c r="U920" s="18"/>
      <c r="V920" s="18"/>
      <c r="W920" s="18"/>
      <c r="X920" s="18"/>
      <c r="Y920" s="18"/>
    </row>
    <row r="921">
      <c r="A921" s="67"/>
      <c r="B921" s="66"/>
      <c r="C921" s="18"/>
      <c r="D921" s="18"/>
      <c r="E921" s="18"/>
      <c r="F921" s="65"/>
      <c r="G921" s="66"/>
      <c r="H921" s="18"/>
      <c r="I921" s="18"/>
      <c r="J921" s="18"/>
      <c r="K921" s="65"/>
      <c r="L921" s="66"/>
      <c r="M921" s="65"/>
      <c r="N921" s="66"/>
      <c r="O921" s="65"/>
      <c r="P921" s="18"/>
      <c r="Q921" s="18"/>
      <c r="R921" s="18"/>
      <c r="S921" s="18"/>
      <c r="T921" s="18"/>
      <c r="U921" s="18"/>
      <c r="V921" s="18"/>
      <c r="W921" s="18"/>
      <c r="X921" s="18"/>
      <c r="Y921" s="18"/>
    </row>
    <row r="922">
      <c r="A922" s="67"/>
      <c r="B922" s="66"/>
      <c r="C922" s="18"/>
      <c r="D922" s="18"/>
      <c r="E922" s="18"/>
      <c r="F922" s="65"/>
      <c r="G922" s="66"/>
      <c r="H922" s="18"/>
      <c r="I922" s="18"/>
      <c r="J922" s="18"/>
      <c r="K922" s="65"/>
      <c r="L922" s="66"/>
      <c r="M922" s="65"/>
      <c r="N922" s="66"/>
      <c r="O922" s="65"/>
      <c r="P922" s="18"/>
      <c r="Q922" s="18"/>
      <c r="R922" s="18"/>
      <c r="S922" s="18"/>
      <c r="T922" s="18"/>
      <c r="U922" s="18"/>
      <c r="V922" s="18"/>
      <c r="W922" s="18"/>
      <c r="X922" s="18"/>
      <c r="Y922" s="18"/>
    </row>
    <row r="923">
      <c r="A923" s="67"/>
      <c r="B923" s="66"/>
      <c r="C923" s="18"/>
      <c r="D923" s="18"/>
      <c r="E923" s="18"/>
      <c r="F923" s="65"/>
      <c r="G923" s="66"/>
      <c r="H923" s="18"/>
      <c r="I923" s="18"/>
      <c r="J923" s="18"/>
      <c r="K923" s="65"/>
      <c r="L923" s="66"/>
      <c r="M923" s="65"/>
      <c r="N923" s="66"/>
      <c r="O923" s="65"/>
      <c r="P923" s="18"/>
      <c r="Q923" s="18"/>
      <c r="R923" s="18"/>
      <c r="S923" s="18"/>
      <c r="T923" s="18"/>
      <c r="U923" s="18"/>
      <c r="V923" s="18"/>
      <c r="W923" s="18"/>
      <c r="X923" s="18"/>
      <c r="Y923" s="18"/>
    </row>
    <row r="924">
      <c r="A924" s="67"/>
      <c r="B924" s="66"/>
      <c r="C924" s="18"/>
      <c r="D924" s="18"/>
      <c r="E924" s="18"/>
      <c r="F924" s="65"/>
      <c r="G924" s="66"/>
      <c r="H924" s="18"/>
      <c r="I924" s="18"/>
      <c r="J924" s="18"/>
      <c r="K924" s="65"/>
      <c r="L924" s="66"/>
      <c r="M924" s="65"/>
      <c r="N924" s="66"/>
      <c r="O924" s="65"/>
      <c r="P924" s="18"/>
      <c r="Q924" s="18"/>
      <c r="R924" s="18"/>
      <c r="S924" s="18"/>
      <c r="T924" s="18"/>
      <c r="U924" s="18"/>
      <c r="V924" s="18"/>
      <c r="W924" s="18"/>
      <c r="X924" s="18"/>
      <c r="Y924" s="18"/>
    </row>
    <row r="925">
      <c r="A925" s="67"/>
      <c r="B925" s="66"/>
      <c r="C925" s="18"/>
      <c r="D925" s="18"/>
      <c r="E925" s="18"/>
      <c r="F925" s="65"/>
      <c r="G925" s="66"/>
      <c r="H925" s="18"/>
      <c r="I925" s="18"/>
      <c r="J925" s="18"/>
      <c r="K925" s="65"/>
      <c r="L925" s="66"/>
      <c r="M925" s="65"/>
      <c r="N925" s="66"/>
      <c r="O925" s="65"/>
      <c r="P925" s="18"/>
      <c r="Q925" s="18"/>
      <c r="R925" s="18"/>
      <c r="S925" s="18"/>
      <c r="T925" s="18"/>
      <c r="U925" s="18"/>
      <c r="V925" s="18"/>
      <c r="W925" s="18"/>
      <c r="X925" s="18"/>
      <c r="Y925" s="18"/>
    </row>
    <row r="926">
      <c r="A926" s="67"/>
      <c r="B926" s="66"/>
      <c r="C926" s="18"/>
      <c r="D926" s="18"/>
      <c r="E926" s="18"/>
      <c r="F926" s="65"/>
      <c r="G926" s="66"/>
      <c r="H926" s="18"/>
      <c r="I926" s="18"/>
      <c r="J926" s="18"/>
      <c r="K926" s="65"/>
      <c r="L926" s="66"/>
      <c r="M926" s="65"/>
      <c r="N926" s="66"/>
      <c r="O926" s="65"/>
      <c r="P926" s="18"/>
      <c r="Q926" s="18"/>
      <c r="R926" s="18"/>
      <c r="S926" s="18"/>
      <c r="T926" s="18"/>
      <c r="U926" s="18"/>
      <c r="V926" s="18"/>
      <c r="W926" s="18"/>
      <c r="X926" s="18"/>
      <c r="Y926" s="18"/>
    </row>
    <row r="927">
      <c r="A927" s="67"/>
      <c r="B927" s="66"/>
      <c r="C927" s="18"/>
      <c r="D927" s="18"/>
      <c r="E927" s="18"/>
      <c r="F927" s="65"/>
      <c r="G927" s="66"/>
      <c r="H927" s="18"/>
      <c r="I927" s="18"/>
      <c r="J927" s="18"/>
      <c r="K927" s="65"/>
      <c r="L927" s="66"/>
      <c r="M927" s="65"/>
      <c r="N927" s="66"/>
      <c r="O927" s="65"/>
      <c r="P927" s="18"/>
      <c r="Q927" s="18"/>
      <c r="R927" s="18"/>
      <c r="S927" s="18"/>
      <c r="T927" s="18"/>
      <c r="U927" s="18"/>
      <c r="V927" s="18"/>
      <c r="W927" s="18"/>
      <c r="X927" s="18"/>
      <c r="Y927" s="18"/>
    </row>
    <row r="928">
      <c r="A928" s="67"/>
      <c r="B928" s="66"/>
      <c r="C928" s="18"/>
      <c r="D928" s="18"/>
      <c r="E928" s="18"/>
      <c r="F928" s="65"/>
      <c r="G928" s="66"/>
      <c r="H928" s="18"/>
      <c r="I928" s="18"/>
      <c r="J928" s="18"/>
      <c r="K928" s="65"/>
      <c r="L928" s="66"/>
      <c r="M928" s="65"/>
      <c r="N928" s="66"/>
      <c r="O928" s="65"/>
      <c r="P928" s="18"/>
      <c r="Q928" s="18"/>
      <c r="R928" s="18"/>
      <c r="S928" s="18"/>
      <c r="T928" s="18"/>
      <c r="U928" s="18"/>
      <c r="V928" s="18"/>
      <c r="W928" s="18"/>
      <c r="X928" s="18"/>
      <c r="Y928" s="18"/>
    </row>
    <row r="929">
      <c r="A929" s="67"/>
      <c r="B929" s="66"/>
      <c r="C929" s="18"/>
      <c r="D929" s="18"/>
      <c r="E929" s="18"/>
      <c r="F929" s="65"/>
      <c r="G929" s="66"/>
      <c r="H929" s="18"/>
      <c r="I929" s="18"/>
      <c r="J929" s="18"/>
      <c r="K929" s="65"/>
      <c r="L929" s="66"/>
      <c r="M929" s="65"/>
      <c r="N929" s="66"/>
      <c r="O929" s="65"/>
      <c r="P929" s="18"/>
      <c r="Q929" s="18"/>
      <c r="R929" s="18"/>
      <c r="S929" s="18"/>
      <c r="T929" s="18"/>
      <c r="U929" s="18"/>
      <c r="V929" s="18"/>
      <c r="W929" s="18"/>
      <c r="X929" s="18"/>
      <c r="Y929" s="18"/>
    </row>
    <row r="930">
      <c r="A930" s="67"/>
      <c r="B930" s="66"/>
      <c r="C930" s="18"/>
      <c r="D930" s="18"/>
      <c r="E930" s="18"/>
      <c r="F930" s="65"/>
      <c r="G930" s="66"/>
      <c r="H930" s="18"/>
      <c r="I930" s="18"/>
      <c r="J930" s="18"/>
      <c r="K930" s="65"/>
      <c r="L930" s="66"/>
      <c r="M930" s="65"/>
      <c r="N930" s="66"/>
      <c r="O930" s="65"/>
      <c r="P930" s="18"/>
      <c r="Q930" s="18"/>
      <c r="R930" s="18"/>
      <c r="S930" s="18"/>
      <c r="T930" s="18"/>
      <c r="U930" s="18"/>
      <c r="V930" s="18"/>
      <c r="W930" s="18"/>
      <c r="X930" s="18"/>
      <c r="Y930" s="18"/>
    </row>
    <row r="931">
      <c r="A931" s="67"/>
      <c r="B931" s="66"/>
      <c r="C931" s="18"/>
      <c r="D931" s="18"/>
      <c r="E931" s="18"/>
      <c r="F931" s="65"/>
      <c r="G931" s="66"/>
      <c r="H931" s="18"/>
      <c r="I931" s="18"/>
      <c r="J931" s="18"/>
      <c r="K931" s="65"/>
      <c r="L931" s="66"/>
      <c r="M931" s="65"/>
      <c r="N931" s="66"/>
      <c r="O931" s="65"/>
      <c r="P931" s="18"/>
      <c r="Q931" s="18"/>
      <c r="R931" s="18"/>
      <c r="S931" s="18"/>
      <c r="T931" s="18"/>
      <c r="U931" s="18"/>
      <c r="V931" s="18"/>
      <c r="W931" s="18"/>
      <c r="X931" s="18"/>
      <c r="Y931" s="18"/>
    </row>
    <row r="932">
      <c r="A932" s="67"/>
      <c r="B932" s="66"/>
      <c r="C932" s="18"/>
      <c r="D932" s="18"/>
      <c r="E932" s="18"/>
      <c r="F932" s="65"/>
      <c r="G932" s="66"/>
      <c r="H932" s="18"/>
      <c r="I932" s="18"/>
      <c r="J932" s="18"/>
      <c r="K932" s="65"/>
      <c r="L932" s="66"/>
      <c r="M932" s="65"/>
      <c r="N932" s="66"/>
      <c r="O932" s="65"/>
      <c r="P932" s="18"/>
      <c r="Q932" s="18"/>
      <c r="R932" s="18"/>
      <c r="S932" s="18"/>
      <c r="T932" s="18"/>
      <c r="U932" s="18"/>
      <c r="V932" s="18"/>
      <c r="W932" s="18"/>
      <c r="X932" s="18"/>
      <c r="Y932" s="18"/>
    </row>
    <row r="933">
      <c r="A933" s="67"/>
      <c r="B933" s="66"/>
      <c r="C933" s="18"/>
      <c r="D933" s="18"/>
      <c r="E933" s="18"/>
      <c r="F933" s="65"/>
      <c r="G933" s="66"/>
      <c r="H933" s="18"/>
      <c r="I933" s="18"/>
      <c r="J933" s="18"/>
      <c r="K933" s="65"/>
      <c r="L933" s="66"/>
      <c r="M933" s="65"/>
      <c r="N933" s="66"/>
      <c r="O933" s="65"/>
      <c r="P933" s="18"/>
      <c r="Q933" s="18"/>
      <c r="R933" s="18"/>
      <c r="S933" s="18"/>
      <c r="T933" s="18"/>
      <c r="U933" s="18"/>
      <c r="V933" s="18"/>
      <c r="W933" s="18"/>
      <c r="X933" s="18"/>
      <c r="Y933" s="18"/>
    </row>
    <row r="934">
      <c r="A934" s="67"/>
      <c r="B934" s="66"/>
      <c r="C934" s="18"/>
      <c r="D934" s="18"/>
      <c r="E934" s="18"/>
      <c r="F934" s="65"/>
      <c r="G934" s="66"/>
      <c r="H934" s="18"/>
      <c r="I934" s="18"/>
      <c r="J934" s="18"/>
      <c r="K934" s="65"/>
      <c r="L934" s="66"/>
      <c r="M934" s="65"/>
      <c r="N934" s="66"/>
      <c r="O934" s="65"/>
      <c r="P934" s="18"/>
      <c r="Q934" s="18"/>
      <c r="R934" s="18"/>
      <c r="S934" s="18"/>
      <c r="T934" s="18"/>
      <c r="U934" s="18"/>
      <c r="V934" s="18"/>
      <c r="W934" s="18"/>
      <c r="X934" s="18"/>
      <c r="Y934" s="18"/>
    </row>
    <row r="935">
      <c r="A935" s="67"/>
      <c r="B935" s="66"/>
      <c r="C935" s="18"/>
      <c r="D935" s="18"/>
      <c r="E935" s="18"/>
      <c r="F935" s="65"/>
      <c r="G935" s="66"/>
      <c r="H935" s="18"/>
      <c r="I935" s="18"/>
      <c r="J935" s="18"/>
      <c r="K935" s="65"/>
      <c r="L935" s="66"/>
      <c r="M935" s="65"/>
      <c r="N935" s="66"/>
      <c r="O935" s="65"/>
      <c r="P935" s="18"/>
      <c r="Q935" s="18"/>
      <c r="R935" s="18"/>
      <c r="S935" s="18"/>
      <c r="T935" s="18"/>
      <c r="U935" s="18"/>
      <c r="V935" s="18"/>
      <c r="W935" s="18"/>
      <c r="X935" s="18"/>
      <c r="Y935" s="18"/>
    </row>
    <row r="936">
      <c r="A936" s="67"/>
      <c r="B936" s="66"/>
      <c r="C936" s="18"/>
      <c r="D936" s="18"/>
      <c r="E936" s="18"/>
      <c r="F936" s="65"/>
      <c r="G936" s="66"/>
      <c r="H936" s="18"/>
      <c r="I936" s="18"/>
      <c r="J936" s="18"/>
      <c r="K936" s="65"/>
      <c r="L936" s="66"/>
      <c r="M936" s="65"/>
      <c r="N936" s="66"/>
      <c r="O936" s="65"/>
      <c r="P936" s="18"/>
      <c r="Q936" s="18"/>
      <c r="R936" s="18"/>
      <c r="S936" s="18"/>
      <c r="T936" s="18"/>
      <c r="U936" s="18"/>
      <c r="V936" s="18"/>
      <c r="W936" s="18"/>
      <c r="X936" s="18"/>
      <c r="Y936" s="18"/>
    </row>
    <row r="937">
      <c r="A937" s="67"/>
      <c r="B937" s="66"/>
      <c r="C937" s="18"/>
      <c r="D937" s="18"/>
      <c r="E937" s="18"/>
      <c r="F937" s="65"/>
      <c r="G937" s="66"/>
      <c r="H937" s="18"/>
      <c r="I937" s="18"/>
      <c r="J937" s="18"/>
      <c r="K937" s="65"/>
      <c r="L937" s="66"/>
      <c r="M937" s="65"/>
      <c r="N937" s="66"/>
      <c r="O937" s="65"/>
      <c r="P937" s="18"/>
      <c r="Q937" s="18"/>
      <c r="R937" s="18"/>
      <c r="S937" s="18"/>
      <c r="T937" s="18"/>
      <c r="U937" s="18"/>
      <c r="V937" s="18"/>
      <c r="W937" s="18"/>
      <c r="X937" s="18"/>
      <c r="Y937" s="18"/>
    </row>
    <row r="938">
      <c r="A938" s="67"/>
      <c r="B938" s="66"/>
      <c r="C938" s="18"/>
      <c r="D938" s="18"/>
      <c r="E938" s="18"/>
      <c r="F938" s="65"/>
      <c r="G938" s="66"/>
      <c r="H938" s="18"/>
      <c r="I938" s="18"/>
      <c r="J938" s="18"/>
      <c r="K938" s="65"/>
      <c r="L938" s="66"/>
      <c r="M938" s="65"/>
      <c r="N938" s="66"/>
      <c r="O938" s="65"/>
      <c r="P938" s="18"/>
      <c r="Q938" s="18"/>
      <c r="R938" s="18"/>
      <c r="S938" s="18"/>
      <c r="T938" s="18"/>
      <c r="U938" s="18"/>
      <c r="V938" s="18"/>
      <c r="W938" s="18"/>
      <c r="X938" s="18"/>
      <c r="Y938" s="18"/>
    </row>
    <row r="939">
      <c r="A939" s="67"/>
      <c r="B939" s="66"/>
      <c r="C939" s="18"/>
      <c r="D939" s="18"/>
      <c r="E939" s="18"/>
      <c r="F939" s="65"/>
      <c r="G939" s="66"/>
      <c r="H939" s="18"/>
      <c r="I939" s="18"/>
      <c r="J939" s="18"/>
      <c r="K939" s="65"/>
      <c r="L939" s="66"/>
      <c r="M939" s="65"/>
      <c r="N939" s="66"/>
      <c r="O939" s="65"/>
      <c r="P939" s="18"/>
      <c r="Q939" s="18"/>
      <c r="R939" s="18"/>
      <c r="S939" s="18"/>
      <c r="T939" s="18"/>
      <c r="U939" s="18"/>
      <c r="V939" s="18"/>
      <c r="W939" s="18"/>
      <c r="X939" s="18"/>
      <c r="Y939" s="18"/>
    </row>
    <row r="940">
      <c r="A940" s="67"/>
      <c r="B940" s="66"/>
      <c r="C940" s="18"/>
      <c r="D940" s="18"/>
      <c r="E940" s="18"/>
      <c r="F940" s="65"/>
      <c r="G940" s="66"/>
      <c r="H940" s="18"/>
      <c r="I940" s="18"/>
      <c r="J940" s="18"/>
      <c r="K940" s="65"/>
      <c r="L940" s="66"/>
      <c r="M940" s="65"/>
      <c r="N940" s="66"/>
      <c r="O940" s="65"/>
      <c r="P940" s="18"/>
      <c r="Q940" s="18"/>
      <c r="R940" s="18"/>
      <c r="S940" s="18"/>
      <c r="T940" s="18"/>
      <c r="U940" s="18"/>
      <c r="V940" s="18"/>
      <c r="W940" s="18"/>
      <c r="X940" s="18"/>
      <c r="Y940" s="18"/>
    </row>
    <row r="941">
      <c r="A941" s="67"/>
      <c r="B941" s="66"/>
      <c r="C941" s="18"/>
      <c r="D941" s="18"/>
      <c r="E941" s="18"/>
      <c r="F941" s="65"/>
      <c r="G941" s="66"/>
      <c r="H941" s="18"/>
      <c r="I941" s="18"/>
      <c r="J941" s="18"/>
      <c r="K941" s="65"/>
      <c r="L941" s="66"/>
      <c r="M941" s="65"/>
      <c r="N941" s="66"/>
      <c r="O941" s="65"/>
      <c r="P941" s="18"/>
      <c r="Q941" s="18"/>
      <c r="R941" s="18"/>
      <c r="S941" s="18"/>
      <c r="T941" s="18"/>
      <c r="U941" s="18"/>
      <c r="V941" s="18"/>
      <c r="W941" s="18"/>
      <c r="X941" s="18"/>
      <c r="Y941" s="18"/>
    </row>
    <row r="942">
      <c r="A942" s="67"/>
      <c r="B942" s="66"/>
      <c r="C942" s="18"/>
      <c r="D942" s="18"/>
      <c r="E942" s="18"/>
      <c r="F942" s="65"/>
      <c r="G942" s="66"/>
      <c r="H942" s="18"/>
      <c r="I942" s="18"/>
      <c r="J942" s="18"/>
      <c r="K942" s="65"/>
      <c r="L942" s="66"/>
      <c r="M942" s="65"/>
      <c r="N942" s="66"/>
      <c r="O942" s="65"/>
      <c r="P942" s="18"/>
      <c r="Q942" s="18"/>
      <c r="R942" s="18"/>
      <c r="S942" s="18"/>
      <c r="T942" s="18"/>
      <c r="U942" s="18"/>
      <c r="V942" s="18"/>
      <c r="W942" s="18"/>
      <c r="X942" s="18"/>
      <c r="Y942" s="18"/>
    </row>
    <row r="943">
      <c r="A943" s="67"/>
      <c r="B943" s="66"/>
      <c r="C943" s="18"/>
      <c r="D943" s="18"/>
      <c r="E943" s="18"/>
      <c r="F943" s="65"/>
      <c r="G943" s="66"/>
      <c r="H943" s="18"/>
      <c r="I943" s="18"/>
      <c r="J943" s="18"/>
      <c r="K943" s="65"/>
      <c r="L943" s="66"/>
      <c r="M943" s="65"/>
      <c r="N943" s="66"/>
      <c r="O943" s="65"/>
      <c r="P943" s="18"/>
      <c r="Q943" s="18"/>
      <c r="R943" s="18"/>
      <c r="S943" s="18"/>
      <c r="T943" s="18"/>
      <c r="U943" s="18"/>
      <c r="V943" s="18"/>
      <c r="W943" s="18"/>
      <c r="X943" s="18"/>
      <c r="Y943" s="18"/>
    </row>
    <row r="944">
      <c r="A944" s="67"/>
      <c r="B944" s="66"/>
      <c r="C944" s="18"/>
      <c r="D944" s="18"/>
      <c r="E944" s="18"/>
      <c r="F944" s="65"/>
      <c r="G944" s="66"/>
      <c r="H944" s="18"/>
      <c r="I944" s="18"/>
      <c r="J944" s="18"/>
      <c r="K944" s="65"/>
      <c r="L944" s="66"/>
      <c r="M944" s="65"/>
      <c r="N944" s="66"/>
      <c r="O944" s="65"/>
      <c r="P944" s="18"/>
      <c r="Q944" s="18"/>
      <c r="R944" s="18"/>
      <c r="S944" s="18"/>
      <c r="T944" s="18"/>
      <c r="U944" s="18"/>
      <c r="V944" s="18"/>
      <c r="W944" s="18"/>
      <c r="X944" s="18"/>
      <c r="Y944" s="18"/>
    </row>
    <row r="945">
      <c r="A945" s="67"/>
      <c r="B945" s="66"/>
      <c r="C945" s="18"/>
      <c r="D945" s="18"/>
      <c r="E945" s="18"/>
      <c r="F945" s="65"/>
      <c r="G945" s="66"/>
      <c r="H945" s="18"/>
      <c r="I945" s="18"/>
      <c r="J945" s="18"/>
      <c r="K945" s="65"/>
      <c r="L945" s="66"/>
      <c r="M945" s="65"/>
      <c r="N945" s="66"/>
      <c r="O945" s="65"/>
      <c r="P945" s="18"/>
      <c r="Q945" s="18"/>
      <c r="R945" s="18"/>
      <c r="S945" s="18"/>
      <c r="T945" s="18"/>
      <c r="U945" s="18"/>
      <c r="V945" s="18"/>
      <c r="W945" s="18"/>
      <c r="X945" s="18"/>
      <c r="Y945" s="18"/>
    </row>
    <row r="946">
      <c r="A946" s="67"/>
      <c r="B946" s="66"/>
      <c r="C946" s="18"/>
      <c r="D946" s="18"/>
      <c r="E946" s="18"/>
      <c r="F946" s="65"/>
      <c r="G946" s="66"/>
      <c r="H946" s="18"/>
      <c r="I946" s="18"/>
      <c r="J946" s="18"/>
      <c r="K946" s="65"/>
      <c r="L946" s="66"/>
      <c r="M946" s="65"/>
      <c r="N946" s="66"/>
      <c r="O946" s="65"/>
      <c r="P946" s="18"/>
      <c r="Q946" s="18"/>
      <c r="R946" s="18"/>
      <c r="S946" s="18"/>
      <c r="T946" s="18"/>
      <c r="U946" s="18"/>
      <c r="V946" s="18"/>
      <c r="W946" s="18"/>
      <c r="X946" s="18"/>
      <c r="Y946" s="18"/>
    </row>
    <row r="947">
      <c r="A947" s="67"/>
      <c r="B947" s="66"/>
      <c r="C947" s="18"/>
      <c r="D947" s="18"/>
      <c r="E947" s="18"/>
      <c r="F947" s="65"/>
      <c r="G947" s="66"/>
      <c r="H947" s="18"/>
      <c r="I947" s="18"/>
      <c r="J947" s="18"/>
      <c r="K947" s="65"/>
      <c r="L947" s="66"/>
      <c r="M947" s="65"/>
      <c r="N947" s="66"/>
      <c r="O947" s="65"/>
      <c r="P947" s="18"/>
      <c r="Q947" s="18"/>
      <c r="R947" s="18"/>
      <c r="S947" s="18"/>
      <c r="T947" s="18"/>
      <c r="U947" s="18"/>
      <c r="V947" s="18"/>
      <c r="W947" s="18"/>
      <c r="X947" s="18"/>
      <c r="Y947" s="18"/>
    </row>
    <row r="948">
      <c r="A948" s="67"/>
      <c r="B948" s="66"/>
      <c r="C948" s="18"/>
      <c r="D948" s="18"/>
      <c r="E948" s="18"/>
      <c r="F948" s="65"/>
      <c r="G948" s="66"/>
      <c r="H948" s="18"/>
      <c r="I948" s="18"/>
      <c r="J948" s="18"/>
      <c r="K948" s="65"/>
      <c r="L948" s="66"/>
      <c r="M948" s="65"/>
      <c r="N948" s="66"/>
      <c r="O948" s="65"/>
      <c r="P948" s="18"/>
      <c r="Q948" s="18"/>
      <c r="R948" s="18"/>
      <c r="S948" s="18"/>
      <c r="T948" s="18"/>
      <c r="U948" s="18"/>
      <c r="V948" s="18"/>
      <c r="W948" s="18"/>
      <c r="X948" s="18"/>
      <c r="Y948" s="18"/>
    </row>
    <row r="949">
      <c r="A949" s="67"/>
      <c r="B949" s="66"/>
      <c r="C949" s="18"/>
      <c r="D949" s="18"/>
      <c r="E949" s="18"/>
      <c r="F949" s="65"/>
      <c r="G949" s="66"/>
      <c r="H949" s="18"/>
      <c r="I949" s="18"/>
      <c r="J949" s="18"/>
      <c r="K949" s="65"/>
      <c r="L949" s="66"/>
      <c r="M949" s="65"/>
      <c r="N949" s="66"/>
      <c r="O949" s="65"/>
      <c r="P949" s="18"/>
      <c r="Q949" s="18"/>
      <c r="R949" s="18"/>
      <c r="S949" s="18"/>
      <c r="T949" s="18"/>
      <c r="U949" s="18"/>
      <c r="V949" s="18"/>
      <c r="W949" s="18"/>
      <c r="X949" s="18"/>
      <c r="Y949" s="18"/>
    </row>
    <row r="950">
      <c r="A950" s="67"/>
      <c r="B950" s="66"/>
      <c r="C950" s="18"/>
      <c r="D950" s="18"/>
      <c r="E950" s="18"/>
      <c r="F950" s="65"/>
      <c r="G950" s="66"/>
      <c r="H950" s="18"/>
      <c r="I950" s="18"/>
      <c r="J950" s="18"/>
      <c r="K950" s="65"/>
      <c r="L950" s="66"/>
      <c r="M950" s="65"/>
      <c r="N950" s="66"/>
      <c r="O950" s="65"/>
      <c r="P950" s="18"/>
      <c r="Q950" s="18"/>
      <c r="R950" s="18"/>
      <c r="S950" s="18"/>
      <c r="T950" s="18"/>
      <c r="U950" s="18"/>
      <c r="V950" s="18"/>
      <c r="W950" s="18"/>
      <c r="X950" s="18"/>
      <c r="Y950" s="18"/>
    </row>
    <row r="951">
      <c r="A951" s="67"/>
      <c r="B951" s="66"/>
      <c r="C951" s="18"/>
      <c r="D951" s="18"/>
      <c r="E951" s="18"/>
      <c r="F951" s="65"/>
      <c r="G951" s="66"/>
      <c r="H951" s="18"/>
      <c r="I951" s="18"/>
      <c r="J951" s="18"/>
      <c r="K951" s="65"/>
      <c r="L951" s="66"/>
      <c r="M951" s="65"/>
      <c r="N951" s="66"/>
      <c r="O951" s="65"/>
      <c r="P951" s="18"/>
      <c r="Q951" s="18"/>
      <c r="R951" s="18"/>
      <c r="S951" s="18"/>
      <c r="T951" s="18"/>
      <c r="U951" s="18"/>
      <c r="V951" s="18"/>
      <c r="W951" s="18"/>
      <c r="X951" s="18"/>
      <c r="Y951" s="18"/>
    </row>
    <row r="952">
      <c r="A952" s="67"/>
      <c r="B952" s="66"/>
      <c r="C952" s="18"/>
      <c r="D952" s="18"/>
      <c r="E952" s="18"/>
      <c r="F952" s="65"/>
      <c r="G952" s="66"/>
      <c r="H952" s="18"/>
      <c r="I952" s="18"/>
      <c r="J952" s="18"/>
      <c r="K952" s="65"/>
      <c r="L952" s="66"/>
      <c r="M952" s="65"/>
      <c r="N952" s="66"/>
      <c r="O952" s="65"/>
      <c r="P952" s="18"/>
      <c r="Q952" s="18"/>
      <c r="R952" s="18"/>
      <c r="S952" s="18"/>
      <c r="T952" s="18"/>
      <c r="U952" s="18"/>
      <c r="V952" s="18"/>
      <c r="W952" s="18"/>
      <c r="X952" s="18"/>
      <c r="Y952" s="18"/>
    </row>
    <row r="953">
      <c r="A953" s="67"/>
      <c r="B953" s="66"/>
      <c r="C953" s="18"/>
      <c r="D953" s="18"/>
      <c r="E953" s="18"/>
      <c r="F953" s="65"/>
      <c r="G953" s="66"/>
      <c r="H953" s="18"/>
      <c r="I953" s="18"/>
      <c r="J953" s="18"/>
      <c r="K953" s="65"/>
      <c r="L953" s="66"/>
      <c r="M953" s="65"/>
      <c r="N953" s="66"/>
      <c r="O953" s="65"/>
      <c r="P953" s="18"/>
      <c r="Q953" s="18"/>
      <c r="R953" s="18"/>
      <c r="S953" s="18"/>
      <c r="T953" s="18"/>
      <c r="U953" s="18"/>
      <c r="V953" s="18"/>
      <c r="W953" s="18"/>
      <c r="X953" s="18"/>
      <c r="Y953" s="18"/>
    </row>
    <row r="954">
      <c r="A954" s="67"/>
      <c r="B954" s="66"/>
      <c r="C954" s="18"/>
      <c r="D954" s="18"/>
      <c r="E954" s="18"/>
      <c r="F954" s="65"/>
      <c r="G954" s="66"/>
      <c r="H954" s="18"/>
      <c r="I954" s="18"/>
      <c r="J954" s="18"/>
      <c r="K954" s="65"/>
      <c r="L954" s="66"/>
      <c r="M954" s="65"/>
      <c r="N954" s="66"/>
      <c r="O954" s="65"/>
      <c r="P954" s="18"/>
      <c r="Q954" s="18"/>
      <c r="R954" s="18"/>
      <c r="S954" s="18"/>
      <c r="T954" s="18"/>
      <c r="U954" s="18"/>
      <c r="V954" s="18"/>
      <c r="W954" s="18"/>
      <c r="X954" s="18"/>
      <c r="Y954" s="18"/>
    </row>
    <row r="955">
      <c r="A955" s="67"/>
      <c r="B955" s="66"/>
      <c r="C955" s="18"/>
      <c r="D955" s="18"/>
      <c r="E955" s="18"/>
      <c r="F955" s="65"/>
      <c r="G955" s="66"/>
      <c r="H955" s="18"/>
      <c r="I955" s="18"/>
      <c r="J955" s="18"/>
      <c r="K955" s="65"/>
      <c r="L955" s="66"/>
      <c r="M955" s="65"/>
      <c r="N955" s="66"/>
      <c r="O955" s="65"/>
      <c r="P955" s="18"/>
      <c r="Q955" s="18"/>
      <c r="R955" s="18"/>
      <c r="S955" s="18"/>
      <c r="T955" s="18"/>
      <c r="U955" s="18"/>
      <c r="V955" s="18"/>
      <c r="W955" s="18"/>
      <c r="X955" s="18"/>
      <c r="Y955" s="18"/>
    </row>
    <row r="956">
      <c r="A956" s="67"/>
      <c r="B956" s="66"/>
      <c r="C956" s="18"/>
      <c r="D956" s="18"/>
      <c r="E956" s="18"/>
      <c r="F956" s="65"/>
      <c r="G956" s="66"/>
      <c r="H956" s="18"/>
      <c r="I956" s="18"/>
      <c r="J956" s="18"/>
      <c r="K956" s="65"/>
      <c r="L956" s="66"/>
      <c r="M956" s="65"/>
      <c r="N956" s="66"/>
      <c r="O956" s="65"/>
      <c r="P956" s="18"/>
      <c r="Q956" s="18"/>
      <c r="R956" s="18"/>
      <c r="S956" s="18"/>
      <c r="T956" s="18"/>
      <c r="U956" s="18"/>
      <c r="V956" s="18"/>
      <c r="W956" s="18"/>
      <c r="X956" s="18"/>
      <c r="Y956" s="18"/>
    </row>
    <row r="957">
      <c r="A957" s="67"/>
      <c r="B957" s="66"/>
      <c r="C957" s="18"/>
      <c r="D957" s="18"/>
      <c r="E957" s="18"/>
      <c r="F957" s="65"/>
      <c r="G957" s="66"/>
      <c r="H957" s="18"/>
      <c r="I957" s="18"/>
      <c r="J957" s="18"/>
      <c r="K957" s="65"/>
      <c r="L957" s="66"/>
      <c r="M957" s="65"/>
      <c r="N957" s="66"/>
      <c r="O957" s="65"/>
      <c r="P957" s="18"/>
      <c r="Q957" s="18"/>
      <c r="R957" s="18"/>
      <c r="S957" s="18"/>
      <c r="T957" s="18"/>
      <c r="U957" s="18"/>
      <c r="V957" s="18"/>
      <c r="W957" s="18"/>
      <c r="X957" s="18"/>
      <c r="Y957" s="18"/>
    </row>
    <row r="958">
      <c r="A958" s="67"/>
      <c r="B958" s="66"/>
      <c r="C958" s="18"/>
      <c r="D958" s="18"/>
      <c r="E958" s="18"/>
      <c r="F958" s="65"/>
      <c r="G958" s="66"/>
      <c r="H958" s="18"/>
      <c r="I958" s="18"/>
      <c r="J958" s="18"/>
      <c r="K958" s="65"/>
      <c r="L958" s="66"/>
      <c r="M958" s="65"/>
      <c r="N958" s="66"/>
      <c r="O958" s="65"/>
      <c r="P958" s="18"/>
      <c r="Q958" s="18"/>
      <c r="R958" s="18"/>
      <c r="S958" s="18"/>
      <c r="T958" s="18"/>
      <c r="U958" s="18"/>
      <c r="V958" s="18"/>
      <c r="W958" s="18"/>
      <c r="X958" s="18"/>
      <c r="Y958" s="18"/>
    </row>
    <row r="959">
      <c r="A959" s="67"/>
      <c r="B959" s="66"/>
      <c r="C959" s="18"/>
      <c r="D959" s="18"/>
      <c r="E959" s="18"/>
      <c r="F959" s="65"/>
      <c r="G959" s="66"/>
      <c r="H959" s="18"/>
      <c r="I959" s="18"/>
      <c r="J959" s="18"/>
      <c r="K959" s="65"/>
      <c r="L959" s="66"/>
      <c r="M959" s="65"/>
      <c r="N959" s="66"/>
      <c r="O959" s="65"/>
      <c r="P959" s="18"/>
      <c r="Q959" s="18"/>
      <c r="R959" s="18"/>
      <c r="S959" s="18"/>
      <c r="T959" s="18"/>
      <c r="U959" s="18"/>
      <c r="V959" s="18"/>
      <c r="W959" s="18"/>
      <c r="X959" s="18"/>
      <c r="Y959" s="18"/>
    </row>
    <row r="960">
      <c r="A960" s="67"/>
      <c r="B960" s="66"/>
      <c r="C960" s="18"/>
      <c r="D960" s="18"/>
      <c r="E960" s="18"/>
      <c r="F960" s="65"/>
      <c r="G960" s="66"/>
      <c r="H960" s="18"/>
      <c r="I960" s="18"/>
      <c r="J960" s="18"/>
      <c r="K960" s="65"/>
      <c r="L960" s="66"/>
      <c r="M960" s="65"/>
      <c r="N960" s="66"/>
      <c r="O960" s="65"/>
      <c r="P960" s="18"/>
      <c r="Q960" s="18"/>
      <c r="R960" s="18"/>
      <c r="S960" s="18"/>
      <c r="T960" s="18"/>
      <c r="U960" s="18"/>
      <c r="V960" s="18"/>
      <c r="W960" s="18"/>
      <c r="X960" s="18"/>
      <c r="Y960" s="18"/>
    </row>
    <row r="961">
      <c r="A961" s="67"/>
      <c r="B961" s="66"/>
      <c r="C961" s="18"/>
      <c r="D961" s="18"/>
      <c r="E961" s="18"/>
      <c r="F961" s="65"/>
      <c r="G961" s="66"/>
      <c r="H961" s="18"/>
      <c r="I961" s="18"/>
      <c r="J961" s="18"/>
      <c r="K961" s="65"/>
      <c r="L961" s="66"/>
      <c r="M961" s="65"/>
      <c r="N961" s="66"/>
      <c r="O961" s="65"/>
      <c r="P961" s="18"/>
      <c r="Q961" s="18"/>
      <c r="R961" s="18"/>
      <c r="S961" s="18"/>
      <c r="T961" s="18"/>
      <c r="U961" s="18"/>
      <c r="V961" s="18"/>
      <c r="W961" s="18"/>
      <c r="X961" s="18"/>
      <c r="Y961" s="18"/>
    </row>
    <row r="962">
      <c r="A962" s="67"/>
      <c r="B962" s="66"/>
      <c r="C962" s="18"/>
      <c r="D962" s="18"/>
      <c r="E962" s="18"/>
      <c r="F962" s="65"/>
      <c r="G962" s="66"/>
      <c r="H962" s="18"/>
      <c r="I962" s="18"/>
      <c r="J962" s="18"/>
      <c r="K962" s="65"/>
      <c r="L962" s="66"/>
      <c r="M962" s="65"/>
      <c r="N962" s="66"/>
      <c r="O962" s="65"/>
      <c r="P962" s="18"/>
      <c r="Q962" s="18"/>
      <c r="R962" s="18"/>
      <c r="S962" s="18"/>
      <c r="T962" s="18"/>
      <c r="U962" s="18"/>
      <c r="V962" s="18"/>
      <c r="W962" s="18"/>
      <c r="X962" s="18"/>
      <c r="Y962" s="18"/>
    </row>
    <row r="963">
      <c r="A963" s="67"/>
      <c r="B963" s="66"/>
      <c r="C963" s="18"/>
      <c r="D963" s="18"/>
      <c r="E963" s="18"/>
      <c r="F963" s="65"/>
      <c r="G963" s="66"/>
      <c r="H963" s="18"/>
      <c r="I963" s="18"/>
      <c r="J963" s="18"/>
      <c r="K963" s="65"/>
      <c r="L963" s="66"/>
      <c r="M963" s="65"/>
      <c r="N963" s="66"/>
      <c r="O963" s="65"/>
      <c r="P963" s="18"/>
      <c r="Q963" s="18"/>
      <c r="R963" s="18"/>
      <c r="S963" s="18"/>
      <c r="T963" s="18"/>
      <c r="U963" s="18"/>
      <c r="V963" s="18"/>
      <c r="W963" s="18"/>
      <c r="X963" s="18"/>
      <c r="Y963" s="18"/>
    </row>
    <row r="964">
      <c r="A964" s="67"/>
      <c r="B964" s="66"/>
      <c r="C964" s="18"/>
      <c r="D964" s="18"/>
      <c r="E964" s="18"/>
      <c r="F964" s="65"/>
      <c r="G964" s="66"/>
      <c r="H964" s="18"/>
      <c r="I964" s="18"/>
      <c r="J964" s="18"/>
      <c r="K964" s="65"/>
      <c r="L964" s="66"/>
      <c r="M964" s="65"/>
      <c r="N964" s="66"/>
      <c r="O964" s="65"/>
      <c r="P964" s="18"/>
      <c r="Q964" s="18"/>
      <c r="R964" s="18"/>
      <c r="S964" s="18"/>
      <c r="T964" s="18"/>
      <c r="U964" s="18"/>
      <c r="V964" s="18"/>
      <c r="W964" s="18"/>
      <c r="X964" s="18"/>
      <c r="Y964" s="18"/>
    </row>
    <row r="965">
      <c r="A965" s="67"/>
      <c r="B965" s="66"/>
      <c r="C965" s="18"/>
      <c r="D965" s="18"/>
      <c r="E965" s="18"/>
      <c r="F965" s="65"/>
      <c r="G965" s="66"/>
      <c r="H965" s="18"/>
      <c r="I965" s="18"/>
      <c r="J965" s="18"/>
      <c r="K965" s="65"/>
      <c r="L965" s="66"/>
      <c r="M965" s="65"/>
      <c r="N965" s="66"/>
      <c r="O965" s="65"/>
      <c r="P965" s="18"/>
      <c r="Q965" s="18"/>
      <c r="R965" s="18"/>
      <c r="S965" s="18"/>
      <c r="T965" s="18"/>
      <c r="U965" s="18"/>
      <c r="V965" s="18"/>
      <c r="W965" s="18"/>
      <c r="X965" s="18"/>
      <c r="Y965" s="18"/>
    </row>
    <row r="966">
      <c r="A966" s="67"/>
      <c r="B966" s="66"/>
      <c r="C966" s="18"/>
      <c r="D966" s="18"/>
      <c r="E966" s="18"/>
      <c r="F966" s="65"/>
      <c r="G966" s="66"/>
      <c r="H966" s="18"/>
      <c r="I966" s="18"/>
      <c r="J966" s="18"/>
      <c r="K966" s="65"/>
      <c r="L966" s="66"/>
      <c r="M966" s="65"/>
      <c r="N966" s="66"/>
      <c r="O966" s="65"/>
      <c r="P966" s="18"/>
      <c r="Q966" s="18"/>
      <c r="R966" s="18"/>
      <c r="S966" s="18"/>
      <c r="T966" s="18"/>
      <c r="U966" s="18"/>
      <c r="V966" s="18"/>
      <c r="W966" s="18"/>
      <c r="X966" s="18"/>
      <c r="Y966" s="18"/>
    </row>
    <row r="967">
      <c r="A967" s="67"/>
      <c r="B967" s="66"/>
      <c r="C967" s="18"/>
      <c r="D967" s="18"/>
      <c r="E967" s="18"/>
      <c r="F967" s="65"/>
      <c r="G967" s="66"/>
      <c r="H967" s="18"/>
      <c r="I967" s="18"/>
      <c r="J967" s="18"/>
      <c r="K967" s="65"/>
      <c r="L967" s="66"/>
      <c r="M967" s="65"/>
      <c r="N967" s="66"/>
      <c r="O967" s="65"/>
      <c r="P967" s="18"/>
      <c r="Q967" s="18"/>
      <c r="R967" s="18"/>
      <c r="S967" s="18"/>
      <c r="T967" s="18"/>
      <c r="U967" s="18"/>
      <c r="V967" s="18"/>
      <c r="W967" s="18"/>
      <c r="X967" s="18"/>
      <c r="Y967" s="18"/>
    </row>
    <row r="968">
      <c r="A968" s="67"/>
      <c r="B968" s="66"/>
      <c r="C968" s="18"/>
      <c r="D968" s="18"/>
      <c r="E968" s="18"/>
      <c r="F968" s="65"/>
      <c r="G968" s="66"/>
      <c r="H968" s="18"/>
      <c r="I968" s="18"/>
      <c r="J968" s="18"/>
      <c r="K968" s="65"/>
      <c r="L968" s="66"/>
      <c r="M968" s="65"/>
      <c r="N968" s="66"/>
      <c r="O968" s="65"/>
      <c r="P968" s="18"/>
      <c r="Q968" s="18"/>
      <c r="R968" s="18"/>
      <c r="S968" s="18"/>
      <c r="T968" s="18"/>
      <c r="U968" s="18"/>
      <c r="V968" s="18"/>
      <c r="W968" s="18"/>
      <c r="X968" s="18"/>
      <c r="Y968" s="18"/>
    </row>
    <row r="969">
      <c r="A969" s="67"/>
      <c r="B969" s="66"/>
      <c r="C969" s="18"/>
      <c r="D969" s="18"/>
      <c r="E969" s="18"/>
      <c r="F969" s="65"/>
      <c r="G969" s="66"/>
      <c r="H969" s="18"/>
      <c r="I969" s="18"/>
      <c r="J969" s="18"/>
      <c r="K969" s="65"/>
      <c r="L969" s="66"/>
      <c r="M969" s="65"/>
      <c r="N969" s="66"/>
      <c r="O969" s="65"/>
      <c r="P969" s="18"/>
      <c r="Q969" s="18"/>
      <c r="R969" s="18"/>
      <c r="S969" s="18"/>
      <c r="T969" s="18"/>
      <c r="U969" s="18"/>
      <c r="V969" s="18"/>
      <c r="W969" s="18"/>
      <c r="X969" s="18"/>
      <c r="Y969" s="18"/>
    </row>
    <row r="970">
      <c r="A970" s="67"/>
      <c r="B970" s="66"/>
      <c r="C970" s="18"/>
      <c r="D970" s="18"/>
      <c r="E970" s="18"/>
      <c r="F970" s="65"/>
      <c r="G970" s="66"/>
      <c r="H970" s="18"/>
      <c r="I970" s="18"/>
      <c r="J970" s="18"/>
      <c r="K970" s="65"/>
      <c r="L970" s="66"/>
      <c r="M970" s="65"/>
      <c r="N970" s="66"/>
      <c r="O970" s="65"/>
      <c r="P970" s="18"/>
      <c r="Q970" s="18"/>
      <c r="R970" s="18"/>
      <c r="S970" s="18"/>
      <c r="T970" s="18"/>
      <c r="U970" s="18"/>
      <c r="V970" s="18"/>
      <c r="W970" s="18"/>
      <c r="X970" s="18"/>
      <c r="Y970" s="18"/>
    </row>
    <row r="971">
      <c r="A971" s="67"/>
      <c r="B971" s="66"/>
      <c r="C971" s="18"/>
      <c r="D971" s="18"/>
      <c r="E971" s="18"/>
      <c r="F971" s="65"/>
      <c r="G971" s="66"/>
      <c r="H971" s="18"/>
      <c r="I971" s="18"/>
      <c r="J971" s="18"/>
      <c r="K971" s="65"/>
      <c r="L971" s="66"/>
      <c r="M971" s="65"/>
      <c r="N971" s="66"/>
      <c r="O971" s="65"/>
      <c r="P971" s="18"/>
      <c r="Q971" s="18"/>
      <c r="R971" s="18"/>
      <c r="S971" s="18"/>
      <c r="T971" s="18"/>
      <c r="U971" s="18"/>
      <c r="V971" s="18"/>
      <c r="W971" s="18"/>
      <c r="X971" s="18"/>
      <c r="Y971" s="18"/>
    </row>
    <row r="972">
      <c r="A972" s="67"/>
      <c r="B972" s="66"/>
      <c r="C972" s="18"/>
      <c r="D972" s="18"/>
      <c r="E972" s="18"/>
      <c r="F972" s="65"/>
      <c r="G972" s="66"/>
      <c r="H972" s="18"/>
      <c r="I972" s="18"/>
      <c r="J972" s="18"/>
      <c r="K972" s="65"/>
      <c r="L972" s="66"/>
      <c r="M972" s="65"/>
      <c r="N972" s="66"/>
      <c r="O972" s="65"/>
      <c r="P972" s="18"/>
      <c r="Q972" s="18"/>
      <c r="R972" s="18"/>
      <c r="S972" s="18"/>
      <c r="T972" s="18"/>
      <c r="U972" s="18"/>
      <c r="V972" s="18"/>
      <c r="W972" s="18"/>
      <c r="X972" s="18"/>
      <c r="Y972" s="18"/>
    </row>
    <row r="973">
      <c r="A973" s="67"/>
      <c r="B973" s="66"/>
      <c r="C973" s="18"/>
      <c r="D973" s="18"/>
      <c r="E973" s="18"/>
      <c r="F973" s="65"/>
      <c r="G973" s="66"/>
      <c r="H973" s="18"/>
      <c r="I973" s="18"/>
      <c r="J973" s="18"/>
      <c r="K973" s="65"/>
      <c r="L973" s="66"/>
      <c r="M973" s="65"/>
      <c r="N973" s="66"/>
      <c r="O973" s="65"/>
      <c r="P973" s="18"/>
      <c r="Q973" s="18"/>
      <c r="R973" s="18"/>
      <c r="S973" s="18"/>
      <c r="T973" s="18"/>
      <c r="U973" s="18"/>
      <c r="V973" s="18"/>
      <c r="W973" s="18"/>
      <c r="X973" s="18"/>
      <c r="Y973" s="18"/>
    </row>
    <row r="974">
      <c r="A974" s="67"/>
      <c r="B974" s="66"/>
      <c r="C974" s="18"/>
      <c r="D974" s="18"/>
      <c r="E974" s="18"/>
      <c r="F974" s="65"/>
      <c r="G974" s="66"/>
      <c r="H974" s="18"/>
      <c r="I974" s="18"/>
      <c r="J974" s="18"/>
      <c r="K974" s="65"/>
      <c r="L974" s="66"/>
      <c r="M974" s="65"/>
      <c r="N974" s="66"/>
      <c r="O974" s="65"/>
      <c r="P974" s="18"/>
      <c r="Q974" s="18"/>
      <c r="R974" s="18"/>
      <c r="S974" s="18"/>
      <c r="T974" s="18"/>
      <c r="U974" s="18"/>
      <c r="V974" s="18"/>
      <c r="W974" s="18"/>
      <c r="X974" s="18"/>
      <c r="Y974" s="18"/>
    </row>
    <row r="975">
      <c r="A975" s="67"/>
      <c r="B975" s="66"/>
      <c r="C975" s="18"/>
      <c r="D975" s="18"/>
      <c r="E975" s="18"/>
      <c r="F975" s="65"/>
      <c r="G975" s="66"/>
      <c r="H975" s="18"/>
      <c r="I975" s="18"/>
      <c r="J975" s="18"/>
      <c r="K975" s="65"/>
      <c r="L975" s="66"/>
      <c r="M975" s="65"/>
      <c r="N975" s="66"/>
      <c r="O975" s="65"/>
      <c r="P975" s="18"/>
      <c r="Q975" s="18"/>
      <c r="R975" s="18"/>
      <c r="S975" s="18"/>
      <c r="T975" s="18"/>
      <c r="U975" s="18"/>
      <c r="V975" s="18"/>
      <c r="W975" s="18"/>
      <c r="X975" s="18"/>
      <c r="Y975" s="18"/>
    </row>
    <row r="976">
      <c r="A976" s="67"/>
      <c r="B976" s="66"/>
      <c r="C976" s="18"/>
      <c r="D976" s="18"/>
      <c r="E976" s="18"/>
      <c r="F976" s="65"/>
      <c r="G976" s="66"/>
      <c r="H976" s="18"/>
      <c r="I976" s="18"/>
      <c r="J976" s="18"/>
      <c r="K976" s="65"/>
      <c r="L976" s="66"/>
      <c r="M976" s="65"/>
      <c r="N976" s="66"/>
      <c r="O976" s="65"/>
      <c r="P976" s="18"/>
      <c r="Q976" s="18"/>
      <c r="R976" s="18"/>
      <c r="S976" s="18"/>
      <c r="T976" s="18"/>
      <c r="U976" s="18"/>
      <c r="V976" s="18"/>
      <c r="W976" s="18"/>
      <c r="X976" s="18"/>
      <c r="Y976" s="18"/>
    </row>
    <row r="977">
      <c r="A977" s="67"/>
      <c r="B977" s="66"/>
      <c r="C977" s="18"/>
      <c r="D977" s="18"/>
      <c r="E977" s="18"/>
      <c r="F977" s="65"/>
      <c r="G977" s="66"/>
      <c r="H977" s="18"/>
      <c r="I977" s="18"/>
      <c r="J977" s="18"/>
      <c r="K977" s="65"/>
      <c r="L977" s="66"/>
      <c r="M977" s="65"/>
      <c r="N977" s="66"/>
      <c r="O977" s="65"/>
      <c r="P977" s="18"/>
      <c r="Q977" s="18"/>
      <c r="R977" s="18"/>
      <c r="S977" s="18"/>
      <c r="T977" s="18"/>
      <c r="U977" s="18"/>
      <c r="V977" s="18"/>
      <c r="W977" s="18"/>
      <c r="X977" s="18"/>
      <c r="Y977" s="18"/>
    </row>
    <row r="978">
      <c r="A978" s="67"/>
      <c r="B978" s="66"/>
      <c r="C978" s="18"/>
      <c r="D978" s="18"/>
      <c r="E978" s="18"/>
      <c r="F978" s="65"/>
      <c r="G978" s="66"/>
      <c r="H978" s="18"/>
      <c r="I978" s="18"/>
      <c r="J978" s="18"/>
      <c r="K978" s="65"/>
      <c r="L978" s="66"/>
      <c r="M978" s="65"/>
      <c r="N978" s="66"/>
      <c r="O978" s="65"/>
      <c r="P978" s="18"/>
      <c r="Q978" s="18"/>
      <c r="R978" s="18"/>
      <c r="S978" s="18"/>
      <c r="T978" s="18"/>
      <c r="U978" s="18"/>
      <c r="V978" s="18"/>
      <c r="W978" s="18"/>
      <c r="X978" s="18"/>
      <c r="Y978" s="18"/>
    </row>
    <row r="979">
      <c r="A979" s="67"/>
      <c r="B979" s="66"/>
      <c r="C979" s="18"/>
      <c r="D979" s="18"/>
      <c r="E979" s="18"/>
      <c r="F979" s="65"/>
      <c r="G979" s="66"/>
      <c r="H979" s="18"/>
      <c r="I979" s="18"/>
      <c r="J979" s="18"/>
      <c r="K979" s="65"/>
      <c r="L979" s="66"/>
      <c r="M979" s="65"/>
      <c r="N979" s="66"/>
      <c r="O979" s="65"/>
      <c r="P979" s="18"/>
      <c r="Q979" s="18"/>
      <c r="R979" s="18"/>
      <c r="S979" s="18"/>
      <c r="T979" s="18"/>
      <c r="U979" s="18"/>
      <c r="V979" s="18"/>
      <c r="W979" s="18"/>
      <c r="X979" s="18"/>
      <c r="Y979" s="18"/>
    </row>
    <row r="980">
      <c r="A980" s="67"/>
      <c r="B980" s="66"/>
      <c r="C980" s="18"/>
      <c r="D980" s="18"/>
      <c r="E980" s="18"/>
      <c r="F980" s="65"/>
      <c r="G980" s="66"/>
      <c r="H980" s="18"/>
      <c r="I980" s="18"/>
      <c r="J980" s="18"/>
      <c r="K980" s="65"/>
      <c r="L980" s="66"/>
      <c r="M980" s="65"/>
      <c r="N980" s="66"/>
      <c r="O980" s="65"/>
      <c r="P980" s="18"/>
      <c r="Q980" s="18"/>
      <c r="R980" s="18"/>
      <c r="S980" s="18"/>
      <c r="T980" s="18"/>
      <c r="U980" s="18"/>
      <c r="V980" s="18"/>
      <c r="W980" s="18"/>
      <c r="X980" s="18"/>
      <c r="Y980" s="18"/>
    </row>
    <row r="981">
      <c r="A981" s="67"/>
      <c r="B981" s="66"/>
      <c r="C981" s="18"/>
      <c r="D981" s="18"/>
      <c r="E981" s="18"/>
      <c r="F981" s="65"/>
      <c r="G981" s="66"/>
      <c r="H981" s="18"/>
      <c r="I981" s="18"/>
      <c r="J981" s="18"/>
      <c r="K981" s="65"/>
      <c r="L981" s="66"/>
      <c r="M981" s="65"/>
      <c r="N981" s="66"/>
      <c r="O981" s="65"/>
      <c r="P981" s="18"/>
      <c r="Q981" s="18"/>
      <c r="R981" s="18"/>
      <c r="S981" s="18"/>
      <c r="T981" s="18"/>
      <c r="U981" s="18"/>
      <c r="V981" s="18"/>
      <c r="W981" s="18"/>
      <c r="X981" s="18"/>
      <c r="Y981" s="18"/>
    </row>
    <row r="982">
      <c r="A982" s="67"/>
      <c r="B982" s="66"/>
      <c r="C982" s="18"/>
      <c r="D982" s="18"/>
      <c r="E982" s="18"/>
      <c r="F982" s="65"/>
      <c r="G982" s="66"/>
      <c r="H982" s="18"/>
      <c r="I982" s="18"/>
      <c r="J982" s="18"/>
      <c r="K982" s="65"/>
      <c r="L982" s="66"/>
      <c r="M982" s="65"/>
      <c r="N982" s="66"/>
      <c r="O982" s="65"/>
      <c r="P982" s="18"/>
      <c r="Q982" s="18"/>
      <c r="R982" s="18"/>
      <c r="S982" s="18"/>
      <c r="T982" s="18"/>
      <c r="U982" s="18"/>
      <c r="V982" s="18"/>
      <c r="W982" s="18"/>
      <c r="X982" s="18"/>
      <c r="Y982" s="18"/>
    </row>
    <row r="983">
      <c r="A983" s="67"/>
      <c r="B983" s="66"/>
      <c r="C983" s="18"/>
      <c r="D983" s="18"/>
      <c r="E983" s="18"/>
      <c r="F983" s="65"/>
      <c r="G983" s="66"/>
      <c r="H983" s="18"/>
      <c r="I983" s="18"/>
      <c r="J983" s="18"/>
      <c r="K983" s="65"/>
      <c r="L983" s="66"/>
      <c r="M983" s="65"/>
      <c r="N983" s="66"/>
      <c r="O983" s="65"/>
      <c r="P983" s="18"/>
      <c r="Q983" s="18"/>
      <c r="R983" s="18"/>
      <c r="S983" s="18"/>
      <c r="T983" s="18"/>
      <c r="U983" s="18"/>
      <c r="V983" s="18"/>
      <c r="W983" s="18"/>
      <c r="X983" s="18"/>
      <c r="Y983" s="18"/>
    </row>
    <row r="984">
      <c r="A984" s="67"/>
      <c r="B984" s="66"/>
      <c r="C984" s="18"/>
      <c r="D984" s="18"/>
      <c r="E984" s="18"/>
      <c r="F984" s="65"/>
      <c r="G984" s="66"/>
      <c r="H984" s="18"/>
      <c r="I984" s="18"/>
      <c r="J984" s="18"/>
      <c r="K984" s="65"/>
      <c r="L984" s="66"/>
      <c r="M984" s="65"/>
      <c r="N984" s="66"/>
      <c r="O984" s="65"/>
      <c r="P984" s="18"/>
      <c r="Q984" s="18"/>
      <c r="R984" s="18"/>
      <c r="S984" s="18"/>
      <c r="T984" s="18"/>
      <c r="U984" s="18"/>
      <c r="V984" s="18"/>
      <c r="W984" s="18"/>
      <c r="X984" s="18"/>
      <c r="Y984" s="18"/>
    </row>
    <row r="985">
      <c r="A985" s="67"/>
      <c r="B985" s="66"/>
      <c r="C985" s="18"/>
      <c r="D985" s="18"/>
      <c r="E985" s="18"/>
      <c r="F985" s="65"/>
      <c r="G985" s="66"/>
      <c r="H985" s="18"/>
      <c r="I985" s="18"/>
      <c r="J985" s="18"/>
      <c r="K985" s="65"/>
      <c r="L985" s="66"/>
      <c r="M985" s="65"/>
      <c r="N985" s="66"/>
      <c r="O985" s="65"/>
      <c r="P985" s="18"/>
      <c r="Q985" s="18"/>
      <c r="R985" s="18"/>
      <c r="S985" s="18"/>
      <c r="T985" s="18"/>
      <c r="U985" s="18"/>
      <c r="V985" s="18"/>
      <c r="W985" s="18"/>
      <c r="X985" s="18"/>
      <c r="Y985" s="18"/>
    </row>
    <row r="986">
      <c r="A986" s="67"/>
      <c r="B986" s="66"/>
      <c r="C986" s="18"/>
      <c r="D986" s="18"/>
      <c r="E986" s="18"/>
      <c r="F986" s="65"/>
      <c r="G986" s="66"/>
      <c r="H986" s="18"/>
      <c r="I986" s="18"/>
      <c r="J986" s="18"/>
      <c r="K986" s="65"/>
      <c r="L986" s="66"/>
      <c r="M986" s="65"/>
      <c r="N986" s="66"/>
      <c r="O986" s="65"/>
      <c r="P986" s="18"/>
      <c r="Q986" s="18"/>
      <c r="R986" s="18"/>
      <c r="S986" s="18"/>
      <c r="T986" s="18"/>
      <c r="U986" s="18"/>
      <c r="V986" s="18"/>
      <c r="W986" s="18"/>
      <c r="X986" s="18"/>
      <c r="Y986" s="18"/>
    </row>
    <row r="987">
      <c r="A987" s="67"/>
      <c r="B987" s="66"/>
      <c r="C987" s="18"/>
      <c r="D987" s="18"/>
      <c r="E987" s="18"/>
      <c r="F987" s="65"/>
      <c r="G987" s="66"/>
      <c r="H987" s="18"/>
      <c r="I987" s="18"/>
      <c r="J987" s="18"/>
      <c r="K987" s="65"/>
      <c r="L987" s="66"/>
      <c r="M987" s="65"/>
      <c r="N987" s="66"/>
      <c r="O987" s="65"/>
      <c r="P987" s="18"/>
      <c r="Q987" s="18"/>
      <c r="R987" s="18"/>
      <c r="S987" s="18"/>
      <c r="T987" s="18"/>
      <c r="U987" s="18"/>
      <c r="V987" s="18"/>
      <c r="W987" s="18"/>
      <c r="X987" s="18"/>
      <c r="Y987" s="18"/>
    </row>
    <row r="988">
      <c r="A988" s="67"/>
      <c r="B988" s="66"/>
      <c r="C988" s="18"/>
      <c r="D988" s="18"/>
      <c r="E988" s="18"/>
      <c r="F988" s="65"/>
      <c r="G988" s="66"/>
      <c r="H988" s="18"/>
      <c r="I988" s="18"/>
      <c r="J988" s="18"/>
      <c r="K988" s="65"/>
      <c r="L988" s="66"/>
      <c r="M988" s="65"/>
      <c r="N988" s="66"/>
      <c r="O988" s="65"/>
      <c r="P988" s="18"/>
      <c r="Q988" s="18"/>
      <c r="R988" s="18"/>
      <c r="S988" s="18"/>
      <c r="T988" s="18"/>
      <c r="U988" s="18"/>
      <c r="V988" s="18"/>
      <c r="W988" s="18"/>
      <c r="X988" s="18"/>
      <c r="Y988" s="18"/>
    </row>
    <row r="989">
      <c r="A989" s="67"/>
      <c r="B989" s="66"/>
      <c r="C989" s="18"/>
      <c r="D989" s="18"/>
      <c r="E989" s="18"/>
      <c r="F989" s="65"/>
      <c r="G989" s="66"/>
      <c r="H989" s="18"/>
      <c r="I989" s="18"/>
      <c r="J989" s="18"/>
      <c r="K989" s="65"/>
      <c r="L989" s="66"/>
      <c r="M989" s="65"/>
      <c r="N989" s="66"/>
      <c r="O989" s="65"/>
      <c r="P989" s="18"/>
      <c r="Q989" s="18"/>
      <c r="R989" s="18"/>
      <c r="S989" s="18"/>
      <c r="T989" s="18"/>
      <c r="U989" s="18"/>
      <c r="V989" s="18"/>
      <c r="W989" s="18"/>
      <c r="X989" s="18"/>
      <c r="Y989" s="18"/>
    </row>
    <row r="990">
      <c r="A990" s="67"/>
      <c r="B990" s="66"/>
      <c r="C990" s="18"/>
      <c r="D990" s="18"/>
      <c r="E990" s="18"/>
      <c r="F990" s="65"/>
      <c r="G990" s="66"/>
      <c r="H990" s="18"/>
      <c r="I990" s="18"/>
      <c r="J990" s="18"/>
      <c r="K990" s="65"/>
      <c r="L990" s="66"/>
      <c r="M990" s="65"/>
      <c r="N990" s="66"/>
      <c r="O990" s="65"/>
      <c r="P990" s="18"/>
      <c r="Q990" s="18"/>
      <c r="R990" s="18"/>
      <c r="S990" s="18"/>
      <c r="T990" s="18"/>
      <c r="U990" s="18"/>
      <c r="V990" s="18"/>
      <c r="W990" s="18"/>
      <c r="X990" s="18"/>
      <c r="Y990" s="18"/>
    </row>
    <row r="991">
      <c r="A991" s="67"/>
      <c r="B991" s="66"/>
      <c r="C991" s="18"/>
      <c r="D991" s="18"/>
      <c r="E991" s="18"/>
      <c r="F991" s="65"/>
      <c r="G991" s="66"/>
      <c r="H991" s="18"/>
      <c r="I991" s="18"/>
      <c r="J991" s="18"/>
      <c r="K991" s="65"/>
      <c r="L991" s="66"/>
      <c r="M991" s="65"/>
      <c r="N991" s="66"/>
      <c r="O991" s="65"/>
      <c r="P991" s="18"/>
      <c r="Q991" s="18"/>
      <c r="R991" s="18"/>
      <c r="S991" s="18"/>
      <c r="T991" s="18"/>
      <c r="U991" s="18"/>
      <c r="V991" s="18"/>
      <c r="W991" s="18"/>
      <c r="X991" s="18"/>
      <c r="Y991" s="18"/>
    </row>
    <row r="992">
      <c r="A992" s="67"/>
      <c r="B992" s="66"/>
      <c r="C992" s="18"/>
      <c r="D992" s="18"/>
      <c r="E992" s="18"/>
      <c r="F992" s="65"/>
      <c r="G992" s="66"/>
      <c r="H992" s="18"/>
      <c r="I992" s="18"/>
      <c r="J992" s="18"/>
      <c r="K992" s="65"/>
      <c r="L992" s="66"/>
      <c r="M992" s="65"/>
      <c r="N992" s="66"/>
      <c r="O992" s="65"/>
      <c r="P992" s="18"/>
      <c r="Q992" s="18"/>
      <c r="R992" s="18"/>
      <c r="S992" s="18"/>
      <c r="T992" s="18"/>
      <c r="U992" s="18"/>
      <c r="V992" s="18"/>
      <c r="W992" s="18"/>
      <c r="X992" s="18"/>
      <c r="Y992" s="18"/>
    </row>
    <row r="993">
      <c r="A993" s="67"/>
      <c r="B993" s="66"/>
      <c r="C993" s="18"/>
      <c r="D993" s="18"/>
      <c r="E993" s="18"/>
      <c r="F993" s="65"/>
      <c r="G993" s="66"/>
      <c r="H993" s="18"/>
      <c r="I993" s="18"/>
      <c r="J993" s="18"/>
      <c r="K993" s="65"/>
      <c r="L993" s="66"/>
      <c r="M993" s="65"/>
      <c r="N993" s="66"/>
      <c r="O993" s="65"/>
      <c r="P993" s="18"/>
      <c r="Q993" s="18"/>
      <c r="R993" s="18"/>
      <c r="S993" s="18"/>
      <c r="T993" s="18"/>
      <c r="U993" s="18"/>
      <c r="V993" s="18"/>
      <c r="W993" s="18"/>
      <c r="X993" s="18"/>
      <c r="Y993" s="18"/>
    </row>
    <row r="994">
      <c r="A994" s="67"/>
      <c r="B994" s="66"/>
      <c r="C994" s="18"/>
      <c r="D994" s="18"/>
      <c r="E994" s="18"/>
      <c r="F994" s="65"/>
      <c r="G994" s="66"/>
      <c r="H994" s="18"/>
      <c r="I994" s="18"/>
      <c r="J994" s="18"/>
      <c r="K994" s="65"/>
      <c r="L994" s="66"/>
      <c r="M994" s="65"/>
      <c r="N994" s="66"/>
      <c r="O994" s="65"/>
      <c r="P994" s="18"/>
      <c r="Q994" s="18"/>
      <c r="R994" s="18"/>
      <c r="S994" s="18"/>
      <c r="T994" s="18"/>
      <c r="U994" s="18"/>
      <c r="V994" s="18"/>
      <c r="W994" s="18"/>
      <c r="X994" s="18"/>
      <c r="Y994" s="18"/>
    </row>
    <row r="995">
      <c r="A995" s="67"/>
      <c r="B995" s="66"/>
      <c r="C995" s="18"/>
      <c r="D995" s="18"/>
      <c r="E995" s="18"/>
      <c r="F995" s="65"/>
      <c r="G995" s="66"/>
      <c r="H995" s="18"/>
      <c r="I995" s="18"/>
      <c r="J995" s="18"/>
      <c r="K995" s="65"/>
      <c r="L995" s="66"/>
      <c r="M995" s="65"/>
      <c r="N995" s="66"/>
      <c r="O995" s="65"/>
      <c r="P995" s="18"/>
      <c r="Q995" s="18"/>
      <c r="R995" s="18"/>
      <c r="S995" s="18"/>
      <c r="T995" s="18"/>
      <c r="U995" s="18"/>
      <c r="V995" s="18"/>
      <c r="W995" s="18"/>
      <c r="X995" s="18"/>
      <c r="Y995" s="18"/>
    </row>
    <row r="996">
      <c r="A996" s="67"/>
      <c r="B996" s="66"/>
      <c r="C996" s="18"/>
      <c r="D996" s="18"/>
      <c r="E996" s="18"/>
      <c r="F996" s="65"/>
      <c r="G996" s="66"/>
      <c r="H996" s="18"/>
      <c r="I996" s="18"/>
      <c r="J996" s="18"/>
      <c r="K996" s="65"/>
      <c r="L996" s="66"/>
      <c r="M996" s="65"/>
      <c r="N996" s="66"/>
      <c r="O996" s="65"/>
      <c r="P996" s="18"/>
      <c r="Q996" s="18"/>
      <c r="R996" s="18"/>
      <c r="S996" s="18"/>
      <c r="T996" s="18"/>
      <c r="U996" s="18"/>
      <c r="V996" s="18"/>
      <c r="W996" s="18"/>
      <c r="X996" s="18"/>
      <c r="Y996" s="18"/>
    </row>
    <row r="997">
      <c r="A997" s="67"/>
      <c r="B997" s="66"/>
      <c r="C997" s="18"/>
      <c r="D997" s="18"/>
      <c r="E997" s="18"/>
      <c r="F997" s="65"/>
      <c r="G997" s="66"/>
      <c r="H997" s="18"/>
      <c r="I997" s="18"/>
      <c r="J997" s="18"/>
      <c r="K997" s="65"/>
      <c r="L997" s="66"/>
      <c r="M997" s="65"/>
      <c r="N997" s="66"/>
      <c r="O997" s="65"/>
      <c r="P997" s="18"/>
      <c r="Q997" s="18"/>
      <c r="R997" s="18"/>
      <c r="S997" s="18"/>
      <c r="T997" s="18"/>
      <c r="U997" s="18"/>
      <c r="V997" s="18"/>
      <c r="W997" s="18"/>
      <c r="X997" s="18"/>
      <c r="Y997" s="18"/>
    </row>
    <row r="998">
      <c r="A998" s="67"/>
      <c r="B998" s="66"/>
      <c r="C998" s="18"/>
      <c r="D998" s="18"/>
      <c r="E998" s="18"/>
      <c r="F998" s="65"/>
      <c r="G998" s="66"/>
      <c r="H998" s="18"/>
      <c r="I998" s="18"/>
      <c r="J998" s="18"/>
      <c r="K998" s="65"/>
      <c r="L998" s="66"/>
      <c r="M998" s="65"/>
      <c r="N998" s="66"/>
      <c r="O998" s="65"/>
      <c r="P998" s="18"/>
      <c r="Q998" s="18"/>
      <c r="R998" s="18"/>
      <c r="S998" s="18"/>
      <c r="T998" s="18"/>
      <c r="U998" s="18"/>
      <c r="V998" s="18"/>
      <c r="W998" s="18"/>
      <c r="X998" s="18"/>
      <c r="Y998" s="18"/>
    </row>
    <row r="999">
      <c r="A999" s="67"/>
      <c r="B999" s="66"/>
      <c r="C999" s="18"/>
      <c r="D999" s="18"/>
      <c r="E999" s="18"/>
      <c r="F999" s="65"/>
      <c r="G999" s="66"/>
      <c r="H999" s="18"/>
      <c r="I999" s="18"/>
      <c r="J999" s="18"/>
      <c r="K999" s="65"/>
      <c r="L999" s="66"/>
      <c r="M999" s="65"/>
      <c r="N999" s="66"/>
      <c r="O999" s="65"/>
      <c r="P999" s="18"/>
      <c r="Q999" s="18"/>
      <c r="R999" s="18"/>
      <c r="S999" s="18"/>
      <c r="T999" s="18"/>
      <c r="U999" s="18"/>
      <c r="V999" s="18"/>
      <c r="W999" s="18"/>
      <c r="X999" s="18"/>
      <c r="Y999" s="18"/>
    </row>
    <row r="1000">
      <c r="A1000" s="67"/>
      <c r="B1000" s="66"/>
      <c r="C1000" s="18"/>
      <c r="D1000" s="18"/>
      <c r="E1000" s="18"/>
      <c r="F1000" s="65"/>
      <c r="G1000" s="66"/>
      <c r="H1000" s="18"/>
      <c r="I1000" s="18"/>
      <c r="J1000" s="18"/>
      <c r="K1000" s="65"/>
      <c r="L1000" s="66"/>
      <c r="M1000" s="65"/>
      <c r="N1000" s="66"/>
      <c r="O1000" s="65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</row>
    <row r="1001">
      <c r="A1001" s="67"/>
      <c r="B1001" s="66"/>
      <c r="C1001" s="18"/>
      <c r="D1001" s="18"/>
      <c r="E1001" s="18"/>
      <c r="F1001" s="65"/>
      <c r="G1001" s="66"/>
      <c r="H1001" s="18"/>
      <c r="I1001" s="18"/>
      <c r="J1001" s="18"/>
      <c r="K1001" s="65"/>
      <c r="L1001" s="66"/>
      <c r="M1001" s="65"/>
      <c r="N1001" s="66"/>
      <c r="O1001" s="65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</row>
    <row r="1002">
      <c r="A1002" s="67"/>
      <c r="B1002" s="66"/>
      <c r="C1002" s="18"/>
      <c r="D1002" s="18"/>
      <c r="E1002" s="18"/>
      <c r="F1002" s="65"/>
      <c r="G1002" s="66"/>
      <c r="H1002" s="18"/>
      <c r="I1002" s="18"/>
      <c r="J1002" s="18"/>
      <c r="K1002" s="65"/>
      <c r="L1002" s="66"/>
      <c r="M1002" s="65"/>
      <c r="N1002" s="66"/>
      <c r="O1002" s="65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</row>
    <row r="1003">
      <c r="A1003" s="67"/>
      <c r="B1003" s="66"/>
      <c r="C1003" s="18"/>
      <c r="D1003" s="18"/>
      <c r="E1003" s="18"/>
      <c r="F1003" s="65"/>
      <c r="G1003" s="66"/>
      <c r="H1003" s="18"/>
      <c r="I1003" s="18"/>
      <c r="J1003" s="18"/>
      <c r="K1003" s="65"/>
      <c r="L1003" s="66"/>
      <c r="M1003" s="65"/>
      <c r="N1003" s="66"/>
      <c r="O1003" s="65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</row>
    <row r="1004">
      <c r="A1004" s="67"/>
      <c r="B1004" s="66"/>
      <c r="C1004" s="18"/>
      <c r="D1004" s="18"/>
      <c r="E1004" s="18"/>
      <c r="F1004" s="65"/>
      <c r="G1004" s="66"/>
      <c r="H1004" s="18"/>
      <c r="I1004" s="18"/>
      <c r="J1004" s="18"/>
      <c r="K1004" s="65"/>
      <c r="L1004" s="66"/>
      <c r="M1004" s="65"/>
      <c r="N1004" s="66"/>
      <c r="O1004" s="65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</row>
    <row r="1005">
      <c r="A1005" s="67"/>
      <c r="B1005" s="66"/>
      <c r="C1005" s="18"/>
      <c r="D1005" s="18"/>
      <c r="E1005" s="18"/>
      <c r="F1005" s="65"/>
      <c r="G1005" s="66"/>
      <c r="H1005" s="18"/>
      <c r="I1005" s="18"/>
      <c r="J1005" s="18"/>
      <c r="K1005" s="65"/>
      <c r="L1005" s="66"/>
      <c r="M1005" s="65"/>
      <c r="N1005" s="66"/>
      <c r="O1005" s="65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</row>
    <row r="1006">
      <c r="A1006" s="67"/>
      <c r="B1006" s="66"/>
      <c r="C1006" s="18"/>
      <c r="D1006" s="18"/>
      <c r="E1006" s="18"/>
      <c r="F1006" s="65"/>
      <c r="G1006" s="66"/>
      <c r="H1006" s="18"/>
      <c r="I1006" s="18"/>
      <c r="J1006" s="18"/>
      <c r="K1006" s="65"/>
      <c r="L1006" s="66"/>
      <c r="M1006" s="65"/>
      <c r="N1006" s="66"/>
      <c r="O1006" s="65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</row>
    <row r="1007">
      <c r="A1007" s="67"/>
      <c r="B1007" s="66"/>
      <c r="C1007" s="18"/>
      <c r="D1007" s="18"/>
      <c r="E1007" s="18"/>
      <c r="F1007" s="65"/>
      <c r="G1007" s="66"/>
      <c r="H1007" s="18"/>
      <c r="I1007" s="18"/>
      <c r="J1007" s="18"/>
      <c r="K1007" s="65"/>
      <c r="L1007" s="66"/>
      <c r="M1007" s="65"/>
      <c r="N1007" s="66"/>
      <c r="O1007" s="65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</row>
    <row r="1008">
      <c r="A1008" s="67"/>
      <c r="B1008" s="66"/>
      <c r="C1008" s="18"/>
      <c r="D1008" s="18"/>
      <c r="E1008" s="18"/>
      <c r="F1008" s="65"/>
      <c r="G1008" s="66"/>
      <c r="H1008" s="18"/>
      <c r="I1008" s="18"/>
      <c r="J1008" s="18"/>
      <c r="K1008" s="65"/>
      <c r="L1008" s="66"/>
      <c r="M1008" s="65"/>
      <c r="N1008" s="66"/>
      <c r="O1008" s="65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</row>
    <row r="1009">
      <c r="A1009" s="67"/>
      <c r="B1009" s="66"/>
      <c r="C1009" s="18"/>
      <c r="D1009" s="18"/>
      <c r="E1009" s="18"/>
      <c r="F1009" s="65"/>
      <c r="G1009" s="66"/>
      <c r="H1009" s="18"/>
      <c r="I1009" s="18"/>
      <c r="J1009" s="18"/>
      <c r="K1009" s="65"/>
      <c r="L1009" s="66"/>
      <c r="M1009" s="65"/>
      <c r="N1009" s="66"/>
      <c r="O1009" s="65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</row>
    <row r="1010">
      <c r="A1010" s="67"/>
      <c r="B1010" s="66"/>
      <c r="C1010" s="18"/>
      <c r="D1010" s="18"/>
      <c r="E1010" s="18"/>
      <c r="F1010" s="65"/>
      <c r="G1010" s="66"/>
      <c r="H1010" s="18"/>
      <c r="I1010" s="18"/>
      <c r="J1010" s="18"/>
      <c r="K1010" s="65"/>
      <c r="L1010" s="66"/>
      <c r="M1010" s="65"/>
      <c r="N1010" s="66"/>
      <c r="O1010" s="65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</row>
    <row r="1011">
      <c r="A1011" s="67"/>
      <c r="B1011" s="66"/>
      <c r="C1011" s="18"/>
      <c r="D1011" s="18"/>
      <c r="E1011" s="18"/>
      <c r="F1011" s="65"/>
      <c r="G1011" s="66"/>
      <c r="H1011" s="18"/>
      <c r="I1011" s="18"/>
      <c r="J1011" s="18"/>
      <c r="K1011" s="65"/>
      <c r="L1011" s="66"/>
      <c r="M1011" s="65"/>
      <c r="N1011" s="66"/>
      <c r="O1011" s="65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</row>
    <row r="1012">
      <c r="A1012" s="67"/>
      <c r="B1012" s="66"/>
      <c r="C1012" s="18"/>
      <c r="D1012" s="18"/>
      <c r="E1012" s="18"/>
      <c r="F1012" s="65"/>
      <c r="G1012" s="66"/>
      <c r="H1012" s="18"/>
      <c r="I1012" s="18"/>
      <c r="J1012" s="18"/>
      <c r="K1012" s="65"/>
      <c r="L1012" s="66"/>
      <c r="M1012" s="65"/>
      <c r="N1012" s="66"/>
      <c r="O1012" s="65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</row>
    <row r="1013">
      <c r="A1013" s="67"/>
      <c r="B1013" s="66"/>
      <c r="C1013" s="18"/>
      <c r="D1013" s="18"/>
      <c r="E1013" s="18"/>
      <c r="F1013" s="65"/>
      <c r="G1013" s="66"/>
      <c r="H1013" s="18"/>
      <c r="I1013" s="18"/>
      <c r="J1013" s="18"/>
      <c r="K1013" s="65"/>
      <c r="L1013" s="66"/>
      <c r="M1013" s="65"/>
      <c r="N1013" s="66"/>
      <c r="O1013" s="65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</row>
    <row r="1014">
      <c r="A1014" s="67"/>
      <c r="B1014" s="66"/>
      <c r="C1014" s="18"/>
      <c r="D1014" s="18"/>
      <c r="E1014" s="18"/>
      <c r="F1014" s="65"/>
      <c r="G1014" s="66"/>
      <c r="H1014" s="18"/>
      <c r="I1014" s="18"/>
      <c r="J1014" s="18"/>
      <c r="K1014" s="65"/>
      <c r="L1014" s="66"/>
      <c r="M1014" s="65"/>
      <c r="N1014" s="66"/>
      <c r="O1014" s="65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</row>
    <row r="1015">
      <c r="A1015" s="67"/>
      <c r="B1015" s="66"/>
      <c r="C1015" s="18"/>
      <c r="D1015" s="18"/>
      <c r="E1015" s="18"/>
      <c r="F1015" s="65"/>
      <c r="G1015" s="66"/>
      <c r="H1015" s="18"/>
      <c r="I1015" s="18"/>
      <c r="J1015" s="18"/>
      <c r="K1015" s="65"/>
      <c r="L1015" s="66"/>
      <c r="M1015" s="65"/>
      <c r="N1015" s="66"/>
      <c r="O1015" s="65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</row>
    <row r="1016">
      <c r="A1016" s="67"/>
      <c r="B1016" s="66"/>
      <c r="C1016" s="18"/>
      <c r="D1016" s="18"/>
      <c r="E1016" s="18"/>
      <c r="F1016" s="65"/>
      <c r="G1016" s="66"/>
      <c r="H1016" s="18"/>
      <c r="I1016" s="18"/>
      <c r="J1016" s="18"/>
      <c r="K1016" s="65"/>
      <c r="L1016" s="66"/>
      <c r="M1016" s="65"/>
      <c r="N1016" s="66"/>
      <c r="O1016" s="65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</row>
    <row r="1017">
      <c r="A1017" s="67"/>
      <c r="B1017" s="66"/>
      <c r="C1017" s="18"/>
      <c r="D1017" s="18"/>
      <c r="E1017" s="18"/>
      <c r="F1017" s="65"/>
      <c r="G1017" s="66"/>
      <c r="H1017" s="18"/>
      <c r="I1017" s="18"/>
      <c r="J1017" s="18"/>
      <c r="K1017" s="65"/>
      <c r="L1017" s="66"/>
      <c r="M1017" s="65"/>
      <c r="N1017" s="66"/>
      <c r="O1017" s="65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</row>
    <row r="1018">
      <c r="A1018" s="67"/>
      <c r="B1018" s="66"/>
      <c r="C1018" s="18"/>
      <c r="D1018" s="18"/>
      <c r="E1018" s="18"/>
      <c r="F1018" s="65"/>
      <c r="G1018" s="66"/>
      <c r="H1018" s="18"/>
      <c r="I1018" s="18"/>
      <c r="J1018" s="18"/>
      <c r="K1018" s="65"/>
      <c r="L1018" s="66"/>
      <c r="M1018" s="65"/>
      <c r="N1018" s="66"/>
      <c r="O1018" s="65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</row>
    <row r="1019">
      <c r="A1019" s="67"/>
      <c r="B1019" s="66"/>
      <c r="C1019" s="18"/>
      <c r="D1019" s="18"/>
      <c r="E1019" s="18"/>
      <c r="F1019" s="65"/>
      <c r="G1019" s="66"/>
      <c r="H1019" s="18"/>
      <c r="I1019" s="18"/>
      <c r="J1019" s="18"/>
      <c r="K1019" s="65"/>
      <c r="L1019" s="66"/>
      <c r="M1019" s="65"/>
      <c r="N1019" s="66"/>
      <c r="O1019" s="65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</row>
    <row r="1020">
      <c r="A1020" s="67"/>
      <c r="B1020" s="66"/>
      <c r="C1020" s="18"/>
      <c r="D1020" s="18"/>
      <c r="E1020" s="18"/>
      <c r="F1020" s="65"/>
      <c r="G1020" s="66"/>
      <c r="H1020" s="18"/>
      <c r="I1020" s="18"/>
      <c r="J1020" s="18"/>
      <c r="K1020" s="65"/>
      <c r="L1020" s="66"/>
      <c r="M1020" s="65"/>
      <c r="N1020" s="66"/>
      <c r="O1020" s="65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</row>
    <row r="1021">
      <c r="A1021" s="67"/>
      <c r="B1021" s="66"/>
      <c r="C1021" s="18"/>
      <c r="D1021" s="18"/>
      <c r="E1021" s="18"/>
      <c r="F1021" s="65"/>
      <c r="G1021" s="66"/>
      <c r="H1021" s="18"/>
      <c r="I1021" s="18"/>
      <c r="J1021" s="18"/>
      <c r="K1021" s="65"/>
      <c r="L1021" s="66"/>
      <c r="M1021" s="65"/>
      <c r="N1021" s="66"/>
      <c r="O1021" s="65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</row>
    <row r="1022">
      <c r="A1022" s="67"/>
      <c r="B1022" s="66"/>
      <c r="C1022" s="18"/>
      <c r="D1022" s="18"/>
      <c r="E1022" s="18"/>
      <c r="F1022" s="65"/>
      <c r="G1022" s="66"/>
      <c r="H1022" s="18"/>
      <c r="I1022" s="18"/>
      <c r="J1022" s="18"/>
      <c r="K1022" s="65"/>
      <c r="L1022" s="66"/>
      <c r="M1022" s="65"/>
      <c r="N1022" s="66"/>
      <c r="O1022" s="65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</row>
    <row r="1023">
      <c r="A1023" s="67"/>
      <c r="B1023" s="66"/>
      <c r="C1023" s="18"/>
      <c r="D1023" s="18"/>
      <c r="E1023" s="18"/>
      <c r="F1023" s="65"/>
      <c r="G1023" s="66"/>
      <c r="H1023" s="18"/>
      <c r="I1023" s="18"/>
      <c r="J1023" s="18"/>
      <c r="K1023" s="65"/>
      <c r="L1023" s="66"/>
      <c r="M1023" s="65"/>
      <c r="N1023" s="66"/>
      <c r="O1023" s="65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</row>
    <row r="1024">
      <c r="A1024" s="67"/>
      <c r="B1024" s="66"/>
      <c r="C1024" s="18"/>
      <c r="D1024" s="18"/>
      <c r="E1024" s="18"/>
      <c r="F1024" s="65"/>
      <c r="G1024" s="66"/>
      <c r="H1024" s="18"/>
      <c r="I1024" s="18"/>
      <c r="J1024" s="18"/>
      <c r="K1024" s="65"/>
      <c r="L1024" s="66"/>
      <c r="M1024" s="65"/>
      <c r="N1024" s="66"/>
      <c r="O1024" s="65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</row>
    <row r="1025">
      <c r="A1025" s="67"/>
      <c r="B1025" s="66"/>
      <c r="C1025" s="18"/>
      <c r="D1025" s="18"/>
      <c r="E1025" s="18"/>
      <c r="F1025" s="65"/>
      <c r="G1025" s="66"/>
      <c r="H1025" s="18"/>
      <c r="I1025" s="18"/>
      <c r="J1025" s="18"/>
      <c r="K1025" s="65"/>
      <c r="L1025" s="66"/>
      <c r="M1025" s="65"/>
      <c r="N1025" s="66"/>
      <c r="O1025" s="65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</row>
    <row r="1026">
      <c r="A1026" s="67"/>
      <c r="B1026" s="66"/>
      <c r="C1026" s="18"/>
      <c r="D1026" s="18"/>
      <c r="E1026" s="18"/>
      <c r="F1026" s="65"/>
      <c r="G1026" s="66"/>
      <c r="H1026" s="18"/>
      <c r="I1026" s="18"/>
      <c r="J1026" s="18"/>
      <c r="K1026" s="65"/>
      <c r="L1026" s="66"/>
      <c r="M1026" s="65"/>
      <c r="N1026" s="66"/>
      <c r="O1026" s="65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</row>
    <row r="1027">
      <c r="A1027" s="67"/>
      <c r="B1027" s="66"/>
      <c r="C1027" s="18"/>
      <c r="D1027" s="18"/>
      <c r="E1027" s="18"/>
      <c r="F1027" s="65"/>
      <c r="G1027" s="66"/>
      <c r="H1027" s="18"/>
      <c r="I1027" s="18"/>
      <c r="J1027" s="18"/>
      <c r="K1027" s="65"/>
      <c r="L1027" s="66"/>
      <c r="M1027" s="65"/>
      <c r="N1027" s="66"/>
      <c r="O1027" s="65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</row>
    <row r="1028">
      <c r="A1028" s="67"/>
      <c r="B1028" s="66"/>
      <c r="C1028" s="18"/>
      <c r="D1028" s="18"/>
      <c r="E1028" s="18"/>
      <c r="F1028" s="65"/>
      <c r="G1028" s="66"/>
      <c r="H1028" s="18"/>
      <c r="I1028" s="18"/>
      <c r="J1028" s="18"/>
      <c r="K1028" s="65"/>
      <c r="L1028" s="66"/>
      <c r="M1028" s="65"/>
      <c r="N1028" s="66"/>
      <c r="O1028" s="65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</row>
    <row r="1029">
      <c r="A1029" s="67"/>
      <c r="B1029" s="66"/>
      <c r="C1029" s="18"/>
      <c r="D1029" s="18"/>
      <c r="E1029" s="18"/>
      <c r="F1029" s="65"/>
      <c r="G1029" s="66"/>
      <c r="H1029" s="18"/>
      <c r="I1029" s="18"/>
      <c r="J1029" s="18"/>
      <c r="K1029" s="65"/>
      <c r="L1029" s="66"/>
      <c r="M1029" s="65"/>
      <c r="N1029" s="66"/>
      <c r="O1029" s="65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</row>
    <row r="1030">
      <c r="A1030" s="67"/>
      <c r="B1030" s="66"/>
      <c r="C1030" s="18"/>
      <c r="D1030" s="18"/>
      <c r="E1030" s="18"/>
      <c r="F1030" s="65"/>
      <c r="G1030" s="66"/>
      <c r="H1030" s="18"/>
      <c r="I1030" s="18"/>
      <c r="J1030" s="18"/>
      <c r="K1030" s="65"/>
      <c r="L1030" s="66"/>
      <c r="M1030" s="65"/>
      <c r="N1030" s="66"/>
      <c r="O1030" s="65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</row>
    <row r="1031">
      <c r="A1031" s="67"/>
      <c r="B1031" s="66"/>
      <c r="C1031" s="18"/>
      <c r="D1031" s="18"/>
      <c r="E1031" s="18"/>
      <c r="F1031" s="65"/>
      <c r="G1031" s="66"/>
      <c r="H1031" s="18"/>
      <c r="I1031" s="18"/>
      <c r="J1031" s="18"/>
      <c r="K1031" s="65"/>
      <c r="L1031" s="66"/>
      <c r="M1031" s="65"/>
      <c r="N1031" s="66"/>
      <c r="O1031" s="65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</row>
    <row r="1032">
      <c r="A1032" s="67"/>
      <c r="B1032" s="66"/>
      <c r="C1032" s="18"/>
      <c r="D1032" s="18"/>
      <c r="E1032" s="18"/>
      <c r="F1032" s="65"/>
      <c r="G1032" s="66"/>
      <c r="H1032" s="18"/>
      <c r="I1032" s="18"/>
      <c r="J1032" s="18"/>
      <c r="K1032" s="65"/>
      <c r="L1032" s="66"/>
      <c r="M1032" s="65"/>
      <c r="N1032" s="66"/>
      <c r="O1032" s="65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</row>
    <row r="1033">
      <c r="A1033" s="67"/>
      <c r="B1033" s="66"/>
      <c r="C1033" s="18"/>
      <c r="D1033" s="18"/>
      <c r="E1033" s="18"/>
      <c r="F1033" s="65"/>
      <c r="G1033" s="66"/>
      <c r="H1033" s="18"/>
      <c r="I1033" s="18"/>
      <c r="J1033" s="18"/>
      <c r="K1033" s="65"/>
      <c r="L1033" s="66"/>
      <c r="M1033" s="65"/>
      <c r="N1033" s="66"/>
      <c r="O1033" s="65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</row>
    <row r="1034">
      <c r="A1034" s="67"/>
      <c r="B1034" s="66"/>
      <c r="C1034" s="18"/>
      <c r="D1034" s="18"/>
      <c r="E1034" s="18"/>
      <c r="F1034" s="65"/>
      <c r="G1034" s="66"/>
      <c r="H1034" s="18"/>
      <c r="I1034" s="18"/>
      <c r="J1034" s="18"/>
      <c r="K1034" s="65"/>
      <c r="L1034" s="66"/>
      <c r="M1034" s="65"/>
      <c r="N1034" s="66"/>
      <c r="O1034" s="65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</row>
    <row r="1035">
      <c r="A1035" s="67"/>
      <c r="B1035" s="66"/>
      <c r="C1035" s="18"/>
      <c r="D1035" s="18"/>
      <c r="E1035" s="18"/>
      <c r="F1035" s="65"/>
      <c r="G1035" s="66"/>
      <c r="H1035" s="18"/>
      <c r="I1035" s="18"/>
      <c r="J1035" s="18"/>
      <c r="K1035" s="65"/>
      <c r="L1035" s="66"/>
      <c r="M1035" s="65"/>
      <c r="N1035" s="66"/>
      <c r="O1035" s="65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</row>
    <row r="1036">
      <c r="A1036" s="67"/>
      <c r="B1036" s="66"/>
      <c r="C1036" s="18"/>
      <c r="D1036" s="18"/>
      <c r="E1036" s="18"/>
      <c r="F1036" s="65"/>
      <c r="G1036" s="66"/>
      <c r="H1036" s="18"/>
      <c r="I1036" s="18"/>
      <c r="J1036" s="18"/>
      <c r="K1036" s="65"/>
      <c r="L1036" s="66"/>
      <c r="M1036" s="65"/>
      <c r="N1036" s="66"/>
      <c r="O1036" s="65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</row>
    <row r="1037">
      <c r="A1037" s="67"/>
      <c r="B1037" s="66"/>
      <c r="C1037" s="18"/>
      <c r="D1037" s="18"/>
      <c r="E1037" s="18"/>
      <c r="F1037" s="65"/>
      <c r="G1037" s="66"/>
      <c r="H1037" s="18"/>
      <c r="I1037" s="18"/>
      <c r="J1037" s="18"/>
      <c r="K1037" s="65"/>
      <c r="L1037" s="66"/>
      <c r="M1037" s="65"/>
      <c r="N1037" s="66"/>
      <c r="O1037" s="65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</row>
    <row r="1038">
      <c r="A1038" s="67"/>
      <c r="B1038" s="66"/>
      <c r="C1038" s="18"/>
      <c r="D1038" s="18"/>
      <c r="E1038" s="18"/>
      <c r="F1038" s="65"/>
      <c r="G1038" s="66"/>
      <c r="H1038" s="18"/>
      <c r="I1038" s="18"/>
      <c r="J1038" s="18"/>
      <c r="K1038" s="65"/>
      <c r="L1038" s="66"/>
      <c r="M1038" s="65"/>
      <c r="N1038" s="66"/>
      <c r="O1038" s="65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</row>
    <row r="1039">
      <c r="A1039" s="67"/>
      <c r="B1039" s="66"/>
      <c r="C1039" s="18"/>
      <c r="D1039" s="18"/>
      <c r="E1039" s="18"/>
      <c r="F1039" s="65"/>
      <c r="G1039" s="66"/>
      <c r="H1039" s="18"/>
      <c r="I1039" s="18"/>
      <c r="J1039" s="18"/>
      <c r="K1039" s="65"/>
      <c r="L1039" s="66"/>
      <c r="M1039" s="65"/>
      <c r="N1039" s="66"/>
      <c r="O1039" s="65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</row>
    <row r="1040">
      <c r="A1040" s="67"/>
      <c r="B1040" s="66"/>
      <c r="C1040" s="18"/>
      <c r="D1040" s="18"/>
      <c r="E1040" s="18"/>
      <c r="F1040" s="65"/>
      <c r="G1040" s="66"/>
      <c r="H1040" s="18"/>
      <c r="I1040" s="18"/>
      <c r="J1040" s="18"/>
      <c r="K1040" s="65"/>
      <c r="L1040" s="66"/>
      <c r="M1040" s="65"/>
      <c r="N1040" s="66"/>
      <c r="O1040" s="65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</row>
    <row r="1041">
      <c r="A1041" s="67"/>
      <c r="B1041" s="66"/>
      <c r="C1041" s="18"/>
      <c r="D1041" s="18"/>
      <c r="E1041" s="18"/>
      <c r="F1041" s="65"/>
      <c r="G1041" s="66"/>
      <c r="H1041" s="18"/>
      <c r="I1041" s="18"/>
      <c r="J1041" s="18"/>
      <c r="K1041" s="65"/>
      <c r="L1041" s="66"/>
      <c r="M1041" s="65"/>
      <c r="N1041" s="66"/>
      <c r="O1041" s="65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</row>
    <row r="1042">
      <c r="A1042" s="67"/>
      <c r="B1042" s="66"/>
      <c r="C1042" s="18"/>
      <c r="D1042" s="18"/>
      <c r="E1042" s="18"/>
      <c r="F1042" s="65"/>
      <c r="G1042" s="66"/>
      <c r="H1042" s="18"/>
      <c r="I1042" s="18"/>
      <c r="J1042" s="18"/>
      <c r="K1042" s="65"/>
      <c r="L1042" s="66"/>
      <c r="M1042" s="65"/>
      <c r="N1042" s="66"/>
      <c r="O1042" s="65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</row>
    <row r="1043">
      <c r="A1043" s="67"/>
      <c r="B1043" s="66"/>
      <c r="C1043" s="18"/>
      <c r="D1043" s="18"/>
      <c r="E1043" s="18"/>
      <c r="F1043" s="65"/>
      <c r="G1043" s="66"/>
      <c r="H1043" s="18"/>
      <c r="I1043" s="18"/>
      <c r="J1043" s="18"/>
      <c r="K1043" s="65"/>
      <c r="L1043" s="66"/>
      <c r="M1043" s="65"/>
      <c r="N1043" s="66"/>
      <c r="O1043" s="65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</row>
    <row r="1044">
      <c r="A1044" s="67"/>
      <c r="B1044" s="66"/>
      <c r="C1044" s="18"/>
      <c r="D1044" s="18"/>
      <c r="E1044" s="18"/>
      <c r="F1044" s="65"/>
      <c r="G1044" s="66"/>
      <c r="H1044" s="18"/>
      <c r="I1044" s="18"/>
      <c r="J1044" s="18"/>
      <c r="K1044" s="65"/>
      <c r="L1044" s="66"/>
      <c r="M1044" s="65"/>
      <c r="N1044" s="66"/>
      <c r="O1044" s="65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</row>
    <row r="1045">
      <c r="A1045" s="96"/>
      <c r="B1045" s="97"/>
      <c r="C1045" s="98"/>
      <c r="D1045" s="98"/>
      <c r="E1045" s="98"/>
      <c r="F1045" s="99"/>
      <c r="G1045" s="97"/>
      <c r="H1045" s="98"/>
      <c r="I1045" s="98"/>
      <c r="J1045" s="98"/>
      <c r="K1045" s="99"/>
      <c r="L1045" s="97"/>
      <c r="M1045" s="99"/>
      <c r="N1045" s="97"/>
      <c r="O1045" s="99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</row>
  </sheetData>
  <mergeCells count="4">
    <mergeCell ref="B1:F1"/>
    <mergeCell ref="G1:K1"/>
    <mergeCell ref="L1:M1"/>
    <mergeCell ref="N1:O1"/>
  </mergeCells>
  <dataValidations>
    <dataValidation type="list" allowBlank="1" sqref="H3:H4 H11 H20 H23:H24 C3:C32 H33 C34 C37 H40 H44 C39:C51 C54:C56 C60:C63 H64 C65:C66 H67 C68:C74 C77:C88 H89 C90 H92 C92:C98 H100:H106 C100:C107 H110 H126 H131 H136:H137 C110:C144 H147 C147:C149 H155 C152:C159 H159:H160 H170 C161:C181 H181:H182 C183:C186 H189 H198 C188:C201 H206 C204:C220 H215:H221 C222:C232 H227:H232 H249 H256 C234:C262 H267:H268 C265:C275 H278 C278:C284 H286 H293 C286:C299 H300 C301 H305 H308 C304:C315 H319 H325 H328 H331 H337 C317:C342 H343 C344 H352 H356 C347:C366 H368 C368:C375 H375:H378 C377:C386 H389 C389:C398 H399 H405 C400:C407 C410:C412 H411:H412 C414 H416 C417:C421 H422:H425 H429 C424:C432">
      <formula1>"Ron,Euro"</formula1>
    </dataValidation>
    <dataValidation type="list" allowBlank="1" sqref="K3:K4 K11 K20 K23 F3:F32 K33 F34 F37 K40 K44 F39:F51 F54:F56 F60:F63 K64 F65:F66 K67 F68:F74 F77:F88 K89 F90 K92 F92:F98 K100:K106 F100:F107 K110 K126 K131 K136:K137 F110:F144 K147 F147:F149 K155 F152:F159 K159:K160 K170 F161:F171 F173:F181 K181:K182 F183:F186 K189 K198 F188:F201 K206 F204:F220 K215:K221 F222:F232 K227:K232 K249 K256 F234:F262 K267:K268 F265:F275 K278 F278:F284 K286 K293 F286:F299 K300 F301 K305 K308 F304:F315 K319 K325 K328 K331 K337 F317:F342 K343 F344 K352 K356 F347:F366 K368 F368:F375 K375:K378 F377:F386 K389 F389:F398 K399 K405 F400:F407 K411:K412 F410:F414 K416 F417:F421 F424:F432">
      <formula1>"Banca,Cash"</formula1>
    </dataValidation>
    <dataValidation type="list" allowBlank="1" sqref="D3:D32 D34 D37 D39:D51 D54:D56 D60:D63 D65:D66 D68:D74 D77:D88 D90 D92:D98 D100:D107 I126 I136 D110:D144 D147:D149 D152:D159 I160 D161:D181 D183:D186 D188:D201 D204:D220 D222:D232 D234:D262 D265:D275 D278:D284 D286:D299 D301 D304:D315 D317:D342 D344 I352 D347:D366 D368:D375 D377:D386 D389:D398 D400:D407 D410:D412 I412 D414 D417:D421 D424:D432">
      <formula1>"Carina,Radu,Arni,Luci,Sebi,Prezent,Tehnici,Salariu,Impozit,Contabila,TVA,Comision Retrageri,Comision Operatiune,ING Card,DJ,Podium,Video,Audio,Recuperari,Drum,Drive,Promo Meta,Promo Google,Promo TikTok,Factureaza,Protocol,Altele,Schimb Valutar,Lumini,Sala"&amp;" CS,Internet,Dividende"</formula1>
    </dataValidation>
    <dataValidation type="list" allowBlank="1" sqref="I3 I11 I20 I23:I24 I33 I40 I44 I64 I67 I89 I92 I100:I106 I110 I131 I137 I147 I155 I159 I170 I181:I182 I189 I198 I206 I215:I221 I227:I232 I249 I256 I267:I268 I278 I286 I293 I300 I305 I308 I319 I325 I328 I331 I337 I343 I356 I368 I375:I378 I389 I399 I405 I411 I416 I422:I425 I429">
      <formula1>"Avans,Event,Imprumut,Altele"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.88"/>
    <col customWidth="1" min="3" max="3" width="25.13"/>
    <col customWidth="1" min="5" max="5" width="7.0"/>
    <col customWidth="1" min="8" max="8" width="18.0"/>
    <col customWidth="1" min="9" max="9" width="5.88"/>
  </cols>
  <sheetData>
    <row r="1">
      <c r="A1" s="50" t="s">
        <v>771</v>
      </c>
      <c r="C1" s="50" t="s">
        <v>270</v>
      </c>
      <c r="G1" s="50" t="s">
        <v>271</v>
      </c>
      <c r="K1" s="50" t="s">
        <v>273</v>
      </c>
      <c r="N1" s="50" t="s">
        <v>127</v>
      </c>
    </row>
    <row r="2">
      <c r="A2" s="50">
        <f>A5+A8+A11</f>
        <v>3250</v>
      </c>
      <c r="C2" s="123"/>
      <c r="D2" s="123"/>
      <c r="E2" s="124"/>
      <c r="G2" s="50" t="s">
        <v>113</v>
      </c>
      <c r="H2" s="50" t="s">
        <v>772</v>
      </c>
      <c r="I2" s="50">
        <v>1750.0</v>
      </c>
      <c r="K2" s="50" t="s">
        <v>514</v>
      </c>
      <c r="L2" s="50">
        <v>1500.0</v>
      </c>
    </row>
    <row r="3">
      <c r="C3" s="123"/>
      <c r="D3" s="123"/>
      <c r="E3" s="124"/>
    </row>
    <row r="4">
      <c r="A4" s="50" t="s">
        <v>275</v>
      </c>
      <c r="C4" s="123"/>
      <c r="D4" s="123"/>
      <c r="E4" s="124"/>
    </row>
    <row r="5">
      <c r="A5">
        <f>sum(E:E)</f>
        <v>0</v>
      </c>
    </row>
    <row r="6">
      <c r="C6" s="125"/>
      <c r="D6" s="125"/>
      <c r="E6" s="126"/>
    </row>
    <row r="7">
      <c r="A7" s="50" t="s">
        <v>276</v>
      </c>
      <c r="C7" s="125"/>
      <c r="D7" s="125"/>
      <c r="E7" s="126"/>
    </row>
    <row r="8">
      <c r="A8">
        <f>sum(I:I)</f>
        <v>1750</v>
      </c>
      <c r="C8" s="125"/>
      <c r="D8" s="125"/>
      <c r="E8" s="126"/>
    </row>
    <row r="9">
      <c r="C9" s="125"/>
      <c r="D9" s="125"/>
      <c r="E9" s="127"/>
    </row>
    <row r="10">
      <c r="A10" s="50" t="s">
        <v>277</v>
      </c>
      <c r="C10" s="125"/>
      <c r="D10" s="125"/>
      <c r="E10" s="126"/>
    </row>
    <row r="11">
      <c r="A11">
        <f>sum(L:L)</f>
        <v>1500</v>
      </c>
      <c r="C11" s="125"/>
      <c r="D11" s="128"/>
      <c r="E11" s="126"/>
    </row>
    <row r="12">
      <c r="C12" s="125"/>
      <c r="D12" s="125"/>
      <c r="E12" s="126"/>
    </row>
    <row r="13">
      <c r="C13" s="125"/>
      <c r="D13" s="125"/>
      <c r="E13" s="126"/>
    </row>
    <row r="14">
      <c r="C14" s="125"/>
      <c r="D14" s="125"/>
      <c r="E14" s="126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  <col customWidth="1" min="5" max="12" width="9.5"/>
  </cols>
  <sheetData>
    <row r="1">
      <c r="B1" s="50" t="s">
        <v>154</v>
      </c>
      <c r="C1" s="50" t="s">
        <v>119</v>
      </c>
      <c r="E1" s="50" t="s">
        <v>160</v>
      </c>
      <c r="F1" s="50">
        <v>21.0</v>
      </c>
      <c r="G1" s="50" t="s">
        <v>160</v>
      </c>
      <c r="H1" s="50">
        <v>6.0</v>
      </c>
      <c r="I1" s="50" t="s">
        <v>160</v>
      </c>
      <c r="J1" s="50">
        <v>20.0</v>
      </c>
      <c r="K1" s="50" t="s">
        <v>773</v>
      </c>
      <c r="L1">
        <f>F1+H1+J1</f>
        <v>47</v>
      </c>
    </row>
    <row r="2">
      <c r="A2" s="50" t="s">
        <v>774</v>
      </c>
      <c r="E2" s="50" t="s">
        <v>775</v>
      </c>
      <c r="F2" s="129">
        <f>sum(F3:F23)</f>
        <v>8400</v>
      </c>
      <c r="G2" s="50" t="s">
        <v>776</v>
      </c>
      <c r="H2" s="129">
        <f>sum(H3:H22)</f>
        <v>7700</v>
      </c>
      <c r="I2" s="50" t="s">
        <v>777</v>
      </c>
      <c r="J2" s="130">
        <f>sum(J3:J21)</f>
        <v>36425</v>
      </c>
    </row>
    <row r="3">
      <c r="A3" s="50" t="s">
        <v>778</v>
      </c>
      <c r="B3" s="50">
        <v>33260.0</v>
      </c>
      <c r="E3" s="50" t="s">
        <v>779</v>
      </c>
      <c r="F3" s="50">
        <v>600.0</v>
      </c>
      <c r="G3" s="50" t="s">
        <v>780</v>
      </c>
      <c r="H3" s="50">
        <v>1000.0</v>
      </c>
      <c r="I3" s="50" t="s">
        <v>781</v>
      </c>
      <c r="J3" s="50">
        <v>1600.0</v>
      </c>
    </row>
    <row r="4">
      <c r="A4" s="50" t="s">
        <v>782</v>
      </c>
      <c r="B4" s="50">
        <v>18400.0</v>
      </c>
      <c r="E4" s="50" t="s">
        <v>783</v>
      </c>
      <c r="F4" s="50">
        <v>0.0</v>
      </c>
      <c r="G4" s="50" t="s">
        <v>784</v>
      </c>
      <c r="H4" s="50">
        <v>1400.0</v>
      </c>
      <c r="I4" s="50" t="s">
        <v>785</v>
      </c>
      <c r="J4" s="50">
        <v>1600.0</v>
      </c>
    </row>
    <row r="5">
      <c r="A5" s="50" t="s">
        <v>212</v>
      </c>
      <c r="E5" s="50" t="s">
        <v>786</v>
      </c>
      <c r="F5" s="50">
        <v>0.0</v>
      </c>
      <c r="G5" s="50" t="s">
        <v>787</v>
      </c>
      <c r="H5" s="50">
        <v>1000.0</v>
      </c>
      <c r="I5" s="50" t="s">
        <v>788</v>
      </c>
      <c r="J5" s="50">
        <v>1750.0</v>
      </c>
    </row>
    <row r="6">
      <c r="A6" s="50" t="s">
        <v>174</v>
      </c>
      <c r="E6" s="50" t="s">
        <v>789</v>
      </c>
      <c r="F6" s="50">
        <v>0.0</v>
      </c>
      <c r="G6" s="50" t="s">
        <v>790</v>
      </c>
      <c r="H6" s="50">
        <v>1000.0</v>
      </c>
      <c r="I6" s="50" t="s">
        <v>791</v>
      </c>
      <c r="J6" s="50">
        <v>1750.0</v>
      </c>
    </row>
    <row r="7">
      <c r="A7" s="50" t="s">
        <v>143</v>
      </c>
      <c r="E7" s="50" t="s">
        <v>792</v>
      </c>
      <c r="F7" s="50">
        <v>0.0</v>
      </c>
      <c r="G7" s="50" t="s">
        <v>793</v>
      </c>
      <c r="H7" s="50">
        <v>1800.0</v>
      </c>
      <c r="I7" s="50" t="s">
        <v>794</v>
      </c>
      <c r="J7" s="50">
        <v>1750.0</v>
      </c>
    </row>
    <row r="8">
      <c r="A8" s="50" t="s">
        <v>138</v>
      </c>
      <c r="E8" s="50" t="s">
        <v>795</v>
      </c>
      <c r="F8" s="50">
        <v>500.0</v>
      </c>
      <c r="G8" s="50" t="s">
        <v>796</v>
      </c>
      <c r="H8" s="50">
        <v>1500.0</v>
      </c>
      <c r="I8" s="50" t="s">
        <v>797</v>
      </c>
      <c r="J8" s="50">
        <v>1750.0</v>
      </c>
    </row>
    <row r="9">
      <c r="A9" s="50" t="s">
        <v>798</v>
      </c>
      <c r="E9" s="50" t="s">
        <v>799</v>
      </c>
      <c r="F9" s="50">
        <v>500.0</v>
      </c>
      <c r="I9" s="50" t="s">
        <v>800</v>
      </c>
      <c r="J9" s="50">
        <v>2000.0</v>
      </c>
    </row>
    <row r="10">
      <c r="A10" s="50" t="s">
        <v>26</v>
      </c>
      <c r="E10" s="50" t="s">
        <v>801</v>
      </c>
      <c r="F10" s="50">
        <v>500.0</v>
      </c>
      <c r="I10" s="50" t="s">
        <v>802</v>
      </c>
      <c r="J10" s="50">
        <v>1750.0</v>
      </c>
    </row>
    <row r="11">
      <c r="A11" s="50" t="s">
        <v>27</v>
      </c>
      <c r="E11" s="50" t="s">
        <v>803</v>
      </c>
      <c r="F11" s="50">
        <v>500.0</v>
      </c>
      <c r="I11" s="50" t="s">
        <v>804</v>
      </c>
      <c r="J11" s="50">
        <v>2200.0</v>
      </c>
    </row>
    <row r="12">
      <c r="A12" s="50" t="s">
        <v>805</v>
      </c>
      <c r="E12" s="50" t="s">
        <v>806</v>
      </c>
      <c r="F12" s="50">
        <v>500.0</v>
      </c>
      <c r="I12" s="50" t="s">
        <v>807</v>
      </c>
      <c r="J12" s="50">
        <v>2250.0</v>
      </c>
    </row>
    <row r="13">
      <c r="A13" s="50" t="s">
        <v>25</v>
      </c>
      <c r="E13" s="50" t="s">
        <v>808</v>
      </c>
      <c r="F13" s="50">
        <v>500.0</v>
      </c>
      <c r="I13" s="50" t="s">
        <v>809</v>
      </c>
      <c r="J13" s="50">
        <v>2500.0</v>
      </c>
    </row>
    <row r="14">
      <c r="A14" s="50" t="s">
        <v>127</v>
      </c>
      <c r="E14" s="50" t="s">
        <v>810</v>
      </c>
      <c r="F14" s="50">
        <v>500.0</v>
      </c>
      <c r="I14" s="50" t="s">
        <v>811</v>
      </c>
      <c r="J14" s="50">
        <v>2000.0</v>
      </c>
    </row>
    <row r="15">
      <c r="A15" s="50" t="s">
        <v>812</v>
      </c>
      <c r="E15" s="50" t="s">
        <v>813</v>
      </c>
      <c r="F15" s="50">
        <v>800.0</v>
      </c>
      <c r="I15" s="50" t="s">
        <v>806</v>
      </c>
      <c r="J15" s="50">
        <v>2250.0</v>
      </c>
    </row>
    <row r="16">
      <c r="A16" s="50" t="s">
        <v>222</v>
      </c>
      <c r="E16" s="50" t="s">
        <v>814</v>
      </c>
      <c r="F16" s="50">
        <v>500.0</v>
      </c>
      <c r="I16" s="50" t="s">
        <v>815</v>
      </c>
      <c r="J16" s="50">
        <v>1600.0</v>
      </c>
    </row>
    <row r="17">
      <c r="A17" s="50" t="s">
        <v>816</v>
      </c>
      <c r="E17" s="50" t="s">
        <v>817</v>
      </c>
      <c r="F17" s="50">
        <v>500.0</v>
      </c>
      <c r="I17" s="50" t="s">
        <v>818</v>
      </c>
      <c r="J17" s="50">
        <v>1750.0</v>
      </c>
    </row>
    <row r="18">
      <c r="A18" s="50" t="s">
        <v>157</v>
      </c>
      <c r="E18" s="50" t="s">
        <v>819</v>
      </c>
      <c r="F18" s="50">
        <v>0.0</v>
      </c>
      <c r="I18" s="50" t="s">
        <v>820</v>
      </c>
      <c r="J18" s="50">
        <v>1800.0</v>
      </c>
    </row>
    <row r="19">
      <c r="E19" s="50" t="s">
        <v>821</v>
      </c>
      <c r="F19" s="50">
        <v>500.0</v>
      </c>
      <c r="I19" s="50" t="s">
        <v>822</v>
      </c>
      <c r="J19" s="50">
        <v>1600.0</v>
      </c>
    </row>
    <row r="20">
      <c r="A20" s="50" t="s">
        <v>823</v>
      </c>
      <c r="B20">
        <f>(F2+H2+J2)*5</f>
        <v>262625</v>
      </c>
      <c r="C20">
        <f t="shared" ref="C20:C21" si="1">B20/5</f>
        <v>52525</v>
      </c>
      <c r="E20" s="50" t="s">
        <v>790</v>
      </c>
      <c r="F20" s="50">
        <v>0.0</v>
      </c>
      <c r="I20" s="50" t="s">
        <v>824</v>
      </c>
      <c r="J20" s="50">
        <v>2400.0</v>
      </c>
    </row>
    <row r="21">
      <c r="A21" s="50" t="s">
        <v>825</v>
      </c>
      <c r="B21">
        <f>B20/5</f>
        <v>52525</v>
      </c>
      <c r="C21">
        <f t="shared" si="1"/>
        <v>10505</v>
      </c>
      <c r="E21" s="50" t="s">
        <v>826</v>
      </c>
      <c r="F21" s="50">
        <v>0.0</v>
      </c>
      <c r="I21" s="50" t="s">
        <v>827</v>
      </c>
      <c r="J21" s="50">
        <v>2125.0</v>
      </c>
    </row>
    <row r="22">
      <c r="E22" s="50" t="s">
        <v>828</v>
      </c>
      <c r="F22" s="50">
        <v>500.0</v>
      </c>
      <c r="I22" s="50" t="s">
        <v>829</v>
      </c>
      <c r="J22" s="50">
        <v>2125.0</v>
      </c>
    </row>
    <row r="23">
      <c r="E23" s="50" t="s">
        <v>830</v>
      </c>
      <c r="F23" s="50">
        <v>1500.0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11.5"/>
    <col customWidth="1" min="3" max="6" width="7.5"/>
    <col customWidth="1" min="7" max="11" width="8.0"/>
    <col customWidth="1" min="12" max="12" width="5.38"/>
  </cols>
  <sheetData>
    <row r="1">
      <c r="A1" s="50" t="s">
        <v>160</v>
      </c>
      <c r="B1" s="50" t="s">
        <v>5</v>
      </c>
      <c r="C1" s="50" t="s">
        <v>7</v>
      </c>
      <c r="D1" s="131">
        <v>0.03</v>
      </c>
      <c r="E1" s="50" t="s">
        <v>22</v>
      </c>
      <c r="F1" s="50" t="s">
        <v>831</v>
      </c>
      <c r="G1" s="50" t="s">
        <v>832</v>
      </c>
      <c r="H1" s="50" t="s">
        <v>111</v>
      </c>
      <c r="I1" s="50" t="s">
        <v>113</v>
      </c>
      <c r="J1" s="50" t="s">
        <v>112</v>
      </c>
      <c r="K1" s="50" t="s">
        <v>110</v>
      </c>
      <c r="M1" s="50" t="s">
        <v>833</v>
      </c>
      <c r="N1" s="50" t="s">
        <v>834</v>
      </c>
      <c r="O1" s="50" t="s">
        <v>835</v>
      </c>
      <c r="P1" s="50" t="s">
        <v>836</v>
      </c>
    </row>
    <row r="2">
      <c r="A2" s="132" t="s">
        <v>569</v>
      </c>
      <c r="B2" s="132" t="s">
        <v>837</v>
      </c>
      <c r="C2" s="112">
        <v>3500.0</v>
      </c>
      <c r="D2">
        <f>C2*3%</f>
        <v>105</v>
      </c>
      <c r="E2" s="50">
        <v>600.0</v>
      </c>
      <c r="F2" s="50" t="s">
        <v>838</v>
      </c>
      <c r="G2" s="50">
        <v>600.0</v>
      </c>
      <c r="H2" s="50">
        <v>600.0</v>
      </c>
      <c r="I2" s="50">
        <v>600.0</v>
      </c>
      <c r="J2" s="50">
        <v>600.0</v>
      </c>
      <c r="K2" s="50">
        <v>600.0</v>
      </c>
      <c r="M2" s="50" t="s">
        <v>109</v>
      </c>
      <c r="N2">
        <f>sum(G7:G28)</f>
        <v>15000</v>
      </c>
      <c r="O2" s="50">
        <v>15000.0</v>
      </c>
      <c r="P2">
        <f t="shared" ref="P2:P6" si="1">N2-O2</f>
        <v>0</v>
      </c>
    </row>
    <row r="3">
      <c r="A3" s="132" t="s">
        <v>569</v>
      </c>
      <c r="B3" s="132" t="s">
        <v>839</v>
      </c>
      <c r="C3" s="112">
        <v>0.0</v>
      </c>
      <c r="D3" s="50">
        <v>0.0</v>
      </c>
      <c r="E3" s="50">
        <v>0.0</v>
      </c>
      <c r="F3" s="50" t="s">
        <v>12</v>
      </c>
      <c r="G3" s="50">
        <v>0.0</v>
      </c>
      <c r="H3" s="50">
        <v>0.0</v>
      </c>
      <c r="I3" s="50">
        <v>0.0</v>
      </c>
      <c r="J3" s="50">
        <v>0.0</v>
      </c>
      <c r="K3" s="50">
        <v>0.0</v>
      </c>
      <c r="M3" s="50" t="s">
        <v>111</v>
      </c>
      <c r="N3">
        <f>sum(G7:G28)</f>
        <v>15000</v>
      </c>
      <c r="O3" s="50">
        <v>15000.0</v>
      </c>
      <c r="P3">
        <f t="shared" si="1"/>
        <v>0</v>
      </c>
    </row>
    <row r="4">
      <c r="A4" s="132" t="s">
        <v>569</v>
      </c>
      <c r="B4" s="132" t="s">
        <v>840</v>
      </c>
      <c r="C4" s="112">
        <v>0.0</v>
      </c>
      <c r="D4" s="50">
        <v>0.0</v>
      </c>
      <c r="E4" s="50">
        <v>0.0</v>
      </c>
      <c r="F4" s="50" t="s">
        <v>12</v>
      </c>
      <c r="G4" s="50">
        <v>0.0</v>
      </c>
      <c r="H4" s="50">
        <v>0.0</v>
      </c>
      <c r="I4" s="50">
        <v>0.0</v>
      </c>
      <c r="J4" s="50">
        <v>0.0</v>
      </c>
      <c r="K4" s="50">
        <v>0.0</v>
      </c>
      <c r="M4" s="50" t="s">
        <v>113</v>
      </c>
      <c r="N4">
        <f>sum(G7:G28)</f>
        <v>15000</v>
      </c>
      <c r="O4" s="50">
        <v>11100.0</v>
      </c>
      <c r="P4">
        <f t="shared" si="1"/>
        <v>3900</v>
      </c>
    </row>
    <row r="5">
      <c r="A5" s="132" t="s">
        <v>569</v>
      </c>
      <c r="B5" s="132" t="s">
        <v>841</v>
      </c>
      <c r="C5" s="112">
        <v>0.0</v>
      </c>
      <c r="D5" s="50">
        <v>0.0</v>
      </c>
      <c r="E5" s="50">
        <v>0.0</v>
      </c>
      <c r="F5" s="50" t="s">
        <v>12</v>
      </c>
      <c r="G5" s="50">
        <v>0.0</v>
      </c>
      <c r="H5" s="50">
        <v>0.0</v>
      </c>
      <c r="I5" s="50">
        <v>0.0</v>
      </c>
      <c r="J5" s="50">
        <v>0.0</v>
      </c>
      <c r="K5" s="50">
        <v>0.0</v>
      </c>
      <c r="M5" s="50" t="s">
        <v>112</v>
      </c>
      <c r="N5">
        <f>sum(J7:J16)+sum(J18:J28)</f>
        <v>14500</v>
      </c>
      <c r="O5" s="50">
        <v>14500.0</v>
      </c>
      <c r="P5">
        <f t="shared" si="1"/>
        <v>0</v>
      </c>
    </row>
    <row r="6">
      <c r="A6" s="132" t="s">
        <v>569</v>
      </c>
      <c r="B6" s="50" t="s">
        <v>842</v>
      </c>
      <c r="C6" s="112">
        <v>0.0</v>
      </c>
      <c r="D6" s="50">
        <v>0.0</v>
      </c>
      <c r="E6" s="50">
        <v>0.0</v>
      </c>
      <c r="F6" s="50" t="s">
        <v>12</v>
      </c>
      <c r="G6" s="50">
        <v>0.0</v>
      </c>
      <c r="H6" s="50">
        <v>0.0</v>
      </c>
      <c r="I6" s="50">
        <v>0.0</v>
      </c>
      <c r="J6" s="50">
        <v>0.0</v>
      </c>
      <c r="K6" s="50">
        <v>0.0</v>
      </c>
      <c r="M6" s="50" t="s">
        <v>110</v>
      </c>
      <c r="N6">
        <f>sum(G7:G28)</f>
        <v>15000</v>
      </c>
      <c r="O6" s="50">
        <v>15000.0</v>
      </c>
      <c r="P6">
        <f t="shared" si="1"/>
        <v>0</v>
      </c>
    </row>
    <row r="7">
      <c r="A7" s="132" t="s">
        <v>569</v>
      </c>
      <c r="B7" s="50" t="s">
        <v>843</v>
      </c>
      <c r="C7" s="112">
        <v>4943.0</v>
      </c>
      <c r="D7">
        <f t="shared" ref="D7:D10" si="2">C7*3%</f>
        <v>148.29</v>
      </c>
      <c r="E7" s="50">
        <v>750.0</v>
      </c>
      <c r="F7" s="50">
        <v>1000.0</v>
      </c>
      <c r="G7" s="133">
        <v>500.0</v>
      </c>
      <c r="H7" s="133">
        <v>500.0</v>
      </c>
      <c r="I7" s="133">
        <v>500.0</v>
      </c>
      <c r="J7" s="133">
        <v>500.0</v>
      </c>
      <c r="K7" s="133">
        <v>500.0</v>
      </c>
    </row>
    <row r="8">
      <c r="A8" s="132" t="s">
        <v>569</v>
      </c>
      <c r="B8" s="50" t="s">
        <v>844</v>
      </c>
      <c r="C8" s="112">
        <v>4932.0</v>
      </c>
      <c r="D8">
        <f t="shared" si="2"/>
        <v>147.96</v>
      </c>
      <c r="E8" s="50">
        <v>750.0</v>
      </c>
      <c r="F8" s="50">
        <v>1000.0</v>
      </c>
      <c r="G8" s="133">
        <v>500.0</v>
      </c>
      <c r="H8" s="133">
        <v>500.0</v>
      </c>
      <c r="I8" s="133">
        <v>500.0</v>
      </c>
      <c r="J8" s="133">
        <v>500.0</v>
      </c>
      <c r="K8" s="133">
        <v>500.0</v>
      </c>
      <c r="M8" s="50" t="s">
        <v>845</v>
      </c>
      <c r="N8" s="50">
        <v>25000.0</v>
      </c>
      <c r="P8" s="130">
        <f>sum(P2:P6)</f>
        <v>3900</v>
      </c>
    </row>
    <row r="9">
      <c r="A9" s="132" t="s">
        <v>569</v>
      </c>
      <c r="B9" s="50" t="s">
        <v>846</v>
      </c>
      <c r="C9" s="112">
        <v>6150.0</v>
      </c>
      <c r="D9">
        <f t="shared" si="2"/>
        <v>184.5</v>
      </c>
      <c r="E9" s="50">
        <v>1500.0</v>
      </c>
      <c r="F9" s="50">
        <v>1000.0</v>
      </c>
      <c r="G9" s="133">
        <v>500.0</v>
      </c>
      <c r="H9" s="133">
        <v>500.0</v>
      </c>
      <c r="I9" s="133">
        <v>500.0</v>
      </c>
      <c r="J9" s="133">
        <v>500.0</v>
      </c>
      <c r="K9" s="133">
        <v>500.0</v>
      </c>
      <c r="M9" s="50" t="s">
        <v>847</v>
      </c>
      <c r="N9">
        <f>C12+C20+C22+C24</f>
        <v>33651</v>
      </c>
    </row>
    <row r="10">
      <c r="A10" s="132" t="s">
        <v>569</v>
      </c>
      <c r="B10" s="50" t="s">
        <v>848</v>
      </c>
      <c r="C10" s="112">
        <v>4890.0</v>
      </c>
      <c r="D10">
        <f t="shared" si="2"/>
        <v>146.7</v>
      </c>
      <c r="E10" s="50">
        <v>750.0</v>
      </c>
      <c r="F10" s="50">
        <v>1000.0</v>
      </c>
      <c r="G10" s="133">
        <v>500.0</v>
      </c>
      <c r="H10" s="133">
        <v>500.0</v>
      </c>
      <c r="I10" s="133">
        <v>500.0</v>
      </c>
      <c r="J10" s="133">
        <v>500.0</v>
      </c>
      <c r="K10" s="133">
        <v>500.0</v>
      </c>
      <c r="N10" s="130">
        <f>N8+N9</f>
        <v>58651</v>
      </c>
      <c r="O10" s="134">
        <f>N10-P8</f>
        <v>54751</v>
      </c>
    </row>
    <row r="11">
      <c r="A11" s="132" t="s">
        <v>569</v>
      </c>
      <c r="B11" s="50" t="s">
        <v>849</v>
      </c>
      <c r="C11" s="112">
        <v>0.0</v>
      </c>
      <c r="D11" s="50">
        <v>0.0</v>
      </c>
      <c r="E11" s="50">
        <v>0.0</v>
      </c>
      <c r="F11" s="50" t="s">
        <v>12</v>
      </c>
      <c r="G11" s="50">
        <v>0.0</v>
      </c>
      <c r="H11" s="50">
        <v>0.0</v>
      </c>
      <c r="I11" s="50">
        <v>0.0</v>
      </c>
      <c r="J11" s="50">
        <v>0.0</v>
      </c>
      <c r="K11" s="50">
        <v>0.0</v>
      </c>
    </row>
    <row r="12">
      <c r="A12" s="132" t="s">
        <v>569</v>
      </c>
      <c r="B12" s="50" t="s">
        <v>850</v>
      </c>
      <c r="C12" s="132">
        <v>6000.0</v>
      </c>
      <c r="D12">
        <f t="shared" ref="D12:D18" si="3">C12*3%</f>
        <v>180</v>
      </c>
      <c r="E12" s="50">
        <v>900.0</v>
      </c>
      <c r="F12" s="50">
        <v>1000.0</v>
      </c>
      <c r="G12" s="133">
        <v>500.0</v>
      </c>
      <c r="H12" s="133">
        <v>500.0</v>
      </c>
      <c r="I12" s="133">
        <v>500.0</v>
      </c>
      <c r="J12" s="133">
        <v>500.0</v>
      </c>
      <c r="K12" s="133">
        <v>500.0</v>
      </c>
      <c r="M12" s="131">
        <v>0.2</v>
      </c>
      <c r="N12" s="50">
        <v>35000.0</v>
      </c>
    </row>
    <row r="13">
      <c r="A13" s="132" t="s">
        <v>569</v>
      </c>
      <c r="B13" s="50" t="s">
        <v>851</v>
      </c>
      <c r="C13" s="112">
        <v>4924.0</v>
      </c>
      <c r="D13">
        <f t="shared" si="3"/>
        <v>147.72</v>
      </c>
      <c r="E13" s="50">
        <v>750.0</v>
      </c>
      <c r="F13" s="50">
        <v>1000.0</v>
      </c>
      <c r="G13" s="133">
        <v>500.0</v>
      </c>
      <c r="H13" s="133">
        <v>500.0</v>
      </c>
      <c r="I13" s="133">
        <v>500.0</v>
      </c>
      <c r="J13" s="133">
        <v>500.0</v>
      </c>
      <c r="K13" s="133">
        <v>500.0</v>
      </c>
    </row>
    <row r="14">
      <c r="A14" s="132" t="s">
        <v>569</v>
      </c>
      <c r="B14" s="50" t="s">
        <v>852</v>
      </c>
      <c r="C14" s="112">
        <v>8383.0</v>
      </c>
      <c r="D14">
        <f t="shared" si="3"/>
        <v>251.49</v>
      </c>
      <c r="E14" s="50">
        <v>750.0</v>
      </c>
      <c r="F14" s="50">
        <v>1000.0</v>
      </c>
      <c r="G14" s="133">
        <v>800.0</v>
      </c>
      <c r="H14" s="133">
        <v>800.0</v>
      </c>
      <c r="I14" s="133">
        <v>800.0</v>
      </c>
      <c r="J14" s="133">
        <v>800.0</v>
      </c>
      <c r="K14" s="133">
        <v>800.0</v>
      </c>
    </row>
    <row r="15">
      <c r="A15" s="132" t="s">
        <v>569</v>
      </c>
      <c r="B15" s="50" t="s">
        <v>853</v>
      </c>
      <c r="C15" s="112">
        <v>5911.0</v>
      </c>
      <c r="D15">
        <f t="shared" si="3"/>
        <v>177.33</v>
      </c>
      <c r="E15" s="50">
        <v>700.0</v>
      </c>
      <c r="F15" s="50">
        <v>1000.0</v>
      </c>
      <c r="G15" s="133">
        <v>500.0</v>
      </c>
      <c r="H15" s="133">
        <v>500.0</v>
      </c>
      <c r="I15" s="133">
        <v>500.0</v>
      </c>
      <c r="J15" s="133">
        <v>500.0</v>
      </c>
      <c r="K15" s="133">
        <v>500.0</v>
      </c>
    </row>
    <row r="16">
      <c r="A16" s="132" t="s">
        <v>854</v>
      </c>
      <c r="B16" s="50" t="s">
        <v>855</v>
      </c>
      <c r="C16" s="112">
        <v>9295.0</v>
      </c>
      <c r="D16">
        <f t="shared" si="3"/>
        <v>278.85</v>
      </c>
      <c r="E16" s="50">
        <v>1000.0</v>
      </c>
      <c r="F16" s="50">
        <v>1000.0</v>
      </c>
      <c r="G16" s="133">
        <v>1000.0</v>
      </c>
      <c r="H16" s="133">
        <v>1000.0</v>
      </c>
      <c r="I16" s="133">
        <v>1000.0</v>
      </c>
      <c r="J16" s="133">
        <v>1000.0</v>
      </c>
      <c r="K16" s="133">
        <v>1000.0</v>
      </c>
    </row>
    <row r="17">
      <c r="A17" s="132" t="s">
        <v>569</v>
      </c>
      <c r="B17" s="50" t="s">
        <v>340</v>
      </c>
      <c r="C17" s="112">
        <v>4000.0</v>
      </c>
      <c r="D17">
        <f t="shared" si="3"/>
        <v>120</v>
      </c>
      <c r="E17" s="50">
        <v>700.0</v>
      </c>
      <c r="F17" s="50">
        <v>1000.0</v>
      </c>
      <c r="G17" s="133">
        <v>500.0</v>
      </c>
      <c r="H17" s="133">
        <v>500.0</v>
      </c>
      <c r="I17" s="133">
        <v>500.0</v>
      </c>
      <c r="J17" s="50">
        <v>0.0</v>
      </c>
      <c r="K17" s="133">
        <v>500.0</v>
      </c>
    </row>
    <row r="18">
      <c r="A18" s="132" t="s">
        <v>854</v>
      </c>
      <c r="B18" s="50" t="s">
        <v>330</v>
      </c>
      <c r="C18" s="112">
        <v>11490.0</v>
      </c>
      <c r="D18">
        <f t="shared" si="3"/>
        <v>344.7</v>
      </c>
      <c r="E18" s="50">
        <v>1000.0</v>
      </c>
      <c r="F18" s="50">
        <v>1000.0</v>
      </c>
      <c r="G18" s="133">
        <v>1400.0</v>
      </c>
      <c r="H18" s="133">
        <v>1400.0</v>
      </c>
      <c r="I18" s="133">
        <v>1400.0</v>
      </c>
      <c r="J18" s="133">
        <v>1400.0</v>
      </c>
      <c r="K18" s="133">
        <v>1400.0</v>
      </c>
    </row>
    <row r="19">
      <c r="A19" s="132" t="s">
        <v>569</v>
      </c>
      <c r="B19" s="50" t="s">
        <v>856</v>
      </c>
      <c r="C19" s="112">
        <v>0.0</v>
      </c>
      <c r="D19" s="50">
        <v>0.0</v>
      </c>
      <c r="E19" s="50">
        <v>0.0</v>
      </c>
      <c r="F19" s="50" t="s">
        <v>12</v>
      </c>
      <c r="G19" s="50">
        <v>0.0</v>
      </c>
      <c r="H19" s="50">
        <v>0.0</v>
      </c>
      <c r="I19" s="50">
        <v>0.0</v>
      </c>
      <c r="J19" s="50">
        <v>0.0</v>
      </c>
      <c r="K19" s="50">
        <v>0.0</v>
      </c>
    </row>
    <row r="20">
      <c r="A20" s="132" t="s">
        <v>569</v>
      </c>
      <c r="B20" s="50" t="s">
        <v>857</v>
      </c>
      <c r="C20" s="112">
        <v>5000.0</v>
      </c>
      <c r="D20">
        <f t="shared" ref="D20:D22" si="4">C20*3%</f>
        <v>150</v>
      </c>
      <c r="E20" s="50">
        <v>700.0</v>
      </c>
      <c r="F20" s="50">
        <v>1000.0</v>
      </c>
      <c r="G20" s="133">
        <v>500.0</v>
      </c>
      <c r="H20" s="133">
        <v>500.0</v>
      </c>
      <c r="I20" s="133">
        <v>500.0</v>
      </c>
      <c r="J20" s="133">
        <v>500.0</v>
      </c>
      <c r="K20" s="133">
        <v>500.0</v>
      </c>
    </row>
    <row r="21">
      <c r="A21" s="132" t="s">
        <v>854</v>
      </c>
      <c r="B21" s="50" t="s">
        <v>858</v>
      </c>
      <c r="C21" s="112">
        <v>8618.0</v>
      </c>
      <c r="D21">
        <f t="shared" si="4"/>
        <v>258.54</v>
      </c>
      <c r="E21" s="50">
        <v>1000.0</v>
      </c>
      <c r="F21" s="50">
        <v>1000.0</v>
      </c>
      <c r="G21" s="133">
        <v>1000.0</v>
      </c>
      <c r="H21" s="133">
        <v>1000.0</v>
      </c>
      <c r="I21" s="133">
        <v>1000.0</v>
      </c>
      <c r="J21" s="133">
        <v>1000.0</v>
      </c>
      <c r="K21" s="133">
        <v>1000.0</v>
      </c>
    </row>
    <row r="22">
      <c r="A22" s="132" t="s">
        <v>854</v>
      </c>
      <c r="B22" s="50" t="s">
        <v>859</v>
      </c>
      <c r="C22" s="112">
        <v>8383.0</v>
      </c>
      <c r="D22">
        <f t="shared" si="4"/>
        <v>251.49</v>
      </c>
      <c r="E22" s="50">
        <v>1000.0</v>
      </c>
      <c r="F22" s="50">
        <v>1000.0</v>
      </c>
      <c r="G22" s="133">
        <v>1000.0</v>
      </c>
      <c r="H22" s="133">
        <v>1000.0</v>
      </c>
      <c r="I22" s="133">
        <v>1000.0</v>
      </c>
      <c r="J22" s="133">
        <v>1000.0</v>
      </c>
      <c r="K22" s="133">
        <v>1000.0</v>
      </c>
    </row>
    <row r="23">
      <c r="A23" s="132" t="s">
        <v>569</v>
      </c>
      <c r="B23" s="50" t="s">
        <v>860</v>
      </c>
      <c r="C23" s="112">
        <v>0.0</v>
      </c>
      <c r="D23" s="50">
        <v>0.0</v>
      </c>
      <c r="E23" s="50">
        <v>0.0</v>
      </c>
      <c r="F23" s="50" t="s">
        <v>12</v>
      </c>
      <c r="G23" s="50">
        <v>0.0</v>
      </c>
      <c r="H23" s="50">
        <v>0.0</v>
      </c>
      <c r="I23" s="50">
        <v>0.0</v>
      </c>
      <c r="J23" s="50">
        <v>0.0</v>
      </c>
      <c r="K23" s="50">
        <v>0.0</v>
      </c>
    </row>
    <row r="24">
      <c r="A24" s="132" t="s">
        <v>854</v>
      </c>
      <c r="B24" s="50" t="s">
        <v>861</v>
      </c>
      <c r="C24" s="50">
        <v>14268.0</v>
      </c>
      <c r="D24">
        <f>C24*3%</f>
        <v>428.04</v>
      </c>
      <c r="E24" s="50">
        <v>1000.0</v>
      </c>
      <c r="F24" s="50">
        <v>1000.0</v>
      </c>
      <c r="G24" s="133">
        <v>1800.0</v>
      </c>
      <c r="H24" s="133">
        <v>1800.0</v>
      </c>
      <c r="I24" s="133">
        <v>1800.0</v>
      </c>
      <c r="J24" s="133">
        <v>1800.0</v>
      </c>
      <c r="K24" s="133">
        <v>1800.0</v>
      </c>
    </row>
    <row r="25">
      <c r="A25" s="132" t="s">
        <v>569</v>
      </c>
      <c r="B25" s="50" t="s">
        <v>615</v>
      </c>
      <c r="C25" s="112">
        <v>0.0</v>
      </c>
      <c r="D25" s="50">
        <v>0.0</v>
      </c>
      <c r="E25" s="50">
        <v>0.0</v>
      </c>
      <c r="F25" s="50">
        <v>0.0</v>
      </c>
      <c r="G25" s="50">
        <v>0.0</v>
      </c>
      <c r="H25" s="50">
        <v>0.0</v>
      </c>
      <c r="I25" s="50">
        <v>0.0</v>
      </c>
      <c r="J25" s="50">
        <v>0.0</v>
      </c>
      <c r="K25" s="50">
        <v>0.0</v>
      </c>
    </row>
    <row r="26">
      <c r="A26" s="132" t="s">
        <v>854</v>
      </c>
      <c r="B26" s="50" t="s">
        <v>862</v>
      </c>
      <c r="C26" s="50">
        <v>11755.0</v>
      </c>
      <c r="D26">
        <f t="shared" ref="D26:D27" si="5">C26*3%</f>
        <v>352.65</v>
      </c>
      <c r="E26" s="50">
        <v>1000.0</v>
      </c>
      <c r="F26" s="50">
        <v>1000.0</v>
      </c>
      <c r="G26" s="135">
        <v>1500.0</v>
      </c>
      <c r="H26" s="135">
        <v>1500.0</v>
      </c>
      <c r="I26" s="135">
        <v>1500.0</v>
      </c>
      <c r="J26" s="135">
        <v>1500.0</v>
      </c>
      <c r="K26" s="135">
        <v>1500.0</v>
      </c>
    </row>
    <row r="27">
      <c r="A27" s="50" t="s">
        <v>569</v>
      </c>
      <c r="B27" s="50" t="s">
        <v>340</v>
      </c>
      <c r="C27" s="50">
        <v>4000.0</v>
      </c>
      <c r="D27">
        <f t="shared" si="5"/>
        <v>120</v>
      </c>
      <c r="E27" s="50">
        <v>700.0</v>
      </c>
      <c r="F27" s="50">
        <v>1000.0</v>
      </c>
      <c r="G27" s="136">
        <v>500.0</v>
      </c>
      <c r="H27" s="136">
        <v>500.0</v>
      </c>
      <c r="I27" s="136">
        <v>500.0</v>
      </c>
      <c r="J27" s="136">
        <v>500.0</v>
      </c>
      <c r="K27" s="136">
        <v>500.0</v>
      </c>
    </row>
    <row r="28">
      <c r="A28" s="132" t="s">
        <v>569</v>
      </c>
      <c r="B28" s="50" t="s">
        <v>856</v>
      </c>
      <c r="G28" s="136">
        <v>1500.0</v>
      </c>
      <c r="H28" s="136">
        <v>1500.0</v>
      </c>
      <c r="I28" s="136">
        <v>1500.0</v>
      </c>
      <c r="J28" s="136">
        <v>1500.0</v>
      </c>
      <c r="K28" s="136">
        <v>1500.0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8.63"/>
    <col customWidth="1" min="2" max="2" width="7.75"/>
    <col customWidth="1" min="3" max="3" width="12.63"/>
    <col customWidth="1" min="4" max="4" width="31.25"/>
    <col customWidth="1" min="5" max="5" width="6.63"/>
    <col customWidth="1" min="6" max="6" width="6.88"/>
    <col customWidth="1" min="7" max="7" width="10.5"/>
    <col customWidth="1" min="8" max="8" width="31.38"/>
    <col customWidth="1" min="9" max="9" width="4.88"/>
    <col customWidth="1" min="10" max="11" width="12.63"/>
  </cols>
  <sheetData>
    <row r="1" ht="15.75" customHeight="1">
      <c r="A1" s="137" t="s">
        <v>863</v>
      </c>
      <c r="B1" s="138"/>
      <c r="C1" s="138"/>
      <c r="D1" s="57"/>
      <c r="E1" s="137" t="s">
        <v>0</v>
      </c>
      <c r="F1" s="138"/>
      <c r="G1" s="138"/>
      <c r="H1" s="57"/>
      <c r="I1" s="139"/>
      <c r="J1" s="139"/>
      <c r="K1" s="139"/>
      <c r="L1" s="140"/>
    </row>
    <row r="2" ht="15.75" customHeight="1">
      <c r="A2" s="60"/>
      <c r="B2" s="141"/>
      <c r="C2" s="141"/>
      <c r="D2" s="142"/>
      <c r="E2" s="60"/>
      <c r="F2" s="141"/>
      <c r="G2" s="141"/>
      <c r="H2" s="142"/>
      <c r="I2" s="139"/>
      <c r="J2" s="139"/>
      <c r="K2" s="139"/>
      <c r="L2" s="140"/>
    </row>
    <row r="3" ht="15.75" customHeight="1">
      <c r="A3" s="143" t="s">
        <v>154</v>
      </c>
      <c r="B3" s="144" t="s">
        <v>204</v>
      </c>
      <c r="C3" s="143" t="s">
        <v>1</v>
      </c>
      <c r="D3" s="143" t="s">
        <v>5</v>
      </c>
      <c r="E3" s="143" t="s">
        <v>154</v>
      </c>
      <c r="F3" s="144" t="s">
        <v>204</v>
      </c>
      <c r="G3" s="145" t="s">
        <v>1</v>
      </c>
      <c r="H3" s="143" t="s">
        <v>5</v>
      </c>
      <c r="I3" s="139"/>
      <c r="J3" s="139"/>
      <c r="K3" s="139"/>
      <c r="L3" s="140"/>
    </row>
    <row r="4" ht="15.75" customHeight="1">
      <c r="A4" s="146">
        <v>1850.0</v>
      </c>
      <c r="B4" s="147"/>
      <c r="C4" s="148" t="s">
        <v>864</v>
      </c>
      <c r="D4" s="148" t="s">
        <v>865</v>
      </c>
      <c r="E4" s="146">
        <v>1125.0</v>
      </c>
      <c r="F4" s="147"/>
      <c r="G4" s="149"/>
      <c r="H4" s="150" t="s">
        <v>866</v>
      </c>
      <c r="I4" s="139"/>
      <c r="J4" s="139" t="s">
        <v>867</v>
      </c>
      <c r="K4" s="151">
        <f>sum(E:E)</f>
        <v>179210</v>
      </c>
      <c r="L4" s="140"/>
    </row>
    <row r="5" ht="15.75" customHeight="1">
      <c r="A5" s="146">
        <v>300.0</v>
      </c>
      <c r="B5" s="152"/>
      <c r="C5" s="150" t="s">
        <v>868</v>
      </c>
      <c r="D5" s="148" t="s">
        <v>869</v>
      </c>
      <c r="E5" s="153">
        <v>3325.0</v>
      </c>
      <c r="F5" s="147"/>
      <c r="G5" s="149"/>
      <c r="H5" s="150" t="s">
        <v>870</v>
      </c>
      <c r="I5" s="139"/>
      <c r="J5" s="139" t="s">
        <v>871</v>
      </c>
      <c r="K5" s="151">
        <f>sum(A:A)</f>
        <v>179810</v>
      </c>
      <c r="L5" s="140"/>
    </row>
    <row r="6" ht="15.75" customHeight="1">
      <c r="A6" s="153">
        <v>2000.0</v>
      </c>
      <c r="B6" s="147"/>
      <c r="C6" s="150" t="s">
        <v>872</v>
      </c>
      <c r="D6" s="150" t="s">
        <v>873</v>
      </c>
      <c r="E6" s="153">
        <v>4185.0</v>
      </c>
      <c r="F6" s="147"/>
      <c r="G6" s="149"/>
      <c r="H6" s="148" t="s">
        <v>874</v>
      </c>
      <c r="I6" s="139"/>
      <c r="J6" s="139"/>
      <c r="K6" s="139"/>
      <c r="L6" s="140"/>
    </row>
    <row r="7" ht="15.75" customHeight="1">
      <c r="A7" s="153">
        <v>200.0</v>
      </c>
      <c r="B7" s="147"/>
      <c r="C7" s="150" t="s">
        <v>875</v>
      </c>
      <c r="D7" s="150" t="s">
        <v>873</v>
      </c>
      <c r="E7" s="153">
        <v>2100.0</v>
      </c>
      <c r="F7" s="147"/>
      <c r="G7" s="149"/>
      <c r="H7" s="148" t="s">
        <v>876</v>
      </c>
      <c r="I7" s="139"/>
      <c r="J7" s="139" t="s">
        <v>877</v>
      </c>
      <c r="K7" s="151">
        <f>K5-K4</f>
        <v>600</v>
      </c>
      <c r="L7" s="140"/>
    </row>
    <row r="8" ht="15.75" customHeight="1">
      <c r="A8" s="146">
        <v>2000.0</v>
      </c>
      <c r="B8" s="147"/>
      <c r="C8" s="148" t="s">
        <v>878</v>
      </c>
      <c r="D8" s="150" t="s">
        <v>873</v>
      </c>
      <c r="E8" s="153">
        <v>2200.0</v>
      </c>
      <c r="F8" s="147"/>
      <c r="G8" s="149"/>
      <c r="H8" s="148" t="s">
        <v>879</v>
      </c>
      <c r="I8" s="139"/>
      <c r="J8" s="140"/>
      <c r="K8" s="139"/>
      <c r="L8" s="140"/>
    </row>
    <row r="9" ht="15.75" customHeight="1">
      <c r="A9" s="153">
        <v>900.0</v>
      </c>
      <c r="B9" s="152"/>
      <c r="C9" s="150" t="s">
        <v>880</v>
      </c>
      <c r="D9" s="150" t="s">
        <v>873</v>
      </c>
      <c r="E9" s="146">
        <v>1125.0</v>
      </c>
      <c r="F9" s="147"/>
      <c r="G9" s="149"/>
      <c r="H9" s="150" t="s">
        <v>881</v>
      </c>
      <c r="I9" s="139"/>
      <c r="J9" s="140"/>
      <c r="K9" s="140"/>
      <c r="L9" s="140"/>
    </row>
    <row r="10" ht="15.75" customHeight="1">
      <c r="A10" s="153">
        <v>2435.0</v>
      </c>
      <c r="B10" s="152"/>
      <c r="C10" s="150" t="s">
        <v>882</v>
      </c>
      <c r="D10" s="148" t="s">
        <v>883</v>
      </c>
      <c r="E10" s="146">
        <v>1500.0</v>
      </c>
      <c r="F10" s="147"/>
      <c r="G10" s="149"/>
      <c r="H10" s="148" t="s">
        <v>876</v>
      </c>
      <c r="I10" s="139"/>
      <c r="J10" s="154" t="s">
        <v>884</v>
      </c>
      <c r="K10" s="151">
        <f>sum(F:F)</f>
        <v>37150</v>
      </c>
      <c r="L10" s="140"/>
    </row>
    <row r="11" ht="15.75" customHeight="1">
      <c r="A11" s="153">
        <v>5000.0</v>
      </c>
      <c r="B11" s="53"/>
      <c r="C11" s="46"/>
      <c r="D11" s="45" t="s">
        <v>885</v>
      </c>
      <c r="E11" s="146">
        <v>1500.0</v>
      </c>
      <c r="F11" s="147"/>
      <c r="G11" s="155"/>
      <c r="H11" s="148" t="s">
        <v>886</v>
      </c>
      <c r="I11" s="139"/>
      <c r="J11" s="154" t="s">
        <v>887</v>
      </c>
      <c r="K11" s="151">
        <f>sum(B:B)</f>
        <v>37150</v>
      </c>
      <c r="L11" s="140"/>
    </row>
    <row r="12" ht="15.75" customHeight="1">
      <c r="A12" s="153">
        <v>1500.0</v>
      </c>
      <c r="B12" s="147"/>
      <c r="C12" s="149"/>
      <c r="D12" s="150" t="s">
        <v>888</v>
      </c>
      <c r="E12" s="146">
        <v>1650.0</v>
      </c>
      <c r="F12" s="147"/>
      <c r="G12" s="155"/>
      <c r="H12" s="150" t="s">
        <v>889</v>
      </c>
      <c r="I12" s="139"/>
      <c r="J12" s="139"/>
      <c r="K12" s="139"/>
      <c r="L12" s="140"/>
    </row>
    <row r="13" ht="15.75" customHeight="1">
      <c r="A13" s="153">
        <v>3500.0</v>
      </c>
      <c r="B13" s="152"/>
      <c r="C13" s="149"/>
      <c r="D13" s="148" t="s">
        <v>888</v>
      </c>
      <c r="E13" s="153">
        <v>1000.0</v>
      </c>
      <c r="F13" s="147"/>
      <c r="G13" s="155"/>
      <c r="H13" s="150" t="s">
        <v>890</v>
      </c>
      <c r="I13" s="139"/>
      <c r="J13" s="154" t="s">
        <v>891</v>
      </c>
      <c r="K13" s="151">
        <f>K11-K10</f>
        <v>0</v>
      </c>
      <c r="L13" s="140"/>
    </row>
    <row r="14" ht="15.75" customHeight="1">
      <c r="A14" s="153">
        <v>560.0</v>
      </c>
      <c r="B14" s="152"/>
      <c r="C14" s="149"/>
      <c r="D14" s="148" t="s">
        <v>892</v>
      </c>
      <c r="E14" s="153">
        <v>300.0</v>
      </c>
      <c r="F14" s="147"/>
      <c r="G14" s="155"/>
      <c r="H14" s="148" t="s">
        <v>893</v>
      </c>
      <c r="I14" s="139"/>
      <c r="J14" s="139"/>
      <c r="K14" s="139"/>
      <c r="L14" s="140"/>
    </row>
    <row r="15" ht="15.75" customHeight="1">
      <c r="A15" s="153">
        <v>1000.0</v>
      </c>
      <c r="B15" s="152"/>
      <c r="C15" s="149"/>
      <c r="D15" s="148" t="s">
        <v>894</v>
      </c>
      <c r="E15" s="153">
        <v>3500.0</v>
      </c>
      <c r="F15" s="147"/>
      <c r="G15" s="155"/>
      <c r="H15" s="148" t="s">
        <v>895</v>
      </c>
      <c r="I15" s="139"/>
      <c r="J15" s="139"/>
      <c r="K15" s="139"/>
      <c r="L15" s="140"/>
    </row>
    <row r="16" ht="15.75" customHeight="1">
      <c r="A16" s="152">
        <v>300.0</v>
      </c>
      <c r="B16" s="152"/>
      <c r="C16" s="149"/>
      <c r="D16" s="148" t="s">
        <v>896</v>
      </c>
      <c r="E16" s="153">
        <v>1500.0</v>
      </c>
      <c r="F16" s="147"/>
      <c r="G16" s="155"/>
      <c r="H16" s="148" t="s">
        <v>897</v>
      </c>
      <c r="I16" s="139"/>
      <c r="J16" s="139"/>
      <c r="K16" s="139"/>
      <c r="L16" s="140"/>
    </row>
    <row r="17" ht="15.75" customHeight="1">
      <c r="A17" s="153">
        <v>300.0</v>
      </c>
      <c r="B17" s="152"/>
      <c r="C17" s="149"/>
      <c r="D17" s="148" t="s">
        <v>873</v>
      </c>
      <c r="E17" s="153">
        <v>300.0</v>
      </c>
      <c r="F17" s="147"/>
      <c r="G17" s="155"/>
      <c r="H17" s="148" t="s">
        <v>898</v>
      </c>
      <c r="I17" s="139"/>
      <c r="J17" s="139"/>
      <c r="K17" s="139"/>
      <c r="L17" s="140"/>
    </row>
    <row r="18" ht="15.75" customHeight="1">
      <c r="A18" s="153">
        <v>1500.0</v>
      </c>
      <c r="B18" s="147"/>
      <c r="C18" s="149"/>
      <c r="D18" s="148" t="s">
        <v>873</v>
      </c>
      <c r="E18" s="153">
        <v>400.0</v>
      </c>
      <c r="F18" s="147"/>
      <c r="G18" s="155"/>
      <c r="H18" s="148" t="s">
        <v>899</v>
      </c>
      <c r="I18" s="139"/>
      <c r="J18" s="139"/>
      <c r="K18" s="139"/>
      <c r="L18" s="140"/>
    </row>
    <row r="19" ht="15.75" customHeight="1">
      <c r="A19" s="153">
        <v>1500.0</v>
      </c>
      <c r="B19" s="152"/>
      <c r="C19" s="149"/>
      <c r="D19" s="148" t="s">
        <v>900</v>
      </c>
      <c r="E19" s="153">
        <v>500.0</v>
      </c>
      <c r="F19" s="147"/>
      <c r="G19" s="155"/>
      <c r="H19" s="148" t="s">
        <v>901</v>
      </c>
      <c r="I19" s="139"/>
      <c r="J19" s="139"/>
      <c r="K19" s="139"/>
      <c r="L19" s="140"/>
    </row>
    <row r="20" ht="15.75" customHeight="1">
      <c r="A20" s="153">
        <v>700.0</v>
      </c>
      <c r="B20" s="152"/>
      <c r="C20" s="149"/>
      <c r="D20" s="148" t="s">
        <v>489</v>
      </c>
      <c r="E20" s="153">
        <v>2400.0</v>
      </c>
      <c r="F20" s="147"/>
      <c r="G20" s="149"/>
      <c r="H20" s="148" t="s">
        <v>902</v>
      </c>
      <c r="I20" s="139"/>
      <c r="J20" s="139"/>
      <c r="K20" s="139"/>
      <c r="L20" s="140"/>
    </row>
    <row r="21" ht="15.75" customHeight="1">
      <c r="A21" s="153">
        <v>3500.0</v>
      </c>
      <c r="B21" s="152"/>
      <c r="C21" s="149"/>
      <c r="D21" s="148" t="s">
        <v>903</v>
      </c>
      <c r="E21" s="153">
        <v>325.0</v>
      </c>
      <c r="F21" s="147"/>
      <c r="G21" s="148"/>
      <c r="H21" s="148" t="s">
        <v>904</v>
      </c>
      <c r="I21" s="139"/>
      <c r="J21" s="139"/>
      <c r="K21" s="139"/>
      <c r="L21" s="140"/>
    </row>
    <row r="22" ht="15.75" customHeight="1">
      <c r="A22" s="153">
        <v>500.0</v>
      </c>
      <c r="B22" s="152"/>
      <c r="C22" s="149"/>
      <c r="D22" s="150" t="s">
        <v>903</v>
      </c>
      <c r="E22" s="153">
        <v>1100.0</v>
      </c>
      <c r="F22" s="147"/>
      <c r="G22" s="155"/>
      <c r="H22" s="148" t="s">
        <v>905</v>
      </c>
      <c r="I22" s="139"/>
      <c r="J22" s="139"/>
      <c r="K22" s="139"/>
      <c r="L22" s="140"/>
    </row>
    <row r="23" ht="15.75" customHeight="1">
      <c r="A23" s="153">
        <v>13450.0</v>
      </c>
      <c r="B23" s="152"/>
      <c r="C23" s="149"/>
      <c r="D23" s="148" t="s">
        <v>906</v>
      </c>
      <c r="E23" s="153">
        <v>500.0</v>
      </c>
      <c r="F23" s="147"/>
      <c r="G23" s="155"/>
      <c r="H23" s="148" t="s">
        <v>907</v>
      </c>
      <c r="I23" s="139"/>
      <c r="J23" s="139"/>
      <c r="K23" s="139"/>
      <c r="L23" s="140"/>
    </row>
    <row r="24" ht="15.75" customHeight="1">
      <c r="A24" s="153">
        <v>325.0</v>
      </c>
      <c r="B24" s="152"/>
      <c r="C24" s="149"/>
      <c r="D24" s="148" t="s">
        <v>908</v>
      </c>
      <c r="E24" s="153">
        <v>325.0</v>
      </c>
      <c r="F24" s="147"/>
      <c r="G24" s="149"/>
      <c r="H24" s="150" t="s">
        <v>909</v>
      </c>
      <c r="I24" s="139"/>
      <c r="J24" s="139"/>
      <c r="K24" s="139"/>
      <c r="L24" s="140"/>
    </row>
    <row r="25" ht="15.75" customHeight="1">
      <c r="A25" s="153">
        <v>500.0</v>
      </c>
      <c r="B25" s="156"/>
      <c r="C25" s="149"/>
      <c r="D25" s="148" t="s">
        <v>873</v>
      </c>
      <c r="E25" s="153">
        <v>1600.0</v>
      </c>
      <c r="F25" s="147"/>
      <c r="G25" s="155"/>
      <c r="H25" s="148" t="s">
        <v>910</v>
      </c>
      <c r="I25" s="139"/>
      <c r="J25" s="139"/>
      <c r="K25" s="139"/>
      <c r="L25" s="140"/>
    </row>
    <row r="26" ht="15.75" customHeight="1">
      <c r="A26" s="153">
        <v>1200.0</v>
      </c>
      <c r="B26" s="156"/>
      <c r="C26" s="149"/>
      <c r="D26" s="148" t="s">
        <v>873</v>
      </c>
      <c r="E26" s="153">
        <v>1600.0</v>
      </c>
      <c r="F26" s="147"/>
      <c r="G26" s="155"/>
      <c r="H26" s="148" t="s">
        <v>911</v>
      </c>
      <c r="I26" s="139"/>
      <c r="J26" s="139"/>
      <c r="K26" s="139"/>
      <c r="L26" s="140"/>
    </row>
    <row r="27" ht="15.75" customHeight="1">
      <c r="A27" s="153">
        <v>500.0</v>
      </c>
      <c r="B27" s="156"/>
      <c r="C27" s="149"/>
      <c r="D27" s="148" t="s">
        <v>873</v>
      </c>
      <c r="E27" s="153">
        <v>1600.0</v>
      </c>
      <c r="F27" s="147"/>
      <c r="G27" s="155"/>
      <c r="H27" s="148" t="s">
        <v>912</v>
      </c>
      <c r="I27" s="139"/>
      <c r="J27" s="139"/>
      <c r="K27" s="139"/>
      <c r="L27" s="140"/>
    </row>
    <row r="28" ht="15.75" customHeight="1">
      <c r="A28" s="153">
        <v>50.0</v>
      </c>
      <c r="B28" s="156"/>
      <c r="C28" s="149"/>
      <c r="D28" s="148" t="s">
        <v>913</v>
      </c>
      <c r="E28" s="153">
        <v>1600.0</v>
      </c>
      <c r="F28" s="147"/>
      <c r="G28" s="155"/>
      <c r="H28" s="148" t="s">
        <v>914</v>
      </c>
      <c r="I28" s="139"/>
      <c r="J28" s="139"/>
      <c r="K28" s="139"/>
      <c r="L28" s="140"/>
    </row>
    <row r="29" ht="15.75" customHeight="1">
      <c r="A29" s="153"/>
      <c r="B29" s="153">
        <v>2500.0</v>
      </c>
      <c r="C29" s="149"/>
      <c r="D29" s="148" t="s">
        <v>915</v>
      </c>
      <c r="E29" s="153">
        <v>1600.0</v>
      </c>
      <c r="F29" s="147"/>
      <c r="G29" s="155"/>
      <c r="H29" s="148" t="s">
        <v>916</v>
      </c>
      <c r="I29" s="139"/>
      <c r="J29" s="139"/>
      <c r="K29" s="139"/>
      <c r="L29" s="140"/>
    </row>
    <row r="30" ht="15.75" customHeight="1">
      <c r="A30" s="153">
        <v>970.0</v>
      </c>
      <c r="B30" s="156"/>
      <c r="C30" s="149"/>
      <c r="D30" s="148" t="s">
        <v>917</v>
      </c>
      <c r="E30" s="153">
        <v>700.0</v>
      </c>
      <c r="F30" s="147"/>
      <c r="G30" s="148"/>
      <c r="H30" s="148" t="s">
        <v>918</v>
      </c>
      <c r="I30" s="139"/>
      <c r="J30" s="139"/>
      <c r="K30" s="139"/>
      <c r="L30" s="140"/>
    </row>
    <row r="31" ht="15.75" customHeight="1">
      <c r="A31" s="153"/>
      <c r="B31" s="153">
        <v>2600.0</v>
      </c>
      <c r="C31" s="149"/>
      <c r="D31" s="148" t="s">
        <v>919</v>
      </c>
      <c r="E31" s="153">
        <v>1500.0</v>
      </c>
      <c r="F31" s="147"/>
      <c r="G31" s="149"/>
      <c r="H31" s="150" t="s">
        <v>920</v>
      </c>
      <c r="I31" s="139"/>
      <c r="J31" s="139"/>
      <c r="K31" s="139"/>
      <c r="L31" s="140"/>
    </row>
    <row r="32" ht="15.75" customHeight="1">
      <c r="A32" s="157"/>
      <c r="B32" s="153">
        <v>2400.0</v>
      </c>
      <c r="C32" s="149"/>
      <c r="D32" s="148" t="s">
        <v>921</v>
      </c>
      <c r="E32" s="153">
        <v>700.0</v>
      </c>
      <c r="F32" s="147"/>
      <c r="G32" s="155"/>
      <c r="H32" s="148" t="s">
        <v>922</v>
      </c>
      <c r="I32" s="139"/>
      <c r="J32" s="139"/>
      <c r="K32" s="139"/>
      <c r="L32" s="140"/>
    </row>
    <row r="33" ht="15.75" customHeight="1">
      <c r="A33" s="156"/>
      <c r="B33" s="153">
        <v>2400.0</v>
      </c>
      <c r="C33" s="149"/>
      <c r="D33" s="148" t="s">
        <v>923</v>
      </c>
      <c r="E33" s="153">
        <v>1050.0</v>
      </c>
      <c r="F33" s="147"/>
      <c r="G33" s="155"/>
      <c r="H33" s="148" t="s">
        <v>890</v>
      </c>
      <c r="I33" s="139"/>
      <c r="J33" s="139"/>
      <c r="K33" s="139"/>
      <c r="L33" s="140"/>
    </row>
    <row r="34" ht="15.75" customHeight="1">
      <c r="A34" s="156"/>
      <c r="B34" s="153">
        <v>2400.0</v>
      </c>
      <c r="C34" s="149"/>
      <c r="D34" s="148" t="s">
        <v>924</v>
      </c>
      <c r="E34" s="153"/>
      <c r="F34" s="153">
        <v>1750.0</v>
      </c>
      <c r="G34" s="155"/>
      <c r="H34" s="148" t="s">
        <v>925</v>
      </c>
      <c r="I34" s="139"/>
      <c r="J34" s="139"/>
      <c r="K34" s="139"/>
      <c r="L34" s="140"/>
    </row>
    <row r="35" ht="15.75" customHeight="1">
      <c r="A35" s="156"/>
      <c r="B35" s="153">
        <v>2150.0</v>
      </c>
      <c r="C35" s="149"/>
      <c r="D35" s="148" t="s">
        <v>926</v>
      </c>
      <c r="E35" s="153"/>
      <c r="F35" s="153">
        <v>200.0</v>
      </c>
      <c r="G35" s="155"/>
      <c r="H35" s="148" t="s">
        <v>927</v>
      </c>
      <c r="I35" s="139"/>
      <c r="J35" s="139"/>
      <c r="K35" s="139"/>
      <c r="L35" s="140"/>
    </row>
    <row r="36" ht="15.75" customHeight="1">
      <c r="A36" s="153">
        <v>50.0</v>
      </c>
      <c r="B36" s="156"/>
      <c r="C36" s="149"/>
      <c r="D36" s="148" t="s">
        <v>928</v>
      </c>
      <c r="E36" s="153"/>
      <c r="F36" s="153">
        <v>400.0</v>
      </c>
      <c r="G36" s="155"/>
      <c r="H36" s="148" t="s">
        <v>929</v>
      </c>
      <c r="I36" s="139"/>
      <c r="J36" s="139"/>
      <c r="K36" s="139"/>
      <c r="L36" s="140"/>
    </row>
    <row r="37" ht="15.75" customHeight="1">
      <c r="A37" s="153">
        <v>13430.0</v>
      </c>
      <c r="B37" s="147"/>
      <c r="C37" s="149"/>
      <c r="D37" s="150" t="s">
        <v>930</v>
      </c>
      <c r="E37" s="146"/>
      <c r="F37" s="153">
        <v>150.0</v>
      </c>
      <c r="G37" s="149"/>
      <c r="H37" s="150" t="s">
        <v>931</v>
      </c>
      <c r="I37" s="140"/>
      <c r="J37" s="140"/>
      <c r="K37" s="140"/>
      <c r="L37" s="140"/>
    </row>
    <row r="38" ht="15.75" customHeight="1">
      <c r="A38" s="153">
        <v>1920.0</v>
      </c>
      <c r="B38" s="53"/>
      <c r="C38" s="149"/>
      <c r="D38" s="150" t="s">
        <v>927</v>
      </c>
      <c r="E38" s="146">
        <v>300.0</v>
      </c>
      <c r="F38" s="147"/>
      <c r="G38" s="149"/>
      <c r="H38" s="150" t="s">
        <v>932</v>
      </c>
      <c r="I38" s="140"/>
      <c r="J38" s="140"/>
      <c r="K38" s="140"/>
      <c r="L38" s="140"/>
    </row>
    <row r="39" ht="15.75" customHeight="1">
      <c r="A39" s="53"/>
      <c r="B39" s="153">
        <v>2600.0</v>
      </c>
      <c r="C39" s="150" t="s">
        <v>933</v>
      </c>
      <c r="D39" s="148" t="s">
        <v>934</v>
      </c>
      <c r="E39" s="146">
        <v>400.0</v>
      </c>
      <c r="F39" s="147"/>
      <c r="G39" s="149"/>
      <c r="H39" s="148" t="s">
        <v>935</v>
      </c>
      <c r="I39" s="140"/>
      <c r="J39" s="140"/>
      <c r="K39" s="140"/>
      <c r="L39" s="140"/>
    </row>
    <row r="40" ht="15.75" customHeight="1">
      <c r="A40" s="147"/>
      <c r="B40" s="153">
        <v>3050.0</v>
      </c>
      <c r="C40" s="150" t="s">
        <v>936</v>
      </c>
      <c r="D40" s="148" t="s">
        <v>937</v>
      </c>
      <c r="E40" s="153"/>
      <c r="F40" s="146">
        <v>400.0</v>
      </c>
      <c r="G40" s="149"/>
      <c r="H40" s="148" t="s">
        <v>938</v>
      </c>
      <c r="I40" s="140"/>
      <c r="J40" s="140"/>
      <c r="K40" s="140"/>
      <c r="L40" s="140"/>
    </row>
    <row r="41" ht="15.75" customHeight="1">
      <c r="A41" s="147"/>
      <c r="B41" s="153">
        <v>3300.0</v>
      </c>
      <c r="C41" s="150" t="s">
        <v>939</v>
      </c>
      <c r="D41" s="150" t="s">
        <v>940</v>
      </c>
      <c r="E41" s="146"/>
      <c r="F41" s="153">
        <v>1750.0</v>
      </c>
      <c r="G41" s="155"/>
      <c r="H41" s="148" t="s">
        <v>941</v>
      </c>
      <c r="I41" s="140"/>
      <c r="J41" s="140"/>
      <c r="K41" s="140"/>
      <c r="L41" s="140"/>
    </row>
    <row r="42" ht="15.75" customHeight="1">
      <c r="A42" s="146">
        <v>2000.0</v>
      </c>
      <c r="B42" s="147"/>
      <c r="C42" s="150" t="s">
        <v>942</v>
      </c>
      <c r="D42" s="150" t="s">
        <v>943</v>
      </c>
      <c r="E42" s="146"/>
      <c r="F42" s="153">
        <v>50.0</v>
      </c>
      <c r="G42" s="149"/>
      <c r="H42" s="150" t="s">
        <v>944</v>
      </c>
      <c r="I42" s="140"/>
      <c r="J42" s="140"/>
      <c r="K42" s="140"/>
      <c r="L42" s="140"/>
    </row>
    <row r="43" ht="15.75" customHeight="1">
      <c r="A43" s="146">
        <v>2000.0</v>
      </c>
      <c r="B43" s="147"/>
      <c r="C43" s="150" t="s">
        <v>945</v>
      </c>
      <c r="D43" s="150" t="s">
        <v>943</v>
      </c>
      <c r="E43" s="146"/>
      <c r="F43" s="153">
        <v>50.0</v>
      </c>
      <c r="G43" s="149"/>
      <c r="H43" s="150" t="s">
        <v>946</v>
      </c>
      <c r="I43" s="140"/>
      <c r="J43" s="140"/>
      <c r="K43" s="140"/>
      <c r="L43" s="140"/>
    </row>
    <row r="44" ht="15.75" customHeight="1">
      <c r="A44" s="147"/>
      <c r="B44" s="153">
        <v>3700.0</v>
      </c>
      <c r="C44" s="150" t="s">
        <v>947</v>
      </c>
      <c r="D44" s="150" t="s">
        <v>948</v>
      </c>
      <c r="E44" s="146"/>
      <c r="F44" s="153">
        <v>100.0</v>
      </c>
      <c r="G44" s="149"/>
      <c r="H44" s="150" t="s">
        <v>949</v>
      </c>
      <c r="I44" s="140"/>
      <c r="J44" s="140"/>
      <c r="K44" s="140"/>
      <c r="L44" s="140"/>
    </row>
    <row r="45" ht="15.75" customHeight="1">
      <c r="A45" s="146">
        <v>970.0</v>
      </c>
      <c r="B45" s="53"/>
      <c r="C45" s="45" t="s">
        <v>950</v>
      </c>
      <c r="D45" s="150" t="s">
        <v>951</v>
      </c>
      <c r="E45" s="146"/>
      <c r="F45" s="153">
        <v>1750.0</v>
      </c>
      <c r="G45" s="149"/>
      <c r="H45" s="150" t="s">
        <v>952</v>
      </c>
      <c r="I45" s="140"/>
      <c r="J45" s="140"/>
      <c r="K45" s="140"/>
      <c r="L45" s="140"/>
    </row>
    <row r="46" ht="15.75" customHeight="1">
      <c r="A46" s="146">
        <v>1000.0</v>
      </c>
      <c r="B46" s="158">
        <v>2400.0</v>
      </c>
      <c r="C46" s="46"/>
      <c r="D46" s="45" t="s">
        <v>953</v>
      </c>
      <c r="E46" s="146"/>
      <c r="F46" s="153">
        <v>450.0</v>
      </c>
      <c r="G46" s="149"/>
      <c r="H46" s="150" t="s">
        <v>890</v>
      </c>
      <c r="I46" s="140"/>
      <c r="J46" s="140"/>
      <c r="K46" s="140"/>
      <c r="L46" s="140"/>
    </row>
    <row r="47" ht="15.75" customHeight="1">
      <c r="A47" s="158">
        <v>19050.0</v>
      </c>
      <c r="C47" s="46"/>
      <c r="D47" s="45" t="s">
        <v>954</v>
      </c>
      <c r="E47" s="146"/>
      <c r="F47" s="153">
        <v>1750.0</v>
      </c>
      <c r="G47" s="149"/>
      <c r="H47" s="150" t="s">
        <v>955</v>
      </c>
      <c r="I47" s="140"/>
      <c r="J47" s="140"/>
      <c r="K47" s="140"/>
      <c r="L47" s="140"/>
    </row>
    <row r="48" ht="15.75" customHeight="1">
      <c r="A48" s="147"/>
      <c r="B48" s="158">
        <v>2200.0</v>
      </c>
      <c r="C48" s="149"/>
      <c r="D48" s="150" t="s">
        <v>956</v>
      </c>
      <c r="E48" s="146"/>
      <c r="F48" s="153">
        <v>250.0</v>
      </c>
      <c r="G48" s="149"/>
      <c r="H48" s="150" t="s">
        <v>890</v>
      </c>
      <c r="I48" s="140"/>
      <c r="J48" s="140"/>
      <c r="K48" s="140"/>
      <c r="L48" s="140"/>
    </row>
    <row r="49" ht="15.75" customHeight="1">
      <c r="A49" s="147"/>
      <c r="B49" s="158">
        <v>2400.0</v>
      </c>
      <c r="C49" s="149"/>
      <c r="D49" s="150" t="s">
        <v>957</v>
      </c>
      <c r="E49" s="146"/>
      <c r="F49" s="153">
        <v>2000.0</v>
      </c>
      <c r="G49" s="149"/>
      <c r="H49" s="150" t="s">
        <v>958</v>
      </c>
      <c r="I49" s="140"/>
      <c r="J49" s="140"/>
      <c r="K49" s="140"/>
      <c r="L49" s="140"/>
    </row>
    <row r="50" ht="15.75" customHeight="1">
      <c r="A50" s="147"/>
      <c r="B50" s="158">
        <v>2900.0</v>
      </c>
      <c r="C50" s="149"/>
      <c r="D50" s="150" t="s">
        <v>959</v>
      </c>
      <c r="E50" s="146"/>
      <c r="F50" s="153">
        <v>1750.0</v>
      </c>
      <c r="G50" s="149"/>
      <c r="H50" s="150" t="s">
        <v>960</v>
      </c>
      <c r="I50" s="140"/>
      <c r="J50" s="140"/>
      <c r="K50" s="140"/>
      <c r="L50" s="140"/>
    </row>
    <row r="51" ht="15.75" customHeight="1">
      <c r="A51" s="146">
        <v>2000.0</v>
      </c>
      <c r="B51" s="147"/>
      <c r="C51" s="150" t="s">
        <v>945</v>
      </c>
      <c r="D51" s="150" t="s">
        <v>943</v>
      </c>
      <c r="E51" s="146"/>
      <c r="F51" s="153">
        <v>300.0</v>
      </c>
      <c r="G51" s="149"/>
      <c r="H51" s="150" t="s">
        <v>929</v>
      </c>
      <c r="I51" s="140"/>
      <c r="J51" s="140"/>
      <c r="K51" s="140"/>
      <c r="L51" s="140"/>
    </row>
    <row r="52" ht="15.75" customHeight="1">
      <c r="A52" s="146">
        <v>4000.0</v>
      </c>
      <c r="B52" s="147"/>
      <c r="C52" s="150" t="s">
        <v>961</v>
      </c>
      <c r="D52" s="150" t="s">
        <v>943</v>
      </c>
      <c r="E52" s="146">
        <v>3000.0</v>
      </c>
      <c r="F52" s="147"/>
      <c r="G52" s="149"/>
      <c r="H52" s="150" t="s">
        <v>962</v>
      </c>
      <c r="I52" s="140"/>
      <c r="J52" s="140"/>
      <c r="K52" s="140"/>
      <c r="L52" s="140"/>
    </row>
    <row r="53" ht="15.75" customHeight="1">
      <c r="A53" s="158">
        <v>5000.0</v>
      </c>
      <c r="B53" s="53"/>
      <c r="C53" s="45" t="s">
        <v>963</v>
      </c>
      <c r="D53" s="150" t="s">
        <v>943</v>
      </c>
      <c r="E53" s="146">
        <v>11000.0</v>
      </c>
      <c r="F53" s="147"/>
      <c r="G53" s="149"/>
      <c r="H53" s="150" t="s">
        <v>964</v>
      </c>
      <c r="I53" s="140"/>
      <c r="J53" s="140"/>
      <c r="K53" s="140"/>
      <c r="L53" s="140"/>
    </row>
    <row r="54" ht="15.75" customHeight="1">
      <c r="A54" s="158">
        <v>5000.0</v>
      </c>
      <c r="B54" s="53"/>
      <c r="C54" s="45" t="s">
        <v>965</v>
      </c>
      <c r="D54" s="150" t="s">
        <v>943</v>
      </c>
      <c r="E54" s="146"/>
      <c r="F54" s="153">
        <v>400.0</v>
      </c>
      <c r="G54" s="149"/>
      <c r="H54" s="150" t="s">
        <v>927</v>
      </c>
      <c r="I54" s="140"/>
      <c r="J54" s="140"/>
      <c r="K54" s="140"/>
      <c r="L54" s="140"/>
    </row>
    <row r="55" ht="15.75" customHeight="1">
      <c r="A55" s="158">
        <v>5000.0</v>
      </c>
      <c r="B55" s="53"/>
      <c r="C55" s="45" t="s">
        <v>966</v>
      </c>
      <c r="D55" s="150" t="s">
        <v>943</v>
      </c>
      <c r="E55" s="153">
        <v>2000.0</v>
      </c>
      <c r="F55" s="147"/>
      <c r="G55" s="149"/>
      <c r="H55" s="150" t="s">
        <v>967</v>
      </c>
      <c r="I55" s="140"/>
      <c r="J55" s="140"/>
      <c r="K55" s="140"/>
      <c r="L55" s="140"/>
    </row>
    <row r="56" ht="15.75" customHeight="1">
      <c r="A56" s="146">
        <v>3000.0</v>
      </c>
      <c r="B56" s="147"/>
      <c r="C56" s="150" t="s">
        <v>966</v>
      </c>
      <c r="D56" s="150" t="s">
        <v>943</v>
      </c>
      <c r="E56" s="153">
        <v>500.0</v>
      </c>
      <c r="F56" s="53"/>
      <c r="G56" s="149"/>
      <c r="H56" s="150" t="s">
        <v>968</v>
      </c>
      <c r="I56" s="140"/>
      <c r="J56" s="140"/>
      <c r="K56" s="140"/>
      <c r="L56" s="140"/>
    </row>
    <row r="57" ht="15.75" customHeight="1">
      <c r="A57" s="146">
        <v>5000.0</v>
      </c>
      <c r="B57" s="147"/>
      <c r="C57" s="150" t="s">
        <v>969</v>
      </c>
      <c r="D57" s="150" t="s">
        <v>943</v>
      </c>
      <c r="E57" s="153">
        <v>1400.0</v>
      </c>
      <c r="F57" s="146"/>
      <c r="G57" s="149"/>
      <c r="H57" s="150" t="s">
        <v>970</v>
      </c>
      <c r="I57" s="140"/>
      <c r="J57" s="140"/>
      <c r="K57" s="140"/>
      <c r="L57" s="140"/>
    </row>
    <row r="58" ht="15.75" customHeight="1">
      <c r="A58" s="146">
        <v>2000.0</v>
      </c>
      <c r="B58" s="147"/>
      <c r="C58" s="150" t="s">
        <v>971</v>
      </c>
      <c r="D58" s="150" t="s">
        <v>943</v>
      </c>
      <c r="E58" s="53"/>
      <c r="F58" s="153">
        <v>2250.0</v>
      </c>
      <c r="G58" s="149"/>
      <c r="H58" s="150" t="s">
        <v>972</v>
      </c>
      <c r="I58" s="140"/>
      <c r="J58" s="140"/>
      <c r="K58" s="140"/>
      <c r="L58" s="140"/>
    </row>
    <row r="59" ht="15.75" customHeight="1">
      <c r="A59" s="146">
        <v>5000.0</v>
      </c>
      <c r="B59" s="147"/>
      <c r="C59" s="150" t="s">
        <v>973</v>
      </c>
      <c r="D59" s="150" t="s">
        <v>943</v>
      </c>
      <c r="E59" s="146"/>
      <c r="F59" s="153">
        <v>1300.0</v>
      </c>
      <c r="G59" s="149"/>
      <c r="H59" s="150" t="s">
        <v>974</v>
      </c>
      <c r="I59" s="140"/>
      <c r="J59" s="140"/>
      <c r="K59" s="140"/>
      <c r="L59" s="140"/>
    </row>
    <row r="60" ht="15.75" customHeight="1">
      <c r="A60" s="146">
        <v>6500.0</v>
      </c>
      <c r="B60" s="147"/>
      <c r="C60" s="150" t="s">
        <v>975</v>
      </c>
      <c r="D60" s="150" t="s">
        <v>943</v>
      </c>
      <c r="E60" s="146">
        <v>500.0</v>
      </c>
      <c r="F60" s="147"/>
      <c r="G60" s="149"/>
      <c r="H60" s="150" t="s">
        <v>976</v>
      </c>
      <c r="I60" s="140"/>
      <c r="J60" s="140"/>
      <c r="K60" s="140"/>
      <c r="L60" s="140"/>
    </row>
    <row r="61" ht="15.75" customHeight="1">
      <c r="A61" s="158">
        <v>1550.0</v>
      </c>
      <c r="B61" s="53"/>
      <c r="C61" s="45" t="s">
        <v>977</v>
      </c>
      <c r="D61" s="150" t="s">
        <v>943</v>
      </c>
      <c r="E61" s="146"/>
      <c r="F61" s="153">
        <v>2500.0</v>
      </c>
      <c r="G61" s="149"/>
      <c r="H61" s="150" t="s">
        <v>978</v>
      </c>
      <c r="I61" s="140"/>
      <c r="J61" s="140"/>
      <c r="K61" s="140"/>
      <c r="L61" s="140"/>
    </row>
    <row r="62" ht="15.75" customHeight="1">
      <c r="A62" s="158">
        <v>5000.0</v>
      </c>
      <c r="B62" s="53"/>
      <c r="C62" s="45" t="s">
        <v>979</v>
      </c>
      <c r="D62" s="150" t="s">
        <v>943</v>
      </c>
      <c r="E62" s="146"/>
      <c r="F62" s="153">
        <v>100.0</v>
      </c>
      <c r="G62" s="149"/>
      <c r="H62" s="150" t="s">
        <v>980</v>
      </c>
      <c r="I62" s="140"/>
      <c r="J62" s="140"/>
      <c r="K62" s="140"/>
      <c r="L62" s="140"/>
    </row>
    <row r="63" ht="15.75" customHeight="1">
      <c r="A63" s="158">
        <v>4000.0</v>
      </c>
      <c r="B63" s="53"/>
      <c r="C63" s="45" t="s">
        <v>979</v>
      </c>
      <c r="D63" s="150" t="s">
        <v>943</v>
      </c>
      <c r="E63" s="146"/>
      <c r="F63" s="153">
        <v>150.0</v>
      </c>
      <c r="G63" s="149"/>
      <c r="H63" s="150" t="s">
        <v>981</v>
      </c>
      <c r="I63" s="140"/>
      <c r="J63" s="140"/>
      <c r="K63" s="140"/>
      <c r="L63" s="140"/>
    </row>
    <row r="64" ht="15.75" customHeight="1">
      <c r="A64" s="158">
        <v>1500.0</v>
      </c>
      <c r="B64" s="53"/>
      <c r="C64" s="45" t="s">
        <v>982</v>
      </c>
      <c r="D64" s="150" t="s">
        <v>943</v>
      </c>
      <c r="E64" s="146">
        <v>250.0</v>
      </c>
      <c r="F64" s="147"/>
      <c r="G64" s="149"/>
      <c r="H64" s="150" t="s">
        <v>983</v>
      </c>
      <c r="I64" s="140"/>
      <c r="J64" s="140"/>
      <c r="K64" s="140"/>
      <c r="L64" s="140"/>
    </row>
    <row r="65" ht="15.75" customHeight="1">
      <c r="A65" s="158">
        <v>5000.0</v>
      </c>
      <c r="B65" s="53"/>
      <c r="C65" s="45" t="s">
        <v>984</v>
      </c>
      <c r="D65" s="150" t="s">
        <v>943</v>
      </c>
      <c r="E65" s="146"/>
      <c r="F65" s="153">
        <v>2000.0</v>
      </c>
      <c r="G65" s="149"/>
      <c r="H65" s="150" t="s">
        <v>985</v>
      </c>
      <c r="I65" s="140"/>
      <c r="J65" s="140"/>
      <c r="K65" s="140"/>
      <c r="L65" s="140"/>
    </row>
    <row r="66" ht="15.75" customHeight="1">
      <c r="A66" s="158">
        <v>5000.0</v>
      </c>
      <c r="B66" s="53"/>
      <c r="C66" s="45" t="s">
        <v>986</v>
      </c>
      <c r="D66" s="150" t="s">
        <v>943</v>
      </c>
      <c r="E66" s="146"/>
      <c r="F66" s="153">
        <v>350.0</v>
      </c>
      <c r="G66" s="149"/>
      <c r="H66" s="150" t="s">
        <v>987</v>
      </c>
      <c r="I66" s="140"/>
      <c r="J66" s="140"/>
      <c r="K66" s="140"/>
      <c r="L66" s="140"/>
    </row>
    <row r="67" ht="15.75" customHeight="1">
      <c r="A67" s="158">
        <v>3000.0</v>
      </c>
      <c r="B67" s="53"/>
      <c r="C67" s="45" t="s">
        <v>988</v>
      </c>
      <c r="D67" s="150" t="s">
        <v>943</v>
      </c>
      <c r="E67" s="146"/>
      <c r="F67" s="153">
        <v>700.0</v>
      </c>
      <c r="G67" s="149"/>
      <c r="H67" s="150" t="s">
        <v>989</v>
      </c>
      <c r="I67" s="140"/>
      <c r="J67" s="140"/>
      <c r="K67" s="140"/>
      <c r="L67" s="140"/>
    </row>
    <row r="68" ht="15.75" customHeight="1">
      <c r="A68" s="146">
        <v>5000.0</v>
      </c>
      <c r="B68" s="147"/>
      <c r="C68" s="150" t="s">
        <v>990</v>
      </c>
      <c r="D68" s="150" t="s">
        <v>943</v>
      </c>
      <c r="E68" s="146">
        <v>300.0</v>
      </c>
      <c r="F68" s="147"/>
      <c r="G68" s="149"/>
      <c r="H68" s="150" t="s">
        <v>991</v>
      </c>
      <c r="I68" s="140"/>
      <c r="J68" s="140"/>
      <c r="K68" s="140"/>
      <c r="L68" s="140"/>
    </row>
    <row r="69" ht="15.75" customHeight="1">
      <c r="A69" s="146">
        <v>1000.0</v>
      </c>
      <c r="B69" s="147"/>
      <c r="C69" s="150" t="s">
        <v>992</v>
      </c>
      <c r="D69" s="150" t="s">
        <v>943</v>
      </c>
      <c r="E69" s="146">
        <v>150.0</v>
      </c>
      <c r="F69" s="147"/>
      <c r="G69" s="149"/>
      <c r="H69" s="159" t="s">
        <v>993</v>
      </c>
      <c r="I69" s="140"/>
      <c r="J69" s="140"/>
      <c r="K69" s="140"/>
      <c r="L69" s="140"/>
    </row>
    <row r="70" ht="15.75" customHeight="1">
      <c r="A70" s="53"/>
      <c r="B70" s="158">
        <v>150.0</v>
      </c>
      <c r="C70" s="150" t="s">
        <v>994</v>
      </c>
      <c r="D70" s="149"/>
      <c r="E70" s="146">
        <v>500.0</v>
      </c>
      <c r="F70" s="147"/>
      <c r="G70" s="149"/>
      <c r="H70" s="150" t="s">
        <v>995</v>
      </c>
      <c r="I70" s="140"/>
      <c r="J70" s="140"/>
      <c r="K70" s="140"/>
      <c r="L70" s="140"/>
    </row>
    <row r="71" ht="15.75" customHeight="1">
      <c r="A71" s="146">
        <v>1000.0</v>
      </c>
      <c r="B71" s="53"/>
      <c r="C71" s="46"/>
      <c r="D71" s="45" t="s">
        <v>996</v>
      </c>
      <c r="E71" s="146">
        <v>1400.0</v>
      </c>
      <c r="F71" s="147"/>
      <c r="G71" s="149"/>
      <c r="H71" s="150" t="s">
        <v>997</v>
      </c>
      <c r="I71" s="140"/>
      <c r="J71" s="140"/>
      <c r="K71" s="140"/>
      <c r="L71" s="140"/>
    </row>
    <row r="72" ht="15.75" customHeight="1">
      <c r="A72" s="146">
        <v>5000.0</v>
      </c>
      <c r="B72" s="53"/>
      <c r="C72" s="45" t="s">
        <v>998</v>
      </c>
      <c r="D72" s="150" t="s">
        <v>943</v>
      </c>
      <c r="E72" s="146">
        <v>2050.0</v>
      </c>
      <c r="F72" s="147"/>
      <c r="G72" s="149"/>
      <c r="H72" s="150" t="s">
        <v>999</v>
      </c>
      <c r="I72" s="140"/>
      <c r="J72" s="140"/>
      <c r="K72" s="140"/>
      <c r="L72" s="140"/>
    </row>
    <row r="73" ht="15.75" customHeight="1">
      <c r="A73" s="146">
        <v>1800.0</v>
      </c>
      <c r="B73" s="53"/>
      <c r="C73" s="45" t="s">
        <v>1000</v>
      </c>
      <c r="D73" s="150" t="s">
        <v>943</v>
      </c>
      <c r="E73" s="53"/>
      <c r="F73" s="153">
        <v>350.0</v>
      </c>
      <c r="G73" s="46"/>
      <c r="H73" s="45" t="s">
        <v>1001</v>
      </c>
      <c r="I73" s="140"/>
      <c r="J73" s="140"/>
      <c r="K73" s="140"/>
      <c r="L73" s="140"/>
    </row>
    <row r="74" ht="15.75" customHeight="1">
      <c r="A74" s="158">
        <v>4000.0</v>
      </c>
      <c r="B74" s="53"/>
      <c r="C74" s="45" t="s">
        <v>1002</v>
      </c>
      <c r="D74" s="45" t="s">
        <v>943</v>
      </c>
      <c r="E74" s="147"/>
      <c r="F74" s="153">
        <v>850.0</v>
      </c>
      <c r="G74" s="149"/>
      <c r="H74" s="150" t="s">
        <v>1003</v>
      </c>
      <c r="I74" s="140"/>
      <c r="J74" s="140"/>
      <c r="K74" s="140"/>
      <c r="L74" s="140"/>
    </row>
    <row r="75" ht="15.75" customHeight="1">
      <c r="A75" s="158">
        <v>7500.0</v>
      </c>
      <c r="B75" s="147"/>
      <c r="C75" s="150" t="s">
        <v>1004</v>
      </c>
      <c r="D75" s="150" t="s">
        <v>1005</v>
      </c>
      <c r="E75" s="147"/>
      <c r="F75" s="153">
        <v>2250.0</v>
      </c>
      <c r="G75" s="149"/>
      <c r="H75" s="150" t="s">
        <v>1006</v>
      </c>
      <c r="I75" s="140"/>
      <c r="J75" s="140"/>
      <c r="K75" s="140"/>
      <c r="L75" s="140"/>
    </row>
    <row r="76" ht="15.75" customHeight="1">
      <c r="A76" s="146"/>
      <c r="B76" s="147"/>
      <c r="C76" s="150"/>
      <c r="D76" s="150"/>
      <c r="E76" s="147"/>
      <c r="F76" s="153">
        <v>200.0</v>
      </c>
      <c r="G76" s="150" t="s">
        <v>950</v>
      </c>
      <c r="H76" s="150" t="s">
        <v>951</v>
      </c>
      <c r="I76" s="140"/>
      <c r="J76" s="140"/>
      <c r="K76" s="140"/>
      <c r="L76" s="140"/>
    </row>
    <row r="77" ht="15.75" customHeight="1">
      <c r="A77" s="146"/>
      <c r="B77" s="147"/>
      <c r="C77" s="150"/>
      <c r="D77" s="150"/>
      <c r="E77" s="53"/>
      <c r="F77" s="153">
        <v>450.0</v>
      </c>
      <c r="G77" s="46"/>
      <c r="H77" s="45" t="s">
        <v>1007</v>
      </c>
      <c r="I77" s="140"/>
      <c r="J77" s="140"/>
      <c r="K77" s="140"/>
      <c r="L77" s="140"/>
    </row>
    <row r="78" ht="15.75" customHeight="1">
      <c r="A78" s="160"/>
      <c r="B78" s="160"/>
      <c r="C78" s="140"/>
      <c r="D78" s="140"/>
      <c r="E78" s="160"/>
      <c r="F78" s="153">
        <v>500.0</v>
      </c>
      <c r="G78" s="140"/>
      <c r="H78" s="161" t="s">
        <v>1008</v>
      </c>
      <c r="I78" s="140"/>
      <c r="J78" s="140"/>
      <c r="K78" s="140"/>
      <c r="L78" s="140"/>
    </row>
    <row r="79" ht="15.75" customHeight="1">
      <c r="A79" s="160"/>
      <c r="B79" s="160"/>
      <c r="C79" s="140"/>
      <c r="D79" s="140"/>
      <c r="E79" s="160"/>
      <c r="F79" s="162">
        <v>2000.0</v>
      </c>
      <c r="G79" s="140"/>
      <c r="H79" s="161" t="s">
        <v>1009</v>
      </c>
      <c r="I79" s="140"/>
      <c r="J79" s="140"/>
      <c r="K79" s="140"/>
      <c r="L79" s="140"/>
    </row>
    <row r="80" ht="15.75" customHeight="1">
      <c r="A80" s="160"/>
      <c r="B80" s="160"/>
      <c r="C80" s="140"/>
      <c r="D80" s="140"/>
      <c r="E80" s="160"/>
      <c r="F80" s="162">
        <v>400.0</v>
      </c>
      <c r="G80" s="140"/>
      <c r="H80" s="161" t="s">
        <v>1010</v>
      </c>
      <c r="I80" s="140"/>
      <c r="J80" s="140"/>
      <c r="K80" s="140"/>
      <c r="L80" s="140"/>
    </row>
    <row r="81" ht="15.75" customHeight="1">
      <c r="A81" s="160"/>
      <c r="B81" s="160"/>
      <c r="C81" s="140"/>
      <c r="D81" s="140"/>
      <c r="E81" s="162">
        <v>300.0</v>
      </c>
      <c r="G81" s="140"/>
      <c r="H81" s="161" t="s">
        <v>1011</v>
      </c>
      <c r="I81" s="140"/>
      <c r="J81" s="140"/>
      <c r="K81" s="140"/>
      <c r="L81" s="140"/>
    </row>
    <row r="82" ht="15.75" customHeight="1">
      <c r="A82" s="160"/>
      <c r="B82" s="160"/>
      <c r="C82" s="140"/>
      <c r="D82" s="140"/>
      <c r="E82" s="162">
        <v>1000.0</v>
      </c>
      <c r="G82" s="140"/>
      <c r="H82" s="161" t="s">
        <v>1012</v>
      </c>
      <c r="I82" s="140"/>
      <c r="J82" s="140"/>
      <c r="K82" s="140"/>
      <c r="L82" s="140"/>
    </row>
    <row r="83" ht="15.75" customHeight="1">
      <c r="A83" s="160"/>
      <c r="B83" s="160"/>
      <c r="C83" s="140"/>
      <c r="D83" s="140"/>
      <c r="E83" s="162">
        <v>500.0</v>
      </c>
      <c r="G83" s="140"/>
      <c r="H83" s="161" t="s">
        <v>1013</v>
      </c>
      <c r="I83" s="140"/>
      <c r="J83" s="140"/>
      <c r="K83" s="140"/>
      <c r="L83" s="140"/>
    </row>
    <row r="84" ht="15.75" customHeight="1">
      <c r="A84" s="160"/>
      <c r="B84" s="160"/>
      <c r="C84" s="140"/>
      <c r="D84" s="140"/>
      <c r="E84" s="160"/>
      <c r="F84" s="162">
        <v>1750.0</v>
      </c>
      <c r="G84" s="140"/>
      <c r="H84" s="161" t="s">
        <v>1014</v>
      </c>
      <c r="I84" s="140"/>
      <c r="J84" s="140"/>
      <c r="K84" s="140"/>
      <c r="L84" s="140"/>
    </row>
    <row r="85" ht="15.75" customHeight="1">
      <c r="A85" s="160"/>
      <c r="B85" s="160"/>
      <c r="C85" s="140"/>
      <c r="D85" s="140"/>
      <c r="E85" s="162">
        <v>12000.0</v>
      </c>
      <c r="F85" s="160"/>
      <c r="G85" s="140"/>
      <c r="H85" s="161" t="s">
        <v>1015</v>
      </c>
      <c r="I85" s="140"/>
      <c r="J85" s="140"/>
      <c r="K85" s="140"/>
      <c r="L85" s="140"/>
    </row>
    <row r="86" ht="15.75" customHeight="1">
      <c r="A86" s="160"/>
      <c r="B86" s="160"/>
      <c r="C86" s="140"/>
      <c r="D86" s="140"/>
      <c r="E86" s="162">
        <v>2450.0</v>
      </c>
      <c r="F86" s="160"/>
      <c r="G86" s="140"/>
      <c r="H86" s="161" t="s">
        <v>1016</v>
      </c>
      <c r="I86" s="140"/>
      <c r="J86" s="140"/>
      <c r="K86" s="140"/>
      <c r="L86" s="140"/>
    </row>
    <row r="87" ht="15.75" customHeight="1">
      <c r="A87" s="160"/>
      <c r="B87" s="160"/>
      <c r="C87" s="140"/>
      <c r="D87" s="140"/>
      <c r="E87" s="162">
        <v>1300.0</v>
      </c>
      <c r="F87" s="160"/>
      <c r="G87" s="140"/>
      <c r="H87" s="161" t="s">
        <v>362</v>
      </c>
      <c r="I87" s="140"/>
      <c r="J87" s="140"/>
      <c r="K87" s="140"/>
      <c r="L87" s="140"/>
    </row>
    <row r="88" ht="15.75" customHeight="1">
      <c r="A88" s="160"/>
      <c r="B88" s="160"/>
      <c r="C88" s="140"/>
      <c r="D88" s="140"/>
      <c r="E88" s="162">
        <v>1300.0</v>
      </c>
      <c r="F88" s="160"/>
      <c r="G88" s="140"/>
      <c r="H88" s="161" t="s">
        <v>1017</v>
      </c>
      <c r="I88" s="140"/>
      <c r="J88" s="140"/>
      <c r="K88" s="140"/>
      <c r="L88" s="140"/>
    </row>
    <row r="89" ht="15.75" customHeight="1">
      <c r="A89" s="160"/>
      <c r="B89" s="160"/>
      <c r="C89" s="140"/>
      <c r="D89" s="140"/>
      <c r="E89" s="160"/>
      <c r="F89" s="162">
        <v>350.0</v>
      </c>
      <c r="G89" s="140"/>
      <c r="H89" s="161" t="s">
        <v>1018</v>
      </c>
      <c r="I89" s="140"/>
      <c r="L89" s="140"/>
    </row>
    <row r="90" ht="15.75" customHeight="1">
      <c r="A90" s="160"/>
      <c r="B90" s="160"/>
      <c r="C90" s="140"/>
      <c r="D90" s="140"/>
      <c r="E90" s="162">
        <v>850.0</v>
      </c>
      <c r="F90" s="160"/>
      <c r="G90" s="140"/>
      <c r="H90" s="161" t="s">
        <v>1019</v>
      </c>
      <c r="I90" s="140"/>
      <c r="L90" s="140"/>
    </row>
    <row r="91" ht="15.75" customHeight="1">
      <c r="A91" s="160"/>
      <c r="B91" s="160"/>
      <c r="C91" s="140"/>
      <c r="D91" s="140"/>
      <c r="F91" s="162">
        <v>4250.0</v>
      </c>
      <c r="H91" s="50" t="s">
        <v>1020</v>
      </c>
      <c r="I91" s="140"/>
      <c r="L91" s="140"/>
    </row>
    <row r="92" ht="15.75" customHeight="1">
      <c r="A92" s="160"/>
      <c r="B92" s="160"/>
      <c r="C92" s="140"/>
      <c r="D92" s="140"/>
      <c r="E92" s="160"/>
      <c r="F92" s="162">
        <v>400.0</v>
      </c>
      <c r="G92" s="140"/>
      <c r="H92" s="161" t="s">
        <v>1021</v>
      </c>
      <c r="I92" s="140"/>
      <c r="L92" s="140"/>
    </row>
    <row r="93" ht="15.75" customHeight="1">
      <c r="A93" s="160"/>
      <c r="B93" s="160"/>
      <c r="C93" s="140"/>
      <c r="D93" s="140"/>
      <c r="E93" s="160"/>
      <c r="F93" s="162">
        <v>550.0</v>
      </c>
      <c r="G93" s="140"/>
      <c r="H93" s="161" t="s">
        <v>1022</v>
      </c>
      <c r="I93" s="140"/>
      <c r="L93" s="140"/>
    </row>
    <row r="94" ht="15.75" customHeight="1">
      <c r="A94" s="160"/>
      <c r="B94" s="160"/>
      <c r="C94" s="140"/>
      <c r="D94" s="140"/>
      <c r="E94" s="162">
        <v>7000.0</v>
      </c>
      <c r="F94" s="160"/>
      <c r="G94" s="140"/>
      <c r="H94" s="161" t="s">
        <v>1023</v>
      </c>
      <c r="I94" s="140"/>
      <c r="L94" s="140"/>
    </row>
    <row r="95" ht="15.75" customHeight="1">
      <c r="A95" s="160"/>
      <c r="B95" s="160"/>
      <c r="C95" s="140"/>
      <c r="D95" s="140"/>
      <c r="E95" s="162">
        <v>5000.0</v>
      </c>
      <c r="F95" s="160"/>
      <c r="G95" s="140"/>
      <c r="H95" s="161" t="s">
        <v>1024</v>
      </c>
      <c r="I95" s="140"/>
      <c r="L95" s="140"/>
    </row>
    <row r="96" ht="15.75" customHeight="1">
      <c r="A96" s="160"/>
      <c r="B96" s="160"/>
      <c r="C96" s="140"/>
      <c r="D96" s="140"/>
      <c r="E96" s="162">
        <v>12500.0</v>
      </c>
      <c r="F96" s="160"/>
      <c r="G96" s="140"/>
      <c r="H96" s="161" t="s">
        <v>1025</v>
      </c>
      <c r="I96" s="140"/>
      <c r="L96" s="140"/>
    </row>
    <row r="97" ht="15.75" customHeight="1">
      <c r="A97" s="160"/>
      <c r="B97" s="160"/>
      <c r="C97" s="140"/>
      <c r="D97" s="140"/>
      <c r="E97" s="162">
        <v>200.0</v>
      </c>
      <c r="F97" s="160"/>
      <c r="G97" s="140"/>
      <c r="H97" s="161" t="s">
        <v>1026</v>
      </c>
      <c r="I97" s="140"/>
      <c r="L97" s="140"/>
    </row>
    <row r="98" ht="15.75" customHeight="1">
      <c r="A98" s="160"/>
      <c r="B98" s="160"/>
      <c r="C98" s="140"/>
      <c r="D98" s="140"/>
      <c r="E98" s="162">
        <v>9000.0</v>
      </c>
      <c r="F98" s="160"/>
      <c r="G98" s="140"/>
      <c r="H98" s="161" t="s">
        <v>1027</v>
      </c>
      <c r="I98" s="140"/>
      <c r="L98" s="140"/>
    </row>
    <row r="99" ht="15.75" customHeight="1">
      <c r="A99" s="160"/>
      <c r="B99" s="160"/>
      <c r="C99" s="140"/>
      <c r="D99" s="140"/>
      <c r="E99" s="162">
        <v>1200.0</v>
      </c>
      <c r="H99" s="161" t="s">
        <v>1028</v>
      </c>
      <c r="I99" s="140"/>
      <c r="L99" s="140"/>
    </row>
    <row r="100" ht="15.75" customHeight="1">
      <c r="A100" s="160"/>
      <c r="B100" s="160"/>
      <c r="C100" s="140"/>
      <c r="D100" s="140"/>
      <c r="E100" s="162">
        <v>800.0</v>
      </c>
      <c r="H100" s="161" t="s">
        <v>1029</v>
      </c>
      <c r="I100" s="140"/>
      <c r="L100" s="140"/>
    </row>
    <row r="101" ht="15.75" customHeight="1">
      <c r="A101" s="160"/>
      <c r="B101" s="160"/>
      <c r="C101" s="140"/>
      <c r="D101" s="140"/>
      <c r="E101" s="162">
        <v>800.0</v>
      </c>
      <c r="H101" s="161" t="s">
        <v>1030</v>
      </c>
      <c r="I101" s="140"/>
      <c r="L101" s="140"/>
    </row>
    <row r="102" ht="15.75" customHeight="1">
      <c r="A102" s="160"/>
      <c r="B102" s="160"/>
      <c r="C102" s="140"/>
      <c r="D102" s="140"/>
      <c r="E102" s="162">
        <v>800.0</v>
      </c>
      <c r="H102" s="161" t="s">
        <v>1031</v>
      </c>
      <c r="I102" s="140"/>
      <c r="J102" s="140"/>
      <c r="K102" s="140"/>
      <c r="L102" s="140"/>
    </row>
    <row r="103" ht="15.75" customHeight="1">
      <c r="A103" s="160"/>
      <c r="B103" s="160"/>
      <c r="C103" s="140"/>
      <c r="D103" s="140"/>
      <c r="E103" s="162">
        <v>800.0</v>
      </c>
      <c r="H103" s="161" t="s">
        <v>1032</v>
      </c>
      <c r="I103" s="140"/>
      <c r="J103" s="140"/>
      <c r="K103" s="140"/>
      <c r="L103" s="140"/>
    </row>
    <row r="104" ht="15.75" customHeight="1">
      <c r="A104" s="160"/>
      <c r="B104" s="160"/>
      <c r="C104" s="140"/>
      <c r="D104" s="140"/>
      <c r="E104" s="162">
        <v>800.0</v>
      </c>
      <c r="H104" s="161" t="s">
        <v>1033</v>
      </c>
      <c r="I104" s="140"/>
      <c r="J104" s="140"/>
      <c r="K104" s="140"/>
      <c r="L104" s="140"/>
    </row>
    <row r="105" ht="15.75" customHeight="1">
      <c r="A105" s="160"/>
      <c r="B105" s="160"/>
      <c r="C105" s="140"/>
      <c r="D105" s="140"/>
      <c r="E105" s="162">
        <v>1000.0</v>
      </c>
      <c r="H105" s="161" t="s">
        <v>1034</v>
      </c>
      <c r="I105" s="140"/>
      <c r="J105" s="140"/>
      <c r="K105" s="140"/>
      <c r="L105" s="140"/>
    </row>
    <row r="106" ht="15.75" customHeight="1">
      <c r="A106" s="160"/>
      <c r="B106" s="160"/>
      <c r="C106" s="140"/>
      <c r="D106" s="140"/>
      <c r="E106" s="162">
        <v>1000.0</v>
      </c>
      <c r="H106" s="161" t="s">
        <v>1035</v>
      </c>
      <c r="I106" s="140"/>
      <c r="J106" s="140"/>
      <c r="K106" s="140"/>
      <c r="L106" s="140"/>
    </row>
    <row r="107" ht="15.75" customHeight="1">
      <c r="A107" s="160"/>
      <c r="B107" s="160"/>
      <c r="C107" s="140"/>
      <c r="D107" s="140"/>
      <c r="E107" s="162">
        <v>800.0</v>
      </c>
      <c r="H107" s="161" t="s">
        <v>1036</v>
      </c>
      <c r="I107" s="140"/>
      <c r="J107" s="140"/>
      <c r="K107" s="140"/>
      <c r="L107" s="140"/>
    </row>
    <row r="108" ht="15.75" customHeight="1">
      <c r="A108" s="160"/>
      <c r="B108" s="160"/>
      <c r="C108" s="140"/>
      <c r="D108" s="140"/>
      <c r="E108" s="162">
        <v>800.0</v>
      </c>
      <c r="H108" s="161" t="s">
        <v>1037</v>
      </c>
      <c r="I108" s="140"/>
      <c r="J108" s="140"/>
      <c r="K108" s="140"/>
      <c r="L108" s="140"/>
    </row>
    <row r="109" ht="15.75" customHeight="1">
      <c r="A109" s="160"/>
      <c r="B109" s="160"/>
      <c r="C109" s="140"/>
      <c r="D109" s="140"/>
      <c r="E109" s="162">
        <v>1100.0</v>
      </c>
      <c r="H109" s="161" t="s">
        <v>1038</v>
      </c>
      <c r="I109" s="140"/>
      <c r="J109" s="140"/>
      <c r="K109" s="140"/>
      <c r="L109" s="140"/>
    </row>
    <row r="110" ht="15.75" customHeight="1">
      <c r="A110" s="160"/>
      <c r="B110" s="160"/>
      <c r="C110" s="140"/>
      <c r="D110" s="140"/>
      <c r="E110" s="162">
        <v>800.0</v>
      </c>
      <c r="H110" s="161" t="s">
        <v>1039</v>
      </c>
      <c r="I110" s="140"/>
      <c r="J110" s="140"/>
      <c r="K110" s="140"/>
      <c r="L110" s="140"/>
    </row>
    <row r="111" ht="15.75" customHeight="1">
      <c r="A111" s="160"/>
      <c r="B111" s="160"/>
      <c r="C111" s="140"/>
      <c r="D111" s="140"/>
      <c r="E111" s="162">
        <v>2000.0</v>
      </c>
      <c r="F111" s="160"/>
      <c r="G111" s="140"/>
      <c r="H111" s="161" t="s">
        <v>1040</v>
      </c>
      <c r="I111" s="140"/>
      <c r="J111" s="140"/>
      <c r="K111" s="140"/>
      <c r="L111" s="140"/>
    </row>
    <row r="112" ht="15.75" customHeight="1">
      <c r="A112" s="160"/>
      <c r="B112" s="160"/>
      <c r="C112" s="140"/>
      <c r="D112" s="140"/>
      <c r="E112" s="162">
        <v>160.0</v>
      </c>
      <c r="F112" s="160"/>
      <c r="G112" s="140"/>
      <c r="H112" s="161" t="s">
        <v>1041</v>
      </c>
      <c r="I112" s="140"/>
      <c r="J112" s="140"/>
      <c r="K112" s="140"/>
      <c r="L112" s="140"/>
    </row>
    <row r="113" ht="15.75" customHeight="1">
      <c r="A113" s="160"/>
      <c r="B113" s="160"/>
      <c r="C113" s="140"/>
      <c r="D113" s="140"/>
      <c r="E113" s="162">
        <v>2000.0</v>
      </c>
      <c r="F113" s="160"/>
      <c r="G113" s="140"/>
      <c r="H113" s="161" t="s">
        <v>1042</v>
      </c>
      <c r="I113" s="140"/>
      <c r="J113" s="140"/>
      <c r="K113" s="140"/>
      <c r="L113" s="140"/>
    </row>
    <row r="114" ht="15.75" customHeight="1">
      <c r="A114" s="160"/>
      <c r="B114" s="160"/>
      <c r="C114" s="140"/>
      <c r="D114" s="140"/>
      <c r="E114" s="162">
        <v>300.0</v>
      </c>
      <c r="F114" s="160"/>
      <c r="G114" s="140"/>
      <c r="H114" s="161" t="s">
        <v>1043</v>
      </c>
      <c r="I114" s="140"/>
      <c r="J114" s="140"/>
      <c r="K114" s="140"/>
      <c r="L114" s="140"/>
    </row>
    <row r="115" ht="15.75" customHeight="1">
      <c r="A115" s="160"/>
      <c r="B115" s="160"/>
      <c r="C115" s="140"/>
      <c r="D115" s="140"/>
      <c r="E115" s="162">
        <v>400.0</v>
      </c>
      <c r="F115" s="160"/>
      <c r="G115" s="140"/>
      <c r="H115" s="161" t="s">
        <v>1044</v>
      </c>
      <c r="I115" s="140"/>
      <c r="J115" s="140"/>
      <c r="K115" s="140"/>
      <c r="L115" s="140"/>
    </row>
    <row r="116" ht="15.75" customHeight="1">
      <c r="A116" s="160"/>
      <c r="B116" s="160"/>
      <c r="C116" s="140"/>
      <c r="D116" s="140"/>
      <c r="E116" s="162">
        <v>8000.0</v>
      </c>
      <c r="F116" s="160"/>
      <c r="G116" s="140"/>
      <c r="H116" s="161" t="s">
        <v>1045</v>
      </c>
      <c r="I116" s="140"/>
      <c r="J116" s="140"/>
      <c r="K116" s="140"/>
      <c r="L116" s="140"/>
    </row>
    <row r="117" ht="15.75" customHeight="1">
      <c r="A117" s="160"/>
      <c r="B117" s="160"/>
      <c r="C117" s="140"/>
      <c r="D117" s="140"/>
      <c r="E117" s="162">
        <v>8000.0</v>
      </c>
      <c r="F117" s="160"/>
      <c r="G117" s="140"/>
      <c r="H117" s="161" t="s">
        <v>1046</v>
      </c>
      <c r="I117" s="140"/>
      <c r="J117" s="140"/>
      <c r="K117" s="140"/>
      <c r="L117" s="140"/>
    </row>
    <row r="118" ht="15.75" customHeight="1">
      <c r="A118" s="160"/>
      <c r="B118" s="160"/>
      <c r="C118" s="140"/>
      <c r="D118" s="140"/>
      <c r="E118" s="162">
        <v>750.0</v>
      </c>
      <c r="F118" s="160"/>
      <c r="G118" s="140"/>
      <c r="H118" s="161" t="s">
        <v>1047</v>
      </c>
      <c r="I118" s="140"/>
      <c r="J118" s="140"/>
      <c r="K118" s="140"/>
      <c r="L118" s="140"/>
    </row>
    <row r="119" ht="15.75" customHeight="1">
      <c r="A119" s="160"/>
      <c r="B119" s="160"/>
      <c r="C119" s="140"/>
      <c r="D119" s="140"/>
      <c r="E119" s="162">
        <v>4000.0</v>
      </c>
      <c r="F119" s="160"/>
      <c r="G119" s="140"/>
      <c r="H119" s="161" t="s">
        <v>1048</v>
      </c>
      <c r="I119" s="140"/>
      <c r="J119" s="140"/>
      <c r="K119" s="140"/>
      <c r="L119" s="140"/>
    </row>
    <row r="120" ht="15.75" customHeight="1">
      <c r="A120" s="160"/>
      <c r="B120" s="160"/>
      <c r="C120" s="140"/>
      <c r="D120" s="140"/>
      <c r="E120" s="162">
        <v>4000.0</v>
      </c>
      <c r="F120" s="160"/>
      <c r="G120" s="140"/>
      <c r="H120" s="161" t="s">
        <v>1049</v>
      </c>
      <c r="I120" s="140"/>
      <c r="J120" s="140"/>
      <c r="K120" s="140"/>
      <c r="L120" s="140"/>
    </row>
    <row r="121" ht="15.75" customHeight="1">
      <c r="A121" s="160"/>
      <c r="B121" s="160"/>
      <c r="C121" s="140"/>
      <c r="D121" s="140"/>
      <c r="E121" s="162">
        <v>800.0</v>
      </c>
      <c r="H121" s="50" t="s">
        <v>1050</v>
      </c>
      <c r="I121" s="140"/>
      <c r="J121" s="140"/>
      <c r="K121" s="140"/>
      <c r="L121" s="140"/>
    </row>
    <row r="122" ht="15.75" customHeight="1">
      <c r="A122" s="160"/>
      <c r="B122" s="160"/>
      <c r="C122" s="140"/>
      <c r="D122" s="140"/>
      <c r="E122" s="162">
        <v>2600.0</v>
      </c>
      <c r="F122" s="160"/>
      <c r="G122" s="140"/>
      <c r="H122" s="161" t="s">
        <v>1023</v>
      </c>
      <c r="I122" s="140"/>
      <c r="J122" s="140"/>
      <c r="K122" s="140"/>
      <c r="L122" s="140"/>
    </row>
    <row r="123" ht="15.75" customHeight="1">
      <c r="A123" s="160"/>
      <c r="B123" s="160"/>
      <c r="C123" s="140"/>
      <c r="D123" s="140"/>
      <c r="E123" s="162">
        <v>2400.0</v>
      </c>
      <c r="F123" s="160"/>
      <c r="G123" s="140"/>
      <c r="H123" s="161" t="s">
        <v>1048</v>
      </c>
      <c r="I123" s="140"/>
      <c r="J123" s="140"/>
      <c r="K123" s="140"/>
      <c r="L123" s="140"/>
    </row>
    <row r="124" ht="15.75" customHeight="1">
      <c r="A124" s="160"/>
      <c r="B124" s="160"/>
      <c r="C124" s="140"/>
      <c r="D124" s="140"/>
      <c r="E124" s="162">
        <v>600.0</v>
      </c>
      <c r="F124" s="160"/>
      <c r="G124" s="140"/>
      <c r="H124" s="161" t="s">
        <v>1051</v>
      </c>
      <c r="I124" s="140"/>
      <c r="J124" s="140"/>
      <c r="K124" s="140"/>
      <c r="L124" s="140"/>
    </row>
    <row r="125" ht="15.75" customHeight="1">
      <c r="A125" s="160"/>
      <c r="B125" s="160"/>
      <c r="C125" s="140"/>
      <c r="D125" s="140"/>
      <c r="E125" s="162">
        <v>500.0</v>
      </c>
      <c r="F125" s="160"/>
      <c r="G125" s="140"/>
      <c r="H125" s="161" t="s">
        <v>1052</v>
      </c>
      <c r="I125" s="140"/>
      <c r="J125" s="140"/>
      <c r="K125" s="140"/>
      <c r="L125" s="140"/>
    </row>
    <row r="126" ht="15.75" customHeight="1">
      <c r="A126" s="160"/>
      <c r="B126" s="160"/>
      <c r="C126" s="140"/>
      <c r="D126" s="140"/>
      <c r="E126" s="162">
        <v>1000.0</v>
      </c>
      <c r="F126" s="160"/>
      <c r="G126" s="140"/>
      <c r="H126" s="161" t="s">
        <v>1024</v>
      </c>
      <c r="I126" s="140"/>
      <c r="J126" s="140"/>
      <c r="K126" s="140"/>
      <c r="L126" s="140"/>
    </row>
    <row r="127" ht="15.75" customHeight="1">
      <c r="A127" s="160"/>
      <c r="B127" s="160"/>
      <c r="C127" s="140"/>
      <c r="D127" s="140"/>
      <c r="E127" s="162">
        <v>140.0</v>
      </c>
      <c r="F127" s="160"/>
      <c r="G127" s="140"/>
      <c r="H127" s="161" t="s">
        <v>1048</v>
      </c>
      <c r="I127" s="140"/>
      <c r="J127" s="140"/>
      <c r="K127" s="140"/>
      <c r="L127" s="140"/>
    </row>
    <row r="128" ht="15.75" customHeight="1">
      <c r="A128" s="160"/>
      <c r="B128" s="160"/>
      <c r="C128" s="140"/>
      <c r="D128" s="140"/>
      <c r="E128" s="162">
        <v>4000.0</v>
      </c>
      <c r="F128" s="160"/>
      <c r="G128" s="140"/>
      <c r="H128" s="161" t="s">
        <v>1048</v>
      </c>
      <c r="I128" s="140"/>
      <c r="J128" s="140"/>
      <c r="K128" s="140"/>
      <c r="L128" s="140"/>
    </row>
    <row r="129" ht="15.75" customHeight="1">
      <c r="A129" s="160"/>
      <c r="B129" s="160"/>
      <c r="C129" s="140"/>
      <c r="D129" s="140"/>
      <c r="E129" s="162">
        <v>400.0</v>
      </c>
      <c r="F129" s="160"/>
      <c r="G129" s="161" t="s">
        <v>1004</v>
      </c>
      <c r="H129" s="161" t="s">
        <v>1053</v>
      </c>
      <c r="I129" s="140"/>
      <c r="J129" s="140"/>
      <c r="K129" s="140"/>
      <c r="L129" s="140"/>
    </row>
    <row r="130" ht="15.75" customHeight="1">
      <c r="A130" s="160"/>
      <c r="B130" s="160"/>
      <c r="C130" s="140"/>
      <c r="D130" s="140"/>
      <c r="E130" s="162">
        <v>3500.0</v>
      </c>
      <c r="F130" s="160"/>
      <c r="G130" s="161"/>
      <c r="H130" s="161" t="s">
        <v>1048</v>
      </c>
      <c r="I130" s="140"/>
      <c r="J130" s="140"/>
      <c r="K130" s="140"/>
      <c r="L130" s="140"/>
    </row>
    <row r="131" ht="15.75" customHeight="1">
      <c r="A131" s="160"/>
      <c r="B131" s="160"/>
      <c r="C131" s="140"/>
      <c r="D131" s="140"/>
      <c r="E131" s="162">
        <v>1500.0</v>
      </c>
      <c r="F131" s="160"/>
      <c r="G131" s="161"/>
      <c r="H131" s="161" t="s">
        <v>1054</v>
      </c>
      <c r="I131" s="140"/>
      <c r="J131" s="140"/>
      <c r="K131" s="140"/>
      <c r="L131" s="140"/>
    </row>
    <row r="132" ht="15.75" customHeight="1">
      <c r="A132" s="160"/>
      <c r="B132" s="160"/>
      <c r="C132" s="140"/>
      <c r="D132" s="140"/>
      <c r="E132" s="162">
        <v>1500.0</v>
      </c>
      <c r="H132" s="50" t="s">
        <v>1049</v>
      </c>
      <c r="I132" s="140"/>
      <c r="J132" s="140"/>
      <c r="K132" s="140"/>
      <c r="L132" s="140"/>
    </row>
    <row r="133" ht="15.75" customHeight="1">
      <c r="A133" s="160"/>
      <c r="B133" s="160"/>
      <c r="C133" s="140"/>
      <c r="D133" s="140"/>
      <c r="E133" s="162"/>
      <c r="F133" s="160"/>
      <c r="G133" s="161"/>
      <c r="H133" s="161"/>
      <c r="I133" s="140"/>
      <c r="J133" s="140"/>
      <c r="K133" s="140"/>
      <c r="L133" s="140"/>
    </row>
    <row r="134" ht="15.75" customHeight="1">
      <c r="A134" s="160"/>
      <c r="B134" s="160"/>
      <c r="C134" s="140"/>
      <c r="D134" s="140"/>
      <c r="E134" s="162"/>
      <c r="F134" s="160"/>
      <c r="G134" s="161"/>
      <c r="H134" s="161"/>
      <c r="I134" s="140"/>
      <c r="J134" s="140"/>
      <c r="K134" s="140"/>
      <c r="L134" s="140"/>
    </row>
    <row r="135" ht="15.75" customHeight="1">
      <c r="A135" s="160"/>
      <c r="B135" s="160"/>
      <c r="C135" s="140"/>
      <c r="D135" s="140"/>
      <c r="E135" s="162"/>
      <c r="F135" s="160"/>
      <c r="G135" s="161"/>
      <c r="H135" s="161"/>
      <c r="I135" s="140"/>
      <c r="J135" s="140"/>
      <c r="K135" s="140"/>
      <c r="L135" s="140"/>
    </row>
    <row r="136" ht="15.75" customHeight="1">
      <c r="A136" s="160"/>
      <c r="B136" s="160"/>
      <c r="C136" s="140"/>
      <c r="D136" s="140"/>
      <c r="E136" s="162"/>
      <c r="F136" s="160"/>
      <c r="G136" s="161"/>
      <c r="H136" s="161"/>
      <c r="I136" s="140"/>
      <c r="J136" s="140"/>
      <c r="K136" s="140"/>
      <c r="L136" s="140"/>
    </row>
    <row r="137" ht="15.75" customHeight="1">
      <c r="A137" s="160"/>
      <c r="B137" s="160"/>
      <c r="C137" s="140"/>
      <c r="D137" s="140"/>
      <c r="E137" s="162"/>
      <c r="F137" s="160"/>
      <c r="G137" s="161"/>
      <c r="H137" s="161"/>
      <c r="I137" s="140"/>
      <c r="J137" s="140"/>
      <c r="K137" s="140"/>
      <c r="L137" s="140"/>
    </row>
    <row r="138" ht="15.75" customHeight="1">
      <c r="A138" s="160"/>
      <c r="B138" s="160"/>
      <c r="C138" s="140"/>
      <c r="D138" s="140"/>
      <c r="E138" s="162"/>
      <c r="F138" s="160"/>
      <c r="G138" s="140"/>
      <c r="H138" s="161"/>
      <c r="I138" s="140"/>
      <c r="J138" s="140"/>
      <c r="K138" s="140"/>
      <c r="L138" s="140"/>
    </row>
    <row r="139" ht="15.75" customHeight="1">
      <c r="A139" s="160"/>
      <c r="B139" s="160"/>
      <c r="C139" s="140"/>
      <c r="D139" s="140"/>
      <c r="E139" s="162"/>
      <c r="F139" s="160"/>
      <c r="G139" s="140"/>
      <c r="H139" s="161"/>
      <c r="I139" s="140"/>
      <c r="J139" s="140"/>
      <c r="K139" s="140"/>
      <c r="L139" s="140"/>
    </row>
    <row r="140" ht="15.75" customHeight="1">
      <c r="A140" s="160"/>
      <c r="B140" s="160"/>
      <c r="C140" s="140"/>
      <c r="D140" s="140"/>
      <c r="E140" s="162"/>
      <c r="F140" s="160"/>
      <c r="G140" s="140"/>
      <c r="H140" s="161"/>
      <c r="I140" s="140"/>
      <c r="J140" s="140"/>
      <c r="K140" s="140"/>
      <c r="L140" s="140"/>
    </row>
    <row r="141" ht="15.75" customHeight="1">
      <c r="A141" s="160"/>
      <c r="B141" s="160"/>
      <c r="C141" s="140"/>
      <c r="D141" s="140"/>
      <c r="E141" s="160"/>
      <c r="F141" s="160"/>
      <c r="G141" s="140"/>
      <c r="H141" s="140"/>
      <c r="I141" s="140"/>
      <c r="J141" s="140"/>
      <c r="K141" s="140"/>
      <c r="L141" s="140"/>
    </row>
    <row r="142" ht="15.75" customHeight="1">
      <c r="A142" s="160"/>
      <c r="B142" s="160"/>
      <c r="C142" s="140"/>
      <c r="D142" s="140"/>
      <c r="E142" s="160"/>
      <c r="F142" s="160"/>
      <c r="G142" s="140"/>
      <c r="H142" s="140"/>
      <c r="I142" s="140"/>
      <c r="J142" s="140"/>
      <c r="K142" s="140"/>
      <c r="L142" s="140"/>
    </row>
    <row r="143" ht="15.75" customHeight="1">
      <c r="A143" s="160"/>
      <c r="B143" s="160"/>
      <c r="C143" s="140"/>
      <c r="D143" s="140"/>
      <c r="E143" s="160"/>
      <c r="F143" s="160"/>
      <c r="G143" s="140"/>
      <c r="H143" s="140"/>
      <c r="I143" s="140"/>
      <c r="J143" s="140"/>
      <c r="K143" s="140"/>
      <c r="L143" s="140"/>
    </row>
    <row r="144" ht="15.75" customHeight="1">
      <c r="A144" s="160"/>
      <c r="B144" s="160"/>
      <c r="C144" s="140"/>
      <c r="D144" s="140"/>
      <c r="E144" s="160"/>
      <c r="F144" s="160"/>
      <c r="G144" s="140"/>
      <c r="H144" s="140"/>
      <c r="I144" s="140"/>
      <c r="J144" s="140"/>
      <c r="K144" s="140"/>
      <c r="L144" s="140"/>
    </row>
  </sheetData>
  <mergeCells count="2">
    <mergeCell ref="A1:D2"/>
    <mergeCell ref="E1:H2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5"/>
    <col customWidth="1" min="2" max="2" width="9.13"/>
    <col customWidth="1" min="3" max="3" width="10.75"/>
    <col customWidth="1" min="4" max="4" width="24.75"/>
    <col customWidth="1" min="5" max="5" width="5.75"/>
    <col customWidth="1" min="6" max="6" width="13.63"/>
    <col customWidth="1" min="7" max="7" width="7.88"/>
    <col customWidth="1" min="8" max="8" width="7.5"/>
    <col customWidth="1" min="9" max="9" width="7.0"/>
    <col customWidth="1" min="10" max="10" width="7.75"/>
    <col customWidth="1" min="11" max="11" width="9.5"/>
    <col customWidth="1" min="12" max="12" width="8.5"/>
    <col customWidth="1" min="13" max="13" width="8.0"/>
    <col customWidth="1" min="14" max="14" width="7.25"/>
    <col customWidth="1" min="15" max="15" width="9.63"/>
    <col customWidth="1" min="16" max="16" width="7.25"/>
    <col customWidth="1" min="17" max="17" width="11.5"/>
    <col customWidth="1" min="18" max="18" width="5.88"/>
    <col customWidth="1" min="19" max="19" width="7.38"/>
    <col customWidth="1" min="20" max="20" width="7.88"/>
    <col customWidth="1" min="21" max="21" width="6.38"/>
    <col customWidth="1" min="22" max="23" width="6.88"/>
    <col customWidth="1" min="24" max="24" width="4.88"/>
    <col customWidth="1" min="25" max="25" width="5.0"/>
    <col customWidth="1" min="26" max="26" width="4.25"/>
    <col customWidth="1" min="27" max="27" width="4.38"/>
    <col customWidth="1" min="28" max="28" width="4.25"/>
  </cols>
  <sheetData>
    <row r="1">
      <c r="A1" s="163" t="s">
        <v>1</v>
      </c>
      <c r="B1" s="163" t="s">
        <v>2</v>
      </c>
      <c r="C1" s="164" t="s">
        <v>3</v>
      </c>
      <c r="D1" s="163" t="s">
        <v>4</v>
      </c>
      <c r="E1" s="164" t="s">
        <v>6</v>
      </c>
      <c r="F1" s="165" t="s">
        <v>1055</v>
      </c>
      <c r="G1" s="166"/>
      <c r="H1" s="167"/>
      <c r="I1" s="168">
        <v>0.03</v>
      </c>
      <c r="J1" s="169" t="s">
        <v>0</v>
      </c>
      <c r="K1" s="170"/>
      <c r="L1" s="170"/>
      <c r="M1" s="170"/>
      <c r="N1" s="170"/>
      <c r="O1" s="170"/>
      <c r="P1" s="170"/>
      <c r="Q1" s="170"/>
      <c r="R1" s="171"/>
      <c r="S1" s="172" t="s">
        <v>1056</v>
      </c>
      <c r="T1" s="167" t="s">
        <v>17</v>
      </c>
      <c r="U1" s="170"/>
      <c r="V1" s="170"/>
      <c r="W1" s="170"/>
      <c r="X1" s="170"/>
      <c r="Y1" s="170"/>
      <c r="Z1" s="170"/>
      <c r="AA1" s="170"/>
      <c r="AB1" s="171"/>
    </row>
    <row r="2">
      <c r="A2" s="173"/>
      <c r="B2" s="173"/>
      <c r="C2" s="173"/>
      <c r="D2" s="173"/>
      <c r="E2" s="173"/>
      <c r="F2" s="60"/>
      <c r="G2" s="174" t="s">
        <v>7</v>
      </c>
      <c r="H2" s="175" t="s">
        <v>9</v>
      </c>
      <c r="I2" s="176"/>
      <c r="J2" s="177" t="s">
        <v>10</v>
      </c>
      <c r="K2" s="178" t="s">
        <v>1057</v>
      </c>
      <c r="L2" s="177" t="s">
        <v>23</v>
      </c>
      <c r="M2" s="179" t="s">
        <v>24</v>
      </c>
      <c r="N2" s="180" t="s">
        <v>23</v>
      </c>
      <c r="O2" s="179" t="s">
        <v>25</v>
      </c>
      <c r="P2" s="177" t="s">
        <v>23</v>
      </c>
      <c r="Q2" s="179" t="s">
        <v>1058</v>
      </c>
      <c r="R2" s="181" t="s">
        <v>23</v>
      </c>
      <c r="S2" s="182">
        <v>0.2</v>
      </c>
      <c r="T2" s="167" t="s">
        <v>1059</v>
      </c>
      <c r="U2" s="183"/>
      <c r="V2" s="170" t="s">
        <v>1060</v>
      </c>
      <c r="W2" s="184"/>
      <c r="X2" s="185" t="s">
        <v>832</v>
      </c>
      <c r="Y2" s="185" t="s">
        <v>111</v>
      </c>
      <c r="Z2" s="185" t="s">
        <v>113</v>
      </c>
      <c r="AA2" s="185" t="s">
        <v>112</v>
      </c>
      <c r="AB2" s="186" t="s">
        <v>110</v>
      </c>
    </row>
    <row r="3">
      <c r="A3" s="132"/>
      <c r="B3" s="132"/>
      <c r="C3" s="132"/>
      <c r="D3" s="132"/>
      <c r="E3" s="132"/>
      <c r="F3" s="132"/>
      <c r="G3" s="187"/>
      <c r="H3" s="50" t="s">
        <v>154</v>
      </c>
      <c r="I3" s="188"/>
      <c r="J3" s="189"/>
      <c r="K3" s="190"/>
      <c r="L3" s="189"/>
      <c r="M3" s="191"/>
      <c r="N3" s="192"/>
      <c r="O3" s="190"/>
      <c r="P3" s="189"/>
      <c r="Q3" s="191"/>
      <c r="R3" s="188"/>
      <c r="S3" s="193"/>
      <c r="T3" s="194" t="s">
        <v>154</v>
      </c>
      <c r="U3" s="195" t="s">
        <v>119</v>
      </c>
      <c r="V3" s="196" t="s">
        <v>154</v>
      </c>
      <c r="W3" s="197" t="s">
        <v>119</v>
      </c>
      <c r="X3" s="198"/>
      <c r="Y3" s="198"/>
      <c r="Z3" s="198"/>
      <c r="AA3" s="198"/>
      <c r="AB3" s="193"/>
    </row>
    <row r="4">
      <c r="A4" s="199" t="s">
        <v>29</v>
      </c>
      <c r="B4" s="199"/>
      <c r="C4" s="199"/>
      <c r="D4" s="199"/>
      <c r="E4" s="199"/>
      <c r="F4" s="199"/>
      <c r="G4" s="200"/>
      <c r="H4" s="201"/>
      <c r="I4" s="202"/>
      <c r="J4" s="203"/>
      <c r="K4" s="204"/>
      <c r="L4" s="203"/>
      <c r="M4" s="204"/>
      <c r="N4" s="203"/>
      <c r="O4" s="204"/>
      <c r="P4" s="203"/>
      <c r="Q4" s="204"/>
      <c r="R4" s="202"/>
      <c r="S4" s="202"/>
      <c r="T4" s="205"/>
      <c r="U4" s="203"/>
      <c r="V4" s="206"/>
      <c r="W4" s="207"/>
      <c r="X4" s="208"/>
      <c r="Y4" s="208"/>
      <c r="Z4" s="208"/>
      <c r="AA4" s="208"/>
      <c r="AB4" s="209"/>
    </row>
    <row r="5">
      <c r="A5" s="132">
        <v>9.0</v>
      </c>
      <c r="B5" s="132" t="s">
        <v>54</v>
      </c>
      <c r="C5" s="132" t="s">
        <v>569</v>
      </c>
      <c r="D5" s="132" t="s">
        <v>1061</v>
      </c>
      <c r="E5" s="132"/>
      <c r="F5" s="132"/>
      <c r="G5" s="210">
        <v>3500.0</v>
      </c>
      <c r="H5" s="211">
        <v>0.0</v>
      </c>
      <c r="I5" s="188">
        <f>round(3%*G5,0)</f>
        <v>105</v>
      </c>
      <c r="J5" s="212">
        <f>sum(L5+N5+P5+R5)</f>
        <v>600</v>
      </c>
      <c r="K5" s="190" t="s">
        <v>38</v>
      </c>
      <c r="L5" s="212">
        <v>600.0</v>
      </c>
      <c r="M5" s="191"/>
      <c r="N5" s="192"/>
      <c r="O5" s="190"/>
      <c r="P5" s="189"/>
      <c r="Q5" s="191"/>
      <c r="R5" s="188"/>
      <c r="S5" s="193">
        <v>0.0</v>
      </c>
      <c r="T5" s="213">
        <f>G5-H5-I5-J5-S5</f>
        <v>2795</v>
      </c>
      <c r="U5" s="214"/>
      <c r="V5" s="215">
        <f>round(T5-X5-Y5-Z5-AA5-AB5,0)</f>
        <v>795</v>
      </c>
      <c r="W5" s="216"/>
      <c r="X5" s="217">
        <v>400.0</v>
      </c>
      <c r="Y5" s="217">
        <v>400.0</v>
      </c>
      <c r="Z5" s="217">
        <v>400.0</v>
      </c>
      <c r="AA5" s="217">
        <v>400.0</v>
      </c>
      <c r="AB5" s="218">
        <v>400.0</v>
      </c>
    </row>
    <row r="6">
      <c r="A6" s="219" t="s">
        <v>30</v>
      </c>
      <c r="B6" s="199"/>
      <c r="C6" s="199"/>
      <c r="D6" s="199"/>
      <c r="E6" s="199"/>
      <c r="F6" s="199"/>
      <c r="G6" s="200"/>
      <c r="H6" s="201"/>
      <c r="I6" s="202"/>
      <c r="J6" s="203"/>
      <c r="K6" s="204"/>
      <c r="L6" s="203"/>
      <c r="M6" s="204"/>
      <c r="N6" s="203"/>
      <c r="O6" s="204"/>
      <c r="P6" s="203"/>
      <c r="Q6" s="204"/>
      <c r="R6" s="202"/>
      <c r="S6" s="202"/>
      <c r="T6" s="205"/>
      <c r="U6" s="203"/>
      <c r="V6" s="206"/>
      <c r="W6" s="207"/>
      <c r="X6" s="208"/>
      <c r="Y6" s="208"/>
      <c r="Z6" s="208"/>
      <c r="AA6" s="208"/>
      <c r="AB6" s="209"/>
    </row>
    <row r="7">
      <c r="A7" s="219" t="s">
        <v>31</v>
      </c>
      <c r="B7" s="199"/>
      <c r="C7" s="199"/>
      <c r="D7" s="199"/>
      <c r="E7" s="199"/>
      <c r="F7" s="199"/>
      <c r="G7" s="200"/>
      <c r="H7" s="201"/>
      <c r="I7" s="202"/>
      <c r="J7" s="203"/>
      <c r="K7" s="204"/>
      <c r="L7" s="203"/>
      <c r="M7" s="204"/>
      <c r="N7" s="203"/>
      <c r="O7" s="204"/>
      <c r="P7" s="203"/>
      <c r="Q7" s="204"/>
      <c r="R7" s="202"/>
      <c r="S7" s="202"/>
      <c r="T7" s="205"/>
      <c r="U7" s="203"/>
      <c r="V7" s="206"/>
      <c r="W7" s="207"/>
      <c r="X7" s="208"/>
      <c r="Y7" s="208"/>
      <c r="Z7" s="208"/>
      <c r="AA7" s="208"/>
      <c r="AB7" s="209"/>
    </row>
    <row r="8">
      <c r="A8" s="132">
        <v>11.0</v>
      </c>
      <c r="B8" s="132" t="s">
        <v>54</v>
      </c>
      <c r="C8" s="132" t="s">
        <v>569</v>
      </c>
      <c r="D8" s="132" t="s">
        <v>1062</v>
      </c>
      <c r="E8" s="132"/>
      <c r="F8" s="132" t="s">
        <v>1063</v>
      </c>
      <c r="G8" s="210">
        <v>0.0</v>
      </c>
      <c r="H8" s="211">
        <v>0.0</v>
      </c>
      <c r="I8" s="188">
        <f>round(3%*G8,0)</f>
        <v>0</v>
      </c>
      <c r="J8" s="212">
        <f>sum(L8+N8+P8+R8)</f>
        <v>0</v>
      </c>
      <c r="K8" s="190" t="s">
        <v>38</v>
      </c>
      <c r="L8" s="212">
        <v>0.0</v>
      </c>
      <c r="M8" s="191"/>
      <c r="N8" s="192"/>
      <c r="O8" s="190"/>
      <c r="P8" s="189"/>
      <c r="Q8" s="191"/>
      <c r="R8" s="188"/>
      <c r="S8" s="188">
        <f>round(20%*(G8-I8-J8),0)</f>
        <v>0</v>
      </c>
      <c r="T8" s="213">
        <f>G8-H8-I8-J8-S8</f>
        <v>0</v>
      </c>
      <c r="U8" s="214"/>
      <c r="V8" s="215">
        <f>round(T8-X8-Y8-Z8-AA8-AB8,0)</f>
        <v>0</v>
      </c>
      <c r="W8" s="216"/>
      <c r="X8" s="220">
        <f>round(T8/5,-2)</f>
        <v>0</v>
      </c>
      <c r="Y8" s="220">
        <f>round(T8/5,-2)</f>
        <v>0</v>
      </c>
      <c r="Z8" s="220">
        <f>round(T8/5,-2)</f>
        <v>0</v>
      </c>
      <c r="AA8" s="220">
        <f>round(T8/5,-2)</f>
        <v>0</v>
      </c>
      <c r="AB8" s="221">
        <f>round(T8/5,-2)</f>
        <v>0</v>
      </c>
    </row>
    <row r="9">
      <c r="A9" s="219" t="s">
        <v>32</v>
      </c>
      <c r="B9" s="199"/>
      <c r="C9" s="199"/>
      <c r="D9" s="199"/>
      <c r="E9" s="199"/>
      <c r="F9" s="199"/>
      <c r="G9" s="200"/>
      <c r="H9" s="201"/>
      <c r="I9" s="202"/>
      <c r="J9" s="203"/>
      <c r="K9" s="204"/>
      <c r="L9" s="203"/>
      <c r="M9" s="204"/>
      <c r="N9" s="203"/>
      <c r="O9" s="204"/>
      <c r="P9" s="203"/>
      <c r="Q9" s="204"/>
      <c r="R9" s="202"/>
      <c r="S9" s="202"/>
      <c r="T9" s="205"/>
      <c r="U9" s="203"/>
      <c r="V9" s="206"/>
      <c r="W9" s="207"/>
      <c r="X9" s="208"/>
      <c r="Y9" s="208"/>
      <c r="Z9" s="208"/>
      <c r="AA9" s="208"/>
      <c r="AB9" s="209"/>
    </row>
    <row r="10">
      <c r="A10" s="132">
        <v>1.0</v>
      </c>
      <c r="B10" s="132" t="s">
        <v>54</v>
      </c>
      <c r="C10" s="132" t="s">
        <v>569</v>
      </c>
      <c r="D10" s="132" t="s">
        <v>612</v>
      </c>
      <c r="E10" s="132"/>
      <c r="F10" s="132"/>
      <c r="G10" s="210">
        <v>0.0</v>
      </c>
      <c r="H10" s="211">
        <v>0.0</v>
      </c>
      <c r="I10" s="188">
        <f t="shared" ref="I10:I11" si="1">round(3%*G10,0)</f>
        <v>0</v>
      </c>
      <c r="J10" s="212">
        <f t="shared" ref="J10:J11" si="2">sum(L10+N10+P10+R10)</f>
        <v>0</v>
      </c>
      <c r="K10" s="190" t="s">
        <v>38</v>
      </c>
      <c r="L10" s="212">
        <v>0.0</v>
      </c>
      <c r="M10" s="191"/>
      <c r="N10" s="192"/>
      <c r="O10" s="190"/>
      <c r="P10" s="189"/>
      <c r="Q10" s="191"/>
      <c r="R10" s="188"/>
      <c r="S10" s="188">
        <f t="shared" ref="S10:S11" si="3">round(20%*(G10-I10-J10),0)</f>
        <v>0</v>
      </c>
      <c r="T10" s="213">
        <f t="shared" ref="T10:T11" si="4">G10-H10-I10-J10-S10</f>
        <v>0</v>
      </c>
      <c r="U10" s="214"/>
      <c r="V10" s="215">
        <f t="shared" ref="V10:V11" si="5">round(T10-X10-Y10-Z10-AA10-AB10,0)</f>
        <v>0</v>
      </c>
      <c r="W10" s="216"/>
      <c r="X10" s="220">
        <f t="shared" ref="X10:X11" si="6">round(T10/5,-2)</f>
        <v>0</v>
      </c>
      <c r="Y10" s="220">
        <f t="shared" ref="Y10:Y11" si="7">round(T10/5,-2)</f>
        <v>0</v>
      </c>
      <c r="Z10" s="220">
        <f t="shared" ref="Z10:Z11" si="8">round(T10/5,-2)</f>
        <v>0</v>
      </c>
      <c r="AA10" s="220">
        <f t="shared" ref="AA10:AA11" si="9">round(T10/5,-2)</f>
        <v>0</v>
      </c>
      <c r="AB10" s="221">
        <f t="shared" ref="AB10:AB11" si="10">round(T10/5,-2)</f>
        <v>0</v>
      </c>
    </row>
    <row r="11">
      <c r="A11" s="132">
        <v>16.0</v>
      </c>
      <c r="B11" s="132" t="s">
        <v>54</v>
      </c>
      <c r="C11" s="132" t="s">
        <v>569</v>
      </c>
      <c r="D11" s="132" t="s">
        <v>612</v>
      </c>
      <c r="E11" s="132"/>
      <c r="F11" s="132"/>
      <c r="G11" s="210">
        <v>0.0</v>
      </c>
      <c r="H11" s="211">
        <v>0.0</v>
      </c>
      <c r="I11" s="188">
        <f t="shared" si="1"/>
        <v>0</v>
      </c>
      <c r="J11" s="212">
        <f t="shared" si="2"/>
        <v>0</v>
      </c>
      <c r="K11" s="190" t="s">
        <v>285</v>
      </c>
      <c r="L11" s="212">
        <v>0.0</v>
      </c>
      <c r="M11" s="191"/>
      <c r="N11" s="192"/>
      <c r="O11" s="190"/>
      <c r="P11" s="189"/>
      <c r="Q11" s="191"/>
      <c r="R11" s="188"/>
      <c r="S11" s="188">
        <f t="shared" si="3"/>
        <v>0</v>
      </c>
      <c r="T11" s="213">
        <f t="shared" si="4"/>
        <v>0</v>
      </c>
      <c r="U11" s="214"/>
      <c r="V11" s="215">
        <f t="shared" si="5"/>
        <v>0</v>
      </c>
      <c r="W11" s="216"/>
      <c r="X11" s="220">
        <f t="shared" si="6"/>
        <v>0</v>
      </c>
      <c r="Y11" s="220">
        <f t="shared" si="7"/>
        <v>0</v>
      </c>
      <c r="Z11" s="220">
        <f t="shared" si="8"/>
        <v>0</v>
      </c>
      <c r="AA11" s="220">
        <f t="shared" si="9"/>
        <v>0</v>
      </c>
      <c r="AB11" s="221">
        <f t="shared" si="10"/>
        <v>0</v>
      </c>
    </row>
    <row r="12">
      <c r="A12" s="219" t="s">
        <v>33</v>
      </c>
      <c r="B12" s="199"/>
      <c r="C12" s="199"/>
      <c r="D12" s="199"/>
      <c r="E12" s="199"/>
      <c r="F12" s="199"/>
      <c r="G12" s="200"/>
      <c r="H12" s="201"/>
      <c r="I12" s="202"/>
      <c r="J12" s="203"/>
      <c r="K12" s="204"/>
      <c r="L12" s="203"/>
      <c r="M12" s="204"/>
      <c r="N12" s="203"/>
      <c r="O12" s="204"/>
      <c r="P12" s="203"/>
      <c r="Q12" s="204"/>
      <c r="R12" s="202"/>
      <c r="S12" s="202"/>
      <c r="T12" s="205"/>
      <c r="U12" s="203"/>
      <c r="V12" s="206"/>
      <c r="W12" s="207"/>
      <c r="X12" s="222"/>
      <c r="Y12" s="222"/>
      <c r="Z12" s="222"/>
      <c r="AA12" s="222"/>
      <c r="AB12" s="209"/>
    </row>
    <row r="13">
      <c r="A13" s="219" t="s">
        <v>39</v>
      </c>
      <c r="B13" s="199"/>
      <c r="C13" s="199"/>
      <c r="D13" s="199"/>
      <c r="E13" s="199"/>
      <c r="F13" s="199"/>
      <c r="G13" s="200"/>
      <c r="H13" s="201"/>
      <c r="I13" s="202"/>
      <c r="J13" s="203"/>
      <c r="K13" s="204"/>
      <c r="L13" s="203"/>
      <c r="M13" s="204"/>
      <c r="N13" s="203"/>
      <c r="O13" s="204"/>
      <c r="P13" s="203"/>
      <c r="Q13" s="204"/>
      <c r="R13" s="202"/>
      <c r="S13" s="202"/>
      <c r="T13" s="205"/>
      <c r="U13" s="203"/>
      <c r="V13" s="206"/>
      <c r="W13" s="207"/>
      <c r="X13" s="222"/>
      <c r="Y13" s="222"/>
      <c r="Z13" s="222"/>
      <c r="AA13" s="222"/>
      <c r="AB13" s="209"/>
    </row>
    <row r="14">
      <c r="A14" s="132">
        <v>10.0</v>
      </c>
      <c r="B14" s="132" t="s">
        <v>54</v>
      </c>
      <c r="C14" s="132" t="s">
        <v>569</v>
      </c>
      <c r="D14" s="50" t="s">
        <v>1064</v>
      </c>
      <c r="E14" s="132"/>
      <c r="F14" s="50"/>
      <c r="G14" s="210">
        <v>0.0</v>
      </c>
      <c r="H14" s="211">
        <v>0.0</v>
      </c>
      <c r="I14" s="193">
        <v>0.0</v>
      </c>
      <c r="J14" s="212">
        <v>0.0</v>
      </c>
      <c r="K14" s="190" t="s">
        <v>38</v>
      </c>
      <c r="L14" s="212">
        <v>0.0</v>
      </c>
      <c r="M14" s="191"/>
      <c r="N14" s="192"/>
      <c r="O14" s="190"/>
      <c r="P14" s="189"/>
      <c r="Q14" s="191"/>
      <c r="R14" s="188"/>
      <c r="S14" s="188">
        <f>round(20%*(G14-I14-J14),0)</f>
        <v>0</v>
      </c>
      <c r="T14" s="213">
        <f t="shared" ref="T14:T15" si="11">G14-H14-I14-J14-S14</f>
        <v>0</v>
      </c>
      <c r="U14" s="214"/>
      <c r="V14" s="215">
        <f t="shared" ref="V14:V15" si="12">round(T14-X14-Y14-Z14-AA14-AB14,0)</f>
        <v>0</v>
      </c>
      <c r="W14" s="216"/>
      <c r="X14" s="220">
        <f>round(T14/5,-2)</f>
        <v>0</v>
      </c>
      <c r="Y14" s="220">
        <f>round(T14/5,-2)</f>
        <v>0</v>
      </c>
      <c r="Z14" s="220">
        <f>round(T14/5,-2)</f>
        <v>0</v>
      </c>
      <c r="AA14" s="220">
        <f>round(T14/5,-2)</f>
        <v>0</v>
      </c>
      <c r="AB14" s="221">
        <f>round(T14/5,-2)</f>
        <v>0</v>
      </c>
    </row>
    <row r="15">
      <c r="A15" s="132">
        <v>17.0</v>
      </c>
      <c r="B15" s="132" t="s">
        <v>54</v>
      </c>
      <c r="C15" s="132" t="s">
        <v>569</v>
      </c>
      <c r="D15" s="50" t="s">
        <v>1065</v>
      </c>
      <c r="E15" s="132"/>
      <c r="F15" s="50" t="s">
        <v>1066</v>
      </c>
      <c r="G15" s="210">
        <v>4943.0</v>
      </c>
      <c r="H15" s="211">
        <v>0.0</v>
      </c>
      <c r="I15" s="188">
        <f>round(3%*G15,0)</f>
        <v>148</v>
      </c>
      <c r="J15" s="212">
        <f>sum(L15+N15+P15+R15)</f>
        <v>1350</v>
      </c>
      <c r="K15" s="190" t="s">
        <v>38</v>
      </c>
      <c r="L15" s="212">
        <v>750.0</v>
      </c>
      <c r="M15" s="191"/>
      <c r="N15" s="192"/>
      <c r="O15" s="190" t="s">
        <v>1067</v>
      </c>
      <c r="P15" s="212">
        <v>600.0</v>
      </c>
      <c r="Q15" s="191"/>
      <c r="R15" s="188"/>
      <c r="S15" s="193">
        <v>0.0</v>
      </c>
      <c r="T15" s="213">
        <f t="shared" si="11"/>
        <v>3445</v>
      </c>
      <c r="U15" s="214"/>
      <c r="V15" s="215">
        <f t="shared" si="12"/>
        <v>3445</v>
      </c>
      <c r="W15" s="216"/>
      <c r="X15" s="217">
        <v>0.0</v>
      </c>
      <c r="Y15" s="217">
        <v>0.0</v>
      </c>
      <c r="Z15" s="217">
        <v>0.0</v>
      </c>
      <c r="AA15" s="217">
        <v>0.0</v>
      </c>
      <c r="AB15" s="218">
        <v>0.0</v>
      </c>
    </row>
    <row r="16">
      <c r="A16" s="219" t="s">
        <v>42</v>
      </c>
      <c r="B16" s="199"/>
      <c r="C16" s="199"/>
      <c r="D16" s="199"/>
      <c r="E16" s="199"/>
      <c r="F16" s="199"/>
      <c r="G16" s="200"/>
      <c r="H16" s="201"/>
      <c r="I16" s="202"/>
      <c r="J16" s="203"/>
      <c r="K16" s="204"/>
      <c r="L16" s="203"/>
      <c r="M16" s="204"/>
      <c r="N16" s="203"/>
      <c r="O16" s="204"/>
      <c r="P16" s="203"/>
      <c r="Q16" s="204"/>
      <c r="R16" s="202"/>
      <c r="S16" s="202"/>
      <c r="T16" s="205"/>
      <c r="U16" s="203"/>
      <c r="V16" s="206"/>
      <c r="W16" s="207"/>
      <c r="X16" s="222"/>
      <c r="Y16" s="222"/>
      <c r="Z16" s="222"/>
      <c r="AA16" s="222"/>
      <c r="AB16" s="209"/>
    </row>
    <row r="17">
      <c r="A17" s="132">
        <v>23.0</v>
      </c>
      <c r="B17" s="132" t="s">
        <v>54</v>
      </c>
      <c r="C17" s="132" t="s">
        <v>569</v>
      </c>
      <c r="D17" s="50" t="s">
        <v>1068</v>
      </c>
      <c r="E17" s="132"/>
      <c r="F17" s="50" t="s">
        <v>90</v>
      </c>
      <c r="G17" s="210">
        <v>4943.0</v>
      </c>
      <c r="H17" s="211">
        <v>0.0</v>
      </c>
      <c r="I17" s="188">
        <f>round(3%*G17,0)</f>
        <v>148</v>
      </c>
      <c r="J17" s="189">
        <f>sum(L17+N17+P17+R17)</f>
        <v>1850</v>
      </c>
      <c r="K17" s="190" t="s">
        <v>38</v>
      </c>
      <c r="L17" s="189">
        <v>750.0</v>
      </c>
      <c r="M17" s="190" t="s">
        <v>1069</v>
      </c>
      <c r="N17" s="212">
        <v>500.0</v>
      </c>
      <c r="O17" s="190" t="s">
        <v>25</v>
      </c>
      <c r="P17" s="212">
        <v>600.0</v>
      </c>
      <c r="Q17" s="191"/>
      <c r="R17" s="188"/>
      <c r="S17" s="193">
        <v>0.0</v>
      </c>
      <c r="T17" s="213">
        <f>G17-H17-I17-J17-S17</f>
        <v>2945</v>
      </c>
      <c r="U17" s="214"/>
      <c r="V17" s="215">
        <f>round(T17-X17-Y17-Z17-AA17-AB17,0)</f>
        <v>2945</v>
      </c>
      <c r="W17" s="216"/>
      <c r="X17" s="217">
        <v>0.0</v>
      </c>
      <c r="Y17" s="217">
        <v>0.0</v>
      </c>
      <c r="Z17" s="217">
        <v>0.0</v>
      </c>
      <c r="AA17" s="217">
        <v>0.0</v>
      </c>
      <c r="AB17" s="218">
        <v>0.0</v>
      </c>
    </row>
    <row r="18">
      <c r="A18" s="219" t="s">
        <v>44</v>
      </c>
      <c r="B18" s="199"/>
      <c r="C18" s="199"/>
      <c r="D18" s="199"/>
      <c r="E18" s="199"/>
      <c r="F18" s="199"/>
      <c r="G18" s="200"/>
      <c r="H18" s="201"/>
      <c r="I18" s="202"/>
      <c r="J18" s="203"/>
      <c r="K18" s="204"/>
      <c r="L18" s="203"/>
      <c r="M18" s="204"/>
      <c r="N18" s="203"/>
      <c r="O18" s="204"/>
      <c r="P18" s="203"/>
      <c r="Q18" s="204"/>
      <c r="R18" s="202"/>
      <c r="S18" s="202"/>
      <c r="T18" s="205"/>
      <c r="U18" s="203"/>
      <c r="V18" s="206"/>
      <c r="W18" s="207"/>
      <c r="X18" s="222"/>
      <c r="Y18" s="222"/>
      <c r="Z18" s="222"/>
      <c r="AA18" s="222"/>
      <c r="AB18" s="209"/>
    </row>
    <row r="19">
      <c r="A19" s="132">
        <v>1.0</v>
      </c>
      <c r="B19" s="132" t="s">
        <v>54</v>
      </c>
      <c r="C19" s="132" t="s">
        <v>569</v>
      </c>
      <c r="D19" s="50" t="s">
        <v>1070</v>
      </c>
      <c r="E19" s="132" t="s">
        <v>1071</v>
      </c>
      <c r="F19" s="50" t="s">
        <v>1072</v>
      </c>
      <c r="G19" s="210">
        <v>6200.0</v>
      </c>
      <c r="H19" s="211">
        <v>0.0</v>
      </c>
      <c r="I19" s="188">
        <f t="shared" ref="I19:I23" si="13">round(3%*G19,0)</f>
        <v>186</v>
      </c>
      <c r="J19" s="189">
        <f t="shared" ref="J19:J23" si="14">sum(L19+N19+P19+R19)</f>
        <v>2100</v>
      </c>
      <c r="K19" s="190" t="s">
        <v>285</v>
      </c>
      <c r="L19" s="189">
        <v>1500.0</v>
      </c>
      <c r="M19" s="190" t="s">
        <v>1069</v>
      </c>
      <c r="N19" s="212">
        <v>600.0</v>
      </c>
      <c r="O19" s="190"/>
      <c r="P19" s="192"/>
      <c r="Q19" s="190"/>
      <c r="R19" s="188"/>
      <c r="S19" s="193">
        <v>0.0</v>
      </c>
      <c r="T19" s="213">
        <f t="shared" ref="T19:T20" si="15">G19-H19-I19-J19-S19</f>
        <v>3914</v>
      </c>
      <c r="U19" s="214"/>
      <c r="V19" s="215">
        <f t="shared" ref="V19:V20" si="16">round(T19-X19-Y19-Z19-AA19-AB19,0)</f>
        <v>3914</v>
      </c>
      <c r="W19" s="216"/>
      <c r="X19" s="217">
        <v>0.0</v>
      </c>
      <c r="Y19" s="217">
        <v>0.0</v>
      </c>
      <c r="Z19" s="217">
        <v>0.0</v>
      </c>
      <c r="AA19" s="217">
        <v>0.0</v>
      </c>
      <c r="AB19" s="218">
        <v>0.0</v>
      </c>
    </row>
    <row r="20">
      <c r="A20" s="132">
        <v>14.0</v>
      </c>
      <c r="B20" s="132" t="s">
        <v>54</v>
      </c>
      <c r="C20" s="132" t="s">
        <v>569</v>
      </c>
      <c r="D20" s="50" t="s">
        <v>592</v>
      </c>
      <c r="E20" s="132"/>
      <c r="F20" s="50" t="s">
        <v>848</v>
      </c>
      <c r="G20" s="210">
        <v>4943.0</v>
      </c>
      <c r="H20" s="211">
        <v>0.0</v>
      </c>
      <c r="I20" s="188">
        <f t="shared" si="13"/>
        <v>148</v>
      </c>
      <c r="J20" s="189">
        <f t="shared" si="14"/>
        <v>1750</v>
      </c>
      <c r="K20" s="190" t="s">
        <v>38</v>
      </c>
      <c r="L20" s="189">
        <v>750.0</v>
      </c>
      <c r="M20" s="190" t="s">
        <v>1069</v>
      </c>
      <c r="N20" s="212">
        <v>400.0</v>
      </c>
      <c r="O20" s="190" t="s">
        <v>25</v>
      </c>
      <c r="P20" s="189">
        <v>600.0</v>
      </c>
      <c r="Q20" s="191"/>
      <c r="R20" s="188"/>
      <c r="S20" s="193">
        <v>0.0</v>
      </c>
      <c r="T20" s="213">
        <f t="shared" si="15"/>
        <v>3045</v>
      </c>
      <c r="U20" s="214"/>
      <c r="V20" s="215">
        <f t="shared" si="16"/>
        <v>3045</v>
      </c>
      <c r="W20" s="216"/>
      <c r="X20" s="217">
        <v>0.0</v>
      </c>
      <c r="Y20" s="217">
        <v>0.0</v>
      </c>
      <c r="Z20" s="217">
        <v>0.0</v>
      </c>
      <c r="AA20" s="217">
        <v>0.0</v>
      </c>
      <c r="AB20" s="218">
        <v>0.0</v>
      </c>
    </row>
    <row r="21">
      <c r="A21" s="132">
        <v>26.0</v>
      </c>
      <c r="B21" s="132" t="s">
        <v>54</v>
      </c>
      <c r="C21" s="132" t="s">
        <v>569</v>
      </c>
      <c r="D21" s="50" t="s">
        <v>1073</v>
      </c>
      <c r="E21" s="132"/>
      <c r="F21" s="50" t="s">
        <v>1074</v>
      </c>
      <c r="G21" s="210">
        <v>0.0</v>
      </c>
      <c r="H21" s="211">
        <v>0.0</v>
      </c>
      <c r="I21" s="188">
        <f t="shared" si="13"/>
        <v>0</v>
      </c>
      <c r="J21" s="189">
        <f t="shared" si="14"/>
        <v>1050</v>
      </c>
      <c r="K21" s="190" t="s">
        <v>38</v>
      </c>
      <c r="L21" s="189">
        <v>0.0</v>
      </c>
      <c r="M21" s="190" t="s">
        <v>1069</v>
      </c>
      <c r="N21" s="212">
        <v>1050.0</v>
      </c>
      <c r="O21" s="191"/>
      <c r="P21" s="192"/>
      <c r="Q21" s="190"/>
      <c r="R21" s="188"/>
      <c r="S21" s="188"/>
      <c r="T21" s="213"/>
      <c r="U21" s="214"/>
      <c r="V21" s="215"/>
      <c r="W21" s="216"/>
      <c r="X21" s="217">
        <v>0.0</v>
      </c>
      <c r="Y21" s="217">
        <v>0.0</v>
      </c>
      <c r="Z21" s="217">
        <v>0.0</v>
      </c>
      <c r="AA21" s="217">
        <v>0.0</v>
      </c>
      <c r="AB21" s="218">
        <v>0.0</v>
      </c>
    </row>
    <row r="22">
      <c r="A22" s="132">
        <v>27.0</v>
      </c>
      <c r="B22" s="132" t="s">
        <v>34</v>
      </c>
      <c r="C22" s="132" t="s">
        <v>35</v>
      </c>
      <c r="D22" s="50" t="s">
        <v>1075</v>
      </c>
      <c r="E22" s="132" t="s">
        <v>1076</v>
      </c>
      <c r="F22" s="50"/>
      <c r="G22" s="210">
        <v>14922.0</v>
      </c>
      <c r="H22" s="211">
        <v>1484.0</v>
      </c>
      <c r="I22" s="188">
        <f t="shared" si="13"/>
        <v>448</v>
      </c>
      <c r="J22" s="189">
        <f t="shared" si="14"/>
        <v>2600</v>
      </c>
      <c r="K22" s="190" t="s">
        <v>285</v>
      </c>
      <c r="L22" s="189">
        <v>1700.0</v>
      </c>
      <c r="M22" s="191"/>
      <c r="N22" s="192"/>
      <c r="O22" s="190" t="s">
        <v>1067</v>
      </c>
      <c r="P22" s="189">
        <v>900.0</v>
      </c>
      <c r="Q22" s="191"/>
      <c r="R22" s="188"/>
      <c r="S22" s="188">
        <f>round(20%*(G22-I22-J22),0)</f>
        <v>2375</v>
      </c>
      <c r="T22" s="213">
        <f t="shared" ref="T22:T23" si="17">G22-H22-I22-J22-S22</f>
        <v>8015</v>
      </c>
      <c r="U22" s="214"/>
      <c r="V22" s="215">
        <f t="shared" ref="V22:V23" si="18">round(T22-X22-Y22-Z22-AA22-AB22,0)</f>
        <v>15</v>
      </c>
      <c r="W22" s="216"/>
      <c r="X22" s="220">
        <f>round(T22/5,-2)</f>
        <v>1600</v>
      </c>
      <c r="Y22" s="220">
        <f>round(T22/5,-2)</f>
        <v>1600</v>
      </c>
      <c r="Z22" s="220">
        <f>round(T22/5,-2)</f>
        <v>1600</v>
      </c>
      <c r="AA22" s="220">
        <f>round(T22/5,-2)</f>
        <v>1600</v>
      </c>
      <c r="AB22" s="221">
        <f>round(T22/5,-2)</f>
        <v>1600</v>
      </c>
    </row>
    <row r="23">
      <c r="A23" s="132">
        <v>28.0</v>
      </c>
      <c r="B23" s="132" t="s">
        <v>54</v>
      </c>
      <c r="C23" s="132" t="s">
        <v>569</v>
      </c>
      <c r="D23" s="50" t="s">
        <v>1062</v>
      </c>
      <c r="E23" s="132"/>
      <c r="F23" s="50" t="s">
        <v>1063</v>
      </c>
      <c r="G23" s="187">
        <v>6000.0</v>
      </c>
      <c r="H23" s="211">
        <v>0.0</v>
      </c>
      <c r="I23" s="188">
        <f t="shared" si="13"/>
        <v>180</v>
      </c>
      <c r="J23" s="189">
        <f t="shared" si="14"/>
        <v>1700</v>
      </c>
      <c r="K23" s="190" t="s">
        <v>38</v>
      </c>
      <c r="L23" s="189">
        <v>900.0</v>
      </c>
      <c r="M23" s="190" t="s">
        <v>1069</v>
      </c>
      <c r="N23" s="212">
        <v>800.0</v>
      </c>
      <c r="O23" s="190"/>
      <c r="P23" s="192"/>
      <c r="Q23" s="191"/>
      <c r="R23" s="188"/>
      <c r="S23" s="193">
        <v>0.0</v>
      </c>
      <c r="T23" s="213">
        <f t="shared" si="17"/>
        <v>4120</v>
      </c>
      <c r="U23" s="214"/>
      <c r="V23" s="215">
        <f t="shared" si="18"/>
        <v>4120</v>
      </c>
      <c r="W23" s="216"/>
      <c r="X23" s="217">
        <v>0.0</v>
      </c>
      <c r="Y23" s="217">
        <v>0.0</v>
      </c>
      <c r="Z23" s="217">
        <v>0.0</v>
      </c>
      <c r="AA23" s="217">
        <v>0.0</v>
      </c>
      <c r="AB23" s="218">
        <v>0.0</v>
      </c>
    </row>
    <row r="24">
      <c r="A24" s="219" t="s">
        <v>47</v>
      </c>
      <c r="B24" s="199"/>
      <c r="C24" s="199"/>
      <c r="D24" s="199"/>
      <c r="E24" s="199"/>
      <c r="F24" s="199"/>
      <c r="G24" s="200"/>
      <c r="H24" s="201"/>
      <c r="I24" s="202"/>
      <c r="J24" s="203"/>
      <c r="K24" s="204"/>
      <c r="L24" s="203"/>
      <c r="M24" s="204"/>
      <c r="N24" s="203"/>
      <c r="O24" s="204"/>
      <c r="P24" s="203"/>
      <c r="Q24" s="204"/>
      <c r="R24" s="202"/>
      <c r="S24" s="202"/>
      <c r="T24" s="205"/>
      <c r="U24" s="203"/>
      <c r="V24" s="206"/>
      <c r="W24" s="207"/>
      <c r="X24" s="222"/>
      <c r="Y24" s="222"/>
      <c r="Z24" s="222"/>
      <c r="AA24" s="222"/>
      <c r="AB24" s="209"/>
    </row>
    <row r="25">
      <c r="A25" s="132">
        <v>2.0</v>
      </c>
      <c r="B25" s="132" t="s">
        <v>54</v>
      </c>
      <c r="C25" s="132" t="s">
        <v>569</v>
      </c>
      <c r="D25" s="50" t="s">
        <v>1077</v>
      </c>
      <c r="E25" s="132"/>
      <c r="F25" s="50" t="s">
        <v>81</v>
      </c>
      <c r="G25" s="187">
        <v>4943.0</v>
      </c>
      <c r="H25" s="211">
        <v>0.0</v>
      </c>
      <c r="I25" s="188"/>
      <c r="J25" s="189"/>
      <c r="K25" s="190"/>
      <c r="L25" s="189">
        <v>750.0</v>
      </c>
      <c r="M25" s="191"/>
      <c r="N25" s="192"/>
      <c r="O25" s="191"/>
      <c r="P25" s="192"/>
      <c r="Q25" s="191"/>
      <c r="R25" s="188"/>
      <c r="S25" s="188"/>
      <c r="T25" s="213"/>
      <c r="U25" s="214"/>
      <c r="V25" s="215"/>
      <c r="W25" s="216"/>
      <c r="X25" s="223"/>
      <c r="Y25" s="223"/>
      <c r="Z25" s="223"/>
      <c r="AA25" s="223"/>
      <c r="AB25" s="188"/>
    </row>
    <row r="26">
      <c r="A26" s="132">
        <v>4.0</v>
      </c>
      <c r="B26" s="132" t="s">
        <v>34</v>
      </c>
      <c r="C26" s="132" t="s">
        <v>35</v>
      </c>
      <c r="D26" s="50" t="s">
        <v>1078</v>
      </c>
      <c r="E26" s="132" t="s">
        <v>1079</v>
      </c>
      <c r="F26" s="50"/>
      <c r="G26" s="210">
        <v>12068.0</v>
      </c>
      <c r="H26" s="211">
        <v>1477.0</v>
      </c>
      <c r="I26" s="188">
        <f t="shared" ref="I26:I28" si="19">round(3%*G26,0)</f>
        <v>362</v>
      </c>
      <c r="J26" s="189">
        <f t="shared" ref="J26:J28" si="20">sum(L26+N26+P26+R26)</f>
        <v>950</v>
      </c>
      <c r="K26" s="190" t="s">
        <v>38</v>
      </c>
      <c r="L26" s="189">
        <v>950.0</v>
      </c>
      <c r="M26" s="191"/>
      <c r="N26" s="192"/>
      <c r="O26" s="191"/>
      <c r="P26" s="192"/>
      <c r="Q26" s="191"/>
      <c r="R26" s="188"/>
      <c r="S26" s="193">
        <v>1600.0</v>
      </c>
      <c r="T26" s="213">
        <f t="shared" ref="T26:T28" si="21">G26-H26-I26-J26-S26</f>
        <v>7679</v>
      </c>
      <c r="U26" s="214"/>
      <c r="V26" s="215">
        <f t="shared" ref="V26:V28" si="22">round(T26-X26-Y26-Z26-AA26-AB26,0)</f>
        <v>179</v>
      </c>
      <c r="W26" s="216"/>
      <c r="X26" s="220">
        <f t="shared" ref="X26:X28" si="23">round(T26/5,-2)</f>
        <v>1500</v>
      </c>
      <c r="Y26" s="220">
        <f t="shared" ref="Y26:Y28" si="24">round(T26/5,-2)</f>
        <v>1500</v>
      </c>
      <c r="Z26" s="220">
        <f t="shared" ref="Z26:Z28" si="25">round(T26/5,-2)</f>
        <v>1500</v>
      </c>
      <c r="AA26" s="220">
        <f t="shared" ref="AA26:AA28" si="26">round(T26/5,-2)</f>
        <v>1500</v>
      </c>
      <c r="AB26" s="221">
        <f t="shared" ref="AB26:AB28" si="27">round(T26/5,-2)</f>
        <v>1500</v>
      </c>
    </row>
    <row r="27">
      <c r="A27" s="132">
        <v>16.0</v>
      </c>
      <c r="B27" s="132" t="s">
        <v>34</v>
      </c>
      <c r="C27" s="132" t="s">
        <v>35</v>
      </c>
      <c r="D27" s="50" t="s">
        <v>1080</v>
      </c>
      <c r="E27" s="132" t="s">
        <v>1081</v>
      </c>
      <c r="F27" s="50"/>
      <c r="G27" s="187">
        <v>17229.0</v>
      </c>
      <c r="H27" s="211">
        <v>1484.0</v>
      </c>
      <c r="I27" s="188">
        <f t="shared" si="19"/>
        <v>517</v>
      </c>
      <c r="J27" s="189">
        <f t="shared" si="20"/>
        <v>6300</v>
      </c>
      <c r="K27" s="190" t="s">
        <v>285</v>
      </c>
      <c r="L27" s="189">
        <v>1700.0</v>
      </c>
      <c r="M27" s="191"/>
      <c r="N27" s="192"/>
      <c r="O27" s="190" t="s">
        <v>25</v>
      </c>
      <c r="P27" s="189">
        <v>200.0</v>
      </c>
      <c r="Q27" s="190" t="s">
        <v>1082</v>
      </c>
      <c r="R27" s="224">
        <v>4400.0</v>
      </c>
      <c r="S27" s="193">
        <v>1000.0</v>
      </c>
      <c r="T27" s="213">
        <f t="shared" si="21"/>
        <v>7928</v>
      </c>
      <c r="U27" s="214"/>
      <c r="V27" s="215">
        <f t="shared" si="22"/>
        <v>-72</v>
      </c>
      <c r="W27" s="216"/>
      <c r="X27" s="223">
        <f t="shared" si="23"/>
        <v>1600</v>
      </c>
      <c r="Y27" s="223">
        <f t="shared" si="24"/>
        <v>1600</v>
      </c>
      <c r="Z27" s="223">
        <f t="shared" si="25"/>
        <v>1600</v>
      </c>
      <c r="AA27" s="223">
        <f t="shared" si="26"/>
        <v>1600</v>
      </c>
      <c r="AB27" s="188">
        <f t="shared" si="27"/>
        <v>1600</v>
      </c>
    </row>
    <row r="28">
      <c r="A28" s="132">
        <v>17.0</v>
      </c>
      <c r="B28" s="132" t="s">
        <v>54</v>
      </c>
      <c r="C28" s="132" t="s">
        <v>569</v>
      </c>
      <c r="D28" s="50" t="s">
        <v>1083</v>
      </c>
      <c r="E28" s="132"/>
      <c r="F28" s="50" t="s">
        <v>1084</v>
      </c>
      <c r="G28" s="187">
        <v>8368.0</v>
      </c>
      <c r="H28" s="211">
        <v>0.0</v>
      </c>
      <c r="I28" s="188">
        <f t="shared" si="19"/>
        <v>251</v>
      </c>
      <c r="J28" s="189">
        <f t="shared" si="20"/>
        <v>1250</v>
      </c>
      <c r="K28" s="190" t="s">
        <v>38</v>
      </c>
      <c r="L28" s="189">
        <v>750.0</v>
      </c>
      <c r="M28" s="190" t="s">
        <v>1069</v>
      </c>
      <c r="N28" s="189">
        <v>500.0</v>
      </c>
      <c r="O28" s="190"/>
      <c r="P28" s="189"/>
      <c r="Q28" s="190"/>
      <c r="R28" s="224"/>
      <c r="S28" s="188">
        <f>round(20%*(G28-I28-J28),0)</f>
        <v>1373</v>
      </c>
      <c r="T28" s="213">
        <f t="shared" si="21"/>
        <v>5494</v>
      </c>
      <c r="U28" s="214"/>
      <c r="V28" s="215">
        <f t="shared" si="22"/>
        <v>-6</v>
      </c>
      <c r="W28" s="216"/>
      <c r="X28" s="223">
        <f t="shared" si="23"/>
        <v>1100</v>
      </c>
      <c r="Y28" s="223">
        <f t="shared" si="24"/>
        <v>1100</v>
      </c>
      <c r="Z28" s="223">
        <f t="shared" si="25"/>
        <v>1100</v>
      </c>
      <c r="AA28" s="223">
        <f t="shared" si="26"/>
        <v>1100</v>
      </c>
      <c r="AB28" s="188">
        <f t="shared" si="27"/>
        <v>1100</v>
      </c>
    </row>
    <row r="29">
      <c r="A29" s="132">
        <v>24.0</v>
      </c>
      <c r="B29" s="132" t="s">
        <v>54</v>
      </c>
      <c r="C29" s="132" t="s">
        <v>569</v>
      </c>
      <c r="D29" s="50" t="s">
        <v>1085</v>
      </c>
      <c r="E29" s="132"/>
      <c r="F29" s="50" t="s">
        <v>853</v>
      </c>
      <c r="G29" s="187">
        <v>5911.0</v>
      </c>
      <c r="H29" s="211">
        <v>0.0</v>
      </c>
      <c r="I29" s="188"/>
      <c r="J29" s="189"/>
      <c r="K29" s="190"/>
      <c r="L29" s="189"/>
      <c r="M29" s="191"/>
      <c r="N29" s="192"/>
      <c r="O29" s="190"/>
      <c r="P29" s="189"/>
      <c r="Q29" s="190"/>
      <c r="R29" s="224"/>
      <c r="S29" s="188"/>
      <c r="T29" s="213"/>
      <c r="U29" s="214"/>
      <c r="V29" s="215"/>
      <c r="W29" s="216"/>
      <c r="X29" s="223"/>
      <c r="Y29" s="223"/>
      <c r="Z29" s="223"/>
      <c r="AA29" s="223"/>
      <c r="AB29" s="188"/>
    </row>
    <row r="30">
      <c r="A30" s="219" t="s">
        <v>50</v>
      </c>
      <c r="B30" s="199"/>
      <c r="C30" s="199"/>
      <c r="D30" s="199"/>
      <c r="E30" s="199"/>
      <c r="F30" s="199"/>
      <c r="G30" s="200"/>
      <c r="H30" s="201"/>
      <c r="I30" s="202"/>
      <c r="J30" s="203"/>
      <c r="K30" s="204"/>
      <c r="L30" s="203"/>
      <c r="M30" s="204"/>
      <c r="N30" s="203"/>
      <c r="O30" s="204"/>
      <c r="P30" s="203"/>
      <c r="Q30" s="204"/>
      <c r="R30" s="202"/>
      <c r="S30" s="202"/>
      <c r="T30" s="205"/>
      <c r="U30" s="203"/>
      <c r="V30" s="206"/>
      <c r="W30" s="207"/>
      <c r="X30" s="208"/>
      <c r="Y30" s="208"/>
      <c r="Z30" s="208"/>
      <c r="AA30" s="208"/>
      <c r="AB30" s="209"/>
    </row>
    <row r="31">
      <c r="A31" s="132">
        <v>22.0</v>
      </c>
      <c r="B31" s="132" t="s">
        <v>34</v>
      </c>
      <c r="C31" s="132" t="s">
        <v>35</v>
      </c>
      <c r="D31" s="50" t="s">
        <v>1086</v>
      </c>
      <c r="E31" s="132" t="s">
        <v>1087</v>
      </c>
      <c r="G31" s="187">
        <v>13050.0</v>
      </c>
      <c r="H31" s="211">
        <v>1450.0</v>
      </c>
      <c r="I31" s="188">
        <f t="shared" ref="I31:I32" si="28">round(3%*G31,0)</f>
        <v>392</v>
      </c>
      <c r="J31" s="189">
        <f t="shared" ref="J31:J32" si="29">sum(L31+N31+P31+R31)</f>
        <v>950</v>
      </c>
      <c r="K31" s="190" t="s">
        <v>38</v>
      </c>
      <c r="L31" s="189">
        <v>950.0</v>
      </c>
      <c r="M31" s="191"/>
      <c r="N31" s="192"/>
      <c r="O31" s="191"/>
      <c r="P31" s="192"/>
      <c r="Q31" s="191"/>
      <c r="R31" s="188"/>
      <c r="S31" s="188">
        <f t="shared" ref="S31:S32" si="30">round(20%*(G31-I31-J31),0)</f>
        <v>2342</v>
      </c>
      <c r="T31" s="213">
        <f t="shared" ref="T31:T32" si="31">G31-H31-I31-J31-S31</f>
        <v>7916</v>
      </c>
      <c r="U31" s="214"/>
      <c r="V31" s="215">
        <f t="shared" ref="V31:V32" si="32">round(T31-X31-Y31-Z31-AA31-AB31,0)</f>
        <v>-84</v>
      </c>
      <c r="W31" s="216"/>
      <c r="X31" s="223">
        <f t="shared" ref="X31:X32" si="33">round(T31/5,-2)</f>
        <v>1600</v>
      </c>
      <c r="Y31" s="223">
        <f t="shared" ref="Y31:Y32" si="34">round(T31/5,-2)</f>
        <v>1600</v>
      </c>
      <c r="Z31" s="223">
        <f t="shared" ref="Z31:Z32" si="35">round(T31/5,-2)</f>
        <v>1600</v>
      </c>
      <c r="AA31" s="223">
        <f t="shared" ref="AA31:AA32" si="36">round(T31/5,-2)</f>
        <v>1600</v>
      </c>
      <c r="AB31" s="188">
        <f t="shared" ref="AB31:AB32" si="37">round(T31/5,-2)</f>
        <v>1600</v>
      </c>
    </row>
    <row r="32">
      <c r="A32" s="132">
        <v>23.0</v>
      </c>
      <c r="B32" s="132" t="s">
        <v>34</v>
      </c>
      <c r="C32" s="132" t="s">
        <v>35</v>
      </c>
      <c r="D32" s="50" t="s">
        <v>1088</v>
      </c>
      <c r="E32" s="132"/>
      <c r="G32" s="187">
        <v>14268.0</v>
      </c>
      <c r="H32" s="196">
        <v>1476.0</v>
      </c>
      <c r="I32" s="188">
        <f t="shared" si="28"/>
        <v>428</v>
      </c>
      <c r="J32" s="189">
        <f t="shared" si="29"/>
        <v>1750</v>
      </c>
      <c r="K32" s="190" t="s">
        <v>285</v>
      </c>
      <c r="L32" s="189">
        <v>1750.0</v>
      </c>
      <c r="M32" s="191"/>
      <c r="N32" s="192"/>
      <c r="O32" s="191"/>
      <c r="P32" s="192"/>
      <c r="Q32" s="191"/>
      <c r="R32" s="188"/>
      <c r="S32" s="188">
        <f t="shared" si="30"/>
        <v>2418</v>
      </c>
      <c r="T32" s="213">
        <f t="shared" si="31"/>
        <v>8196</v>
      </c>
      <c r="U32" s="214"/>
      <c r="V32" s="215">
        <f t="shared" si="32"/>
        <v>196</v>
      </c>
      <c r="W32" s="216"/>
      <c r="X32" s="223">
        <f t="shared" si="33"/>
        <v>1600</v>
      </c>
      <c r="Y32" s="223">
        <f t="shared" si="34"/>
        <v>1600</v>
      </c>
      <c r="Z32" s="223">
        <f t="shared" si="35"/>
        <v>1600</v>
      </c>
      <c r="AA32" s="223">
        <f t="shared" si="36"/>
        <v>1600</v>
      </c>
      <c r="AB32" s="188">
        <f t="shared" si="37"/>
        <v>1600</v>
      </c>
    </row>
    <row r="33">
      <c r="A33" s="219" t="s">
        <v>97</v>
      </c>
      <c r="B33" s="199"/>
      <c r="C33" s="199"/>
      <c r="D33" s="199"/>
      <c r="E33" s="199"/>
      <c r="F33" s="199"/>
      <c r="G33" s="200"/>
      <c r="H33" s="201"/>
      <c r="I33" s="202"/>
      <c r="J33" s="203"/>
      <c r="K33" s="204"/>
      <c r="L33" s="203"/>
      <c r="M33" s="204"/>
      <c r="N33" s="203"/>
      <c r="O33" s="204"/>
      <c r="P33" s="203"/>
      <c r="Q33" s="204"/>
      <c r="R33" s="202"/>
      <c r="S33" s="202"/>
      <c r="T33" s="205"/>
      <c r="U33" s="203"/>
      <c r="V33" s="206"/>
      <c r="W33" s="207"/>
      <c r="X33" s="208"/>
      <c r="Y33" s="208"/>
      <c r="Z33" s="208"/>
      <c r="AA33" s="208"/>
      <c r="AB33" s="209"/>
    </row>
    <row r="34">
      <c r="A34" s="132">
        <v>4.0</v>
      </c>
      <c r="B34" s="132" t="s">
        <v>34</v>
      </c>
      <c r="C34" s="132" t="s">
        <v>854</v>
      </c>
      <c r="D34" s="50" t="s">
        <v>1089</v>
      </c>
      <c r="E34" s="132"/>
      <c r="F34" s="50" t="s">
        <v>855</v>
      </c>
      <c r="G34" s="187"/>
      <c r="H34" s="196"/>
      <c r="I34" s="188"/>
      <c r="J34" s="189"/>
      <c r="K34" s="190"/>
      <c r="L34" s="189"/>
      <c r="M34" s="191"/>
      <c r="N34" s="192"/>
      <c r="O34" s="191"/>
      <c r="P34" s="192"/>
      <c r="Q34" s="191"/>
      <c r="R34" s="188"/>
      <c r="S34" s="188"/>
      <c r="T34" s="213"/>
      <c r="U34" s="214"/>
      <c r="V34" s="215"/>
      <c r="W34" s="216"/>
      <c r="X34" s="223"/>
      <c r="Y34" s="223"/>
      <c r="Z34" s="223"/>
      <c r="AA34" s="223"/>
      <c r="AB34" s="188"/>
    </row>
    <row r="35">
      <c r="A35" s="219" t="s">
        <v>52</v>
      </c>
      <c r="B35" s="199"/>
      <c r="C35" s="199"/>
      <c r="D35" s="199"/>
      <c r="E35" s="199"/>
      <c r="F35" s="199"/>
      <c r="G35" s="200"/>
      <c r="H35" s="201"/>
      <c r="I35" s="202"/>
      <c r="J35" s="203"/>
      <c r="K35" s="204"/>
      <c r="L35" s="203"/>
      <c r="M35" s="204"/>
      <c r="N35" s="203"/>
      <c r="O35" s="204"/>
      <c r="P35" s="203"/>
      <c r="Q35" s="204"/>
      <c r="R35" s="202"/>
      <c r="S35" s="202"/>
      <c r="T35" s="205"/>
      <c r="U35" s="203"/>
      <c r="V35" s="206"/>
      <c r="W35" s="207"/>
      <c r="X35" s="208"/>
      <c r="Y35" s="208"/>
      <c r="Z35" s="208"/>
      <c r="AA35" s="208"/>
      <c r="AB35" s="209"/>
    </row>
  </sheetData>
  <mergeCells count="11">
    <mergeCell ref="J1:R1"/>
    <mergeCell ref="T1:AB1"/>
    <mergeCell ref="T2:U2"/>
    <mergeCell ref="V2:W2"/>
    <mergeCell ref="A1:A2"/>
    <mergeCell ref="B1:B2"/>
    <mergeCell ref="C1:C2"/>
    <mergeCell ref="D1:D2"/>
    <mergeCell ref="E1:E2"/>
    <mergeCell ref="F1:F2"/>
    <mergeCell ref="I1:I2"/>
  </mergeCells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0"/>
    <col customWidth="1" min="2" max="3" width="9.13"/>
    <col customWidth="1" min="4" max="4" width="40.25"/>
    <col customWidth="1" min="5" max="5" width="4.88"/>
    <col customWidth="1" min="6" max="6" width="25.88"/>
    <col customWidth="1" min="7" max="7" width="7.88"/>
    <col customWidth="1" min="8" max="8" width="7.5"/>
    <col customWidth="1" min="9" max="9" width="7.0"/>
    <col customWidth="1" min="10" max="10" width="7.75"/>
    <col customWidth="1" min="11" max="11" width="9.5"/>
    <col customWidth="1" min="12" max="12" width="8.5"/>
    <col customWidth="1" min="13" max="13" width="11.5"/>
    <col customWidth="1" min="14" max="14" width="10.38"/>
    <col customWidth="1" min="15" max="15" width="9.63"/>
    <col customWidth="1" min="16" max="16" width="7.63"/>
    <col customWidth="1" min="17" max="17" width="11.5"/>
    <col customWidth="1" min="18" max="18" width="9.0"/>
    <col customWidth="1" min="19" max="19" width="9.75"/>
    <col customWidth="1" min="20" max="20" width="7.88"/>
    <col customWidth="1" min="21" max="21" width="6.88"/>
    <col customWidth="1" min="22" max="22" width="4.13"/>
    <col customWidth="1" min="23" max="23" width="5.0"/>
    <col customWidth="1" min="24" max="24" width="4.25"/>
    <col customWidth="1" min="25" max="25" width="4.38"/>
    <col customWidth="1" min="26" max="26" width="4.25"/>
  </cols>
  <sheetData>
    <row r="1">
      <c r="A1" s="163" t="s">
        <v>1</v>
      </c>
      <c r="B1" s="163" t="s">
        <v>2</v>
      </c>
      <c r="C1" s="164" t="s">
        <v>3</v>
      </c>
      <c r="D1" s="163" t="s">
        <v>4</v>
      </c>
      <c r="E1" s="164" t="s">
        <v>6</v>
      </c>
      <c r="F1" s="165" t="s">
        <v>1055</v>
      </c>
      <c r="G1" s="166" t="s">
        <v>1090</v>
      </c>
      <c r="H1" s="183"/>
      <c r="I1" s="168">
        <v>0.03</v>
      </c>
      <c r="J1" s="169" t="s">
        <v>0</v>
      </c>
      <c r="K1" s="170"/>
      <c r="L1" s="170"/>
      <c r="M1" s="170"/>
      <c r="N1" s="170"/>
      <c r="O1" s="170"/>
      <c r="P1" s="170"/>
      <c r="Q1" s="170"/>
      <c r="R1" s="171"/>
      <c r="S1" s="172" t="s">
        <v>1056</v>
      </c>
      <c r="T1" s="167" t="s">
        <v>17</v>
      </c>
      <c r="U1" s="170"/>
      <c r="V1" s="170"/>
      <c r="W1" s="170"/>
      <c r="X1" s="170"/>
      <c r="Y1" s="170"/>
      <c r="Z1" s="171"/>
    </row>
    <row r="2">
      <c r="A2" s="173"/>
      <c r="B2" s="173"/>
      <c r="C2" s="173"/>
      <c r="D2" s="173"/>
      <c r="E2" s="173"/>
      <c r="F2" s="60"/>
      <c r="G2" s="225" t="s">
        <v>7</v>
      </c>
      <c r="H2" s="175" t="s">
        <v>9</v>
      </c>
      <c r="I2" s="176"/>
      <c r="J2" s="177" t="s">
        <v>10</v>
      </c>
      <c r="K2" s="178" t="s">
        <v>1057</v>
      </c>
      <c r="L2" s="177" t="s">
        <v>23</v>
      </c>
      <c r="M2" s="179" t="s">
        <v>24</v>
      </c>
      <c r="N2" s="180" t="s">
        <v>23</v>
      </c>
      <c r="O2" s="179" t="s">
        <v>25</v>
      </c>
      <c r="P2" s="177" t="s">
        <v>23</v>
      </c>
      <c r="Q2" s="179" t="s">
        <v>1058</v>
      </c>
      <c r="R2" s="181" t="s">
        <v>23</v>
      </c>
      <c r="S2" s="182">
        <v>0.2</v>
      </c>
      <c r="T2" s="226" t="s">
        <v>1059</v>
      </c>
      <c r="U2" s="184" t="s">
        <v>1060</v>
      </c>
      <c r="V2" s="185" t="s">
        <v>832</v>
      </c>
      <c r="W2" s="185" t="s">
        <v>111</v>
      </c>
      <c r="X2" s="185" t="s">
        <v>113</v>
      </c>
      <c r="Y2" s="185" t="s">
        <v>112</v>
      </c>
      <c r="Z2" s="186" t="s">
        <v>110</v>
      </c>
    </row>
    <row r="3">
      <c r="A3" s="199" t="s">
        <v>29</v>
      </c>
      <c r="B3" s="199"/>
      <c r="C3" s="199"/>
      <c r="D3" s="199"/>
      <c r="E3" s="199"/>
      <c r="F3" s="199"/>
      <c r="G3" s="227"/>
      <c r="H3" s="228"/>
      <c r="I3" s="202"/>
      <c r="J3" s="203"/>
      <c r="K3" s="204"/>
      <c r="L3" s="203"/>
      <c r="M3" s="204"/>
      <c r="N3" s="203"/>
      <c r="O3" s="204"/>
      <c r="P3" s="203"/>
      <c r="Q3" s="204"/>
      <c r="R3" s="202"/>
      <c r="S3" s="202"/>
      <c r="T3" s="203"/>
      <c r="U3" s="207"/>
      <c r="V3" s="208"/>
      <c r="W3" s="208"/>
      <c r="X3" s="208"/>
      <c r="Y3" s="208"/>
      <c r="Z3" s="209"/>
    </row>
    <row r="4">
      <c r="A4" s="219" t="s">
        <v>30</v>
      </c>
      <c r="B4" s="199"/>
      <c r="C4" s="199"/>
      <c r="D4" s="199"/>
      <c r="E4" s="199"/>
      <c r="F4" s="199"/>
      <c r="G4" s="227"/>
      <c r="H4" s="228"/>
      <c r="I4" s="202"/>
      <c r="J4" s="203"/>
      <c r="K4" s="204"/>
      <c r="L4" s="203"/>
      <c r="M4" s="204"/>
      <c r="N4" s="203"/>
      <c r="O4" s="204"/>
      <c r="P4" s="203"/>
      <c r="Q4" s="204"/>
      <c r="R4" s="202"/>
      <c r="S4" s="202"/>
      <c r="T4" s="203"/>
      <c r="U4" s="207"/>
      <c r="V4" s="208"/>
      <c r="W4" s="208"/>
      <c r="X4" s="208"/>
      <c r="Y4" s="208"/>
      <c r="Z4" s="209"/>
    </row>
    <row r="5">
      <c r="A5" s="219" t="s">
        <v>31</v>
      </c>
      <c r="B5" s="199"/>
      <c r="C5" s="199"/>
      <c r="D5" s="199"/>
      <c r="E5" s="199"/>
      <c r="F5" s="199"/>
      <c r="G5" s="227"/>
      <c r="H5" s="228"/>
      <c r="I5" s="202"/>
      <c r="J5" s="203"/>
      <c r="K5" s="204"/>
      <c r="L5" s="203"/>
      <c r="M5" s="204"/>
      <c r="N5" s="203"/>
      <c r="O5" s="204"/>
      <c r="P5" s="203"/>
      <c r="Q5" s="204"/>
      <c r="R5" s="202"/>
      <c r="S5" s="202"/>
      <c r="T5" s="203"/>
      <c r="U5" s="207"/>
      <c r="V5" s="208"/>
      <c r="W5" s="208"/>
      <c r="X5" s="208"/>
      <c r="Y5" s="208"/>
      <c r="Z5" s="209"/>
    </row>
    <row r="6">
      <c r="A6" s="219" t="s">
        <v>32</v>
      </c>
      <c r="B6" s="199"/>
      <c r="C6" s="199"/>
      <c r="D6" s="199"/>
      <c r="E6" s="199"/>
      <c r="F6" s="199"/>
      <c r="G6" s="227"/>
      <c r="H6" s="228"/>
      <c r="I6" s="202"/>
      <c r="J6" s="203"/>
      <c r="K6" s="204"/>
      <c r="L6" s="203"/>
      <c r="M6" s="204"/>
      <c r="N6" s="203"/>
      <c r="O6" s="204"/>
      <c r="P6" s="203"/>
      <c r="Q6" s="204"/>
      <c r="R6" s="202"/>
      <c r="S6" s="202"/>
      <c r="T6" s="203"/>
      <c r="U6" s="207"/>
      <c r="V6" s="208"/>
      <c r="W6" s="208"/>
      <c r="X6" s="208"/>
      <c r="Y6" s="208"/>
      <c r="Z6" s="209"/>
    </row>
    <row r="7">
      <c r="A7" s="219" t="s">
        <v>33</v>
      </c>
      <c r="B7" s="199"/>
      <c r="C7" s="199"/>
      <c r="D7" s="199"/>
      <c r="E7" s="199"/>
      <c r="F7" s="199"/>
      <c r="G7" s="227"/>
      <c r="H7" s="228"/>
      <c r="I7" s="202"/>
      <c r="J7" s="203"/>
      <c r="K7" s="204"/>
      <c r="L7" s="203"/>
      <c r="M7" s="204"/>
      <c r="N7" s="203"/>
      <c r="O7" s="204"/>
      <c r="P7" s="203"/>
      <c r="Q7" s="204"/>
      <c r="R7" s="202"/>
      <c r="S7" s="202"/>
      <c r="T7" s="203"/>
      <c r="U7" s="207"/>
      <c r="V7" s="222"/>
      <c r="W7" s="222"/>
      <c r="X7" s="222"/>
      <c r="Y7" s="222"/>
      <c r="Z7" s="209"/>
    </row>
    <row r="8">
      <c r="A8" s="219" t="s">
        <v>39</v>
      </c>
      <c r="B8" s="199"/>
      <c r="C8" s="199"/>
      <c r="D8" s="199"/>
      <c r="E8" s="199"/>
      <c r="F8" s="199"/>
      <c r="G8" s="227"/>
      <c r="H8" s="228"/>
      <c r="I8" s="202"/>
      <c r="J8" s="203"/>
      <c r="K8" s="204"/>
      <c r="L8" s="203"/>
      <c r="M8" s="204"/>
      <c r="N8" s="203"/>
      <c r="O8" s="204"/>
      <c r="P8" s="203"/>
      <c r="Q8" s="204"/>
      <c r="R8" s="202"/>
      <c r="S8" s="202"/>
      <c r="T8" s="203"/>
      <c r="U8" s="207"/>
      <c r="V8" s="222"/>
      <c r="W8" s="222"/>
      <c r="X8" s="222"/>
      <c r="Y8" s="222"/>
      <c r="Z8" s="209"/>
    </row>
    <row r="9">
      <c r="A9" s="229">
        <v>13.0</v>
      </c>
      <c r="B9" s="132" t="s">
        <v>34</v>
      </c>
      <c r="C9" s="132" t="s">
        <v>35</v>
      </c>
      <c r="D9" s="50" t="s">
        <v>1091</v>
      </c>
      <c r="E9" s="132" t="s">
        <v>1092</v>
      </c>
      <c r="G9" s="230">
        <v>13717.0</v>
      </c>
      <c r="H9" s="231">
        <v>1419.0</v>
      </c>
      <c r="I9" s="188">
        <f t="shared" ref="I9:I11" si="1">round(3%*H9,0)</f>
        <v>43</v>
      </c>
      <c r="J9" s="212">
        <f t="shared" ref="J9:J11" si="2">sum(L9+N9+P9+R9)</f>
        <v>2250</v>
      </c>
      <c r="K9" s="190" t="s">
        <v>285</v>
      </c>
      <c r="L9" s="212">
        <v>1650.0</v>
      </c>
      <c r="M9" s="190" t="s">
        <v>1093</v>
      </c>
      <c r="N9" s="212">
        <v>600.0</v>
      </c>
      <c r="O9" s="191"/>
      <c r="P9" s="192"/>
      <c r="Q9" s="191"/>
      <c r="R9" s="188"/>
      <c r="S9" s="193">
        <v>0.0</v>
      </c>
      <c r="T9" s="214">
        <f t="shared" ref="T9:T11" si="3">G9-H9-I9-J9-S9</f>
        <v>10005</v>
      </c>
      <c r="U9" s="216">
        <f t="shared" ref="U9:U11" si="4">round(T9-V9-W9-X9-Y9-Z9,0)</f>
        <v>-495</v>
      </c>
      <c r="V9" s="217">
        <v>2100.0</v>
      </c>
      <c r="W9" s="217">
        <v>2100.0</v>
      </c>
      <c r="X9" s="217">
        <v>2100.0</v>
      </c>
      <c r="Y9" s="217">
        <v>2100.0</v>
      </c>
      <c r="Z9" s="218">
        <v>2100.0</v>
      </c>
    </row>
    <row r="10">
      <c r="A10" s="132">
        <v>19.0</v>
      </c>
      <c r="B10" s="132" t="s">
        <v>34</v>
      </c>
      <c r="C10" s="132" t="s">
        <v>35</v>
      </c>
      <c r="D10" s="50" t="s">
        <v>1094</v>
      </c>
      <c r="E10" s="132" t="s">
        <v>1095</v>
      </c>
      <c r="G10" s="230">
        <v>12534.0</v>
      </c>
      <c r="H10" s="231">
        <v>1420.0</v>
      </c>
      <c r="I10" s="188">
        <f t="shared" si="1"/>
        <v>43</v>
      </c>
      <c r="J10" s="212">
        <f t="shared" si="2"/>
        <v>2250</v>
      </c>
      <c r="K10" s="190" t="s">
        <v>285</v>
      </c>
      <c r="L10" s="212">
        <v>1650.0</v>
      </c>
      <c r="M10" s="190" t="s">
        <v>1093</v>
      </c>
      <c r="N10" s="212">
        <v>600.0</v>
      </c>
      <c r="O10" s="191"/>
      <c r="P10" s="192"/>
      <c r="Q10" s="191"/>
      <c r="R10" s="188"/>
      <c r="S10" s="193">
        <v>0.0</v>
      </c>
      <c r="T10" s="214">
        <f t="shared" si="3"/>
        <v>8821</v>
      </c>
      <c r="U10" s="216">
        <f t="shared" si="4"/>
        <v>-179</v>
      </c>
      <c r="V10" s="220">
        <f t="shared" ref="V10:V11" si="5">round(T10/5,-2)</f>
        <v>1800</v>
      </c>
      <c r="W10" s="220">
        <f t="shared" ref="W10:W11" si="6">round(T10/5,-2)</f>
        <v>1800</v>
      </c>
      <c r="X10" s="220">
        <f t="shared" ref="X10:X11" si="7">round(T10/5,-2)</f>
        <v>1800</v>
      </c>
      <c r="Y10" s="220">
        <f t="shared" ref="Y10:Y11" si="8">round(T10/5,-2)</f>
        <v>1800</v>
      </c>
      <c r="Z10" s="221">
        <f t="shared" ref="Z10:Z11" si="9">round(T10/5,-2)</f>
        <v>1800</v>
      </c>
    </row>
    <row r="11">
      <c r="A11" s="229">
        <v>26.0</v>
      </c>
      <c r="B11" s="132" t="s">
        <v>34</v>
      </c>
      <c r="C11" s="132" t="s">
        <v>35</v>
      </c>
      <c r="D11" s="50" t="s">
        <v>1096</v>
      </c>
      <c r="E11" s="132" t="s">
        <v>1097</v>
      </c>
      <c r="G11" s="230">
        <v>13192.0</v>
      </c>
      <c r="H11" s="231">
        <v>1192.0</v>
      </c>
      <c r="I11" s="188">
        <f t="shared" si="1"/>
        <v>36</v>
      </c>
      <c r="J11" s="212">
        <f t="shared" si="2"/>
        <v>1900</v>
      </c>
      <c r="K11" s="190" t="s">
        <v>285</v>
      </c>
      <c r="L11" s="212">
        <v>1650.0</v>
      </c>
      <c r="M11" s="191"/>
      <c r="N11" s="192"/>
      <c r="O11" s="190" t="s">
        <v>1098</v>
      </c>
      <c r="P11" s="212">
        <v>250.0</v>
      </c>
      <c r="Q11" s="191"/>
      <c r="R11" s="188"/>
      <c r="S11" s="193">
        <v>0.0</v>
      </c>
      <c r="T11" s="214">
        <f t="shared" si="3"/>
        <v>10064</v>
      </c>
      <c r="U11" s="216">
        <f t="shared" si="4"/>
        <v>64</v>
      </c>
      <c r="V11" s="220">
        <f t="shared" si="5"/>
        <v>2000</v>
      </c>
      <c r="W11" s="220">
        <f t="shared" si="6"/>
        <v>2000</v>
      </c>
      <c r="X11" s="220">
        <f t="shared" si="7"/>
        <v>2000</v>
      </c>
      <c r="Y11" s="220">
        <f t="shared" si="8"/>
        <v>2000</v>
      </c>
      <c r="Z11" s="221">
        <f t="shared" si="9"/>
        <v>2000</v>
      </c>
    </row>
    <row r="12">
      <c r="A12" s="219" t="s">
        <v>42</v>
      </c>
      <c r="B12" s="199"/>
      <c r="C12" s="199"/>
      <c r="D12" s="199"/>
      <c r="E12" s="199"/>
      <c r="F12" s="199"/>
      <c r="G12" s="227"/>
      <c r="H12" s="228"/>
      <c r="I12" s="202"/>
      <c r="J12" s="203"/>
      <c r="K12" s="204"/>
      <c r="L12" s="203"/>
      <c r="M12" s="204"/>
      <c r="N12" s="203"/>
      <c r="O12" s="204"/>
      <c r="P12" s="203"/>
      <c r="Q12" s="204"/>
      <c r="R12" s="202"/>
      <c r="S12" s="202"/>
      <c r="T12" s="203"/>
      <c r="U12" s="207"/>
      <c r="V12" s="222"/>
      <c r="W12" s="222"/>
      <c r="X12" s="222"/>
      <c r="Y12" s="222"/>
      <c r="Z12" s="209"/>
    </row>
    <row r="13">
      <c r="A13" s="132">
        <v>3.0</v>
      </c>
      <c r="B13" s="132" t="s">
        <v>34</v>
      </c>
      <c r="C13" s="132" t="s">
        <v>35</v>
      </c>
      <c r="D13" s="132" t="s">
        <v>1099</v>
      </c>
      <c r="E13" s="132" t="s">
        <v>1100</v>
      </c>
      <c r="F13" s="50"/>
      <c r="G13" s="230">
        <v>14036.0</v>
      </c>
      <c r="H13" s="231">
        <v>1452.0</v>
      </c>
      <c r="I13" s="188">
        <f t="shared" ref="I13:I14" si="10">round(3%*G13,0)</f>
        <v>421</v>
      </c>
      <c r="J13" s="212">
        <f t="shared" ref="J13:J18" si="11">sum(L13+N13+P13+R13)</f>
        <v>2250</v>
      </c>
      <c r="K13" s="190" t="s">
        <v>285</v>
      </c>
      <c r="L13" s="212">
        <v>1650.0</v>
      </c>
      <c r="M13" s="190" t="s">
        <v>1093</v>
      </c>
      <c r="N13" s="212">
        <v>600.0</v>
      </c>
      <c r="O13" s="191"/>
      <c r="P13" s="192"/>
      <c r="Q13" s="190"/>
      <c r="R13" s="193"/>
      <c r="S13" s="188">
        <f t="shared" ref="S13:S14" si="12">round(20%*(G13-I13-J13),0)</f>
        <v>2273</v>
      </c>
      <c r="T13" s="214">
        <f t="shared" ref="T13:T18" si="13">G13-H13-I13-J13-S13</f>
        <v>7640</v>
      </c>
      <c r="U13" s="216">
        <f t="shared" ref="U13:U18" si="14">round(T13-V13-W13-X13-Y13-Z13,0)</f>
        <v>140</v>
      </c>
      <c r="V13" s="220">
        <f t="shared" ref="V13:V17" si="15">round(T13/5,-2)</f>
        <v>1500</v>
      </c>
      <c r="W13" s="220">
        <f t="shared" ref="W13:W17" si="16">round(T13/5,-2)</f>
        <v>1500</v>
      </c>
      <c r="X13" s="220">
        <f t="shared" ref="X13:X17" si="17">round(T13/5,-2)</f>
        <v>1500</v>
      </c>
      <c r="Y13" s="220">
        <f t="shared" ref="Y13:Y17" si="18">round(T13/5,-2)</f>
        <v>1500</v>
      </c>
      <c r="Z13" s="221">
        <f t="shared" ref="Z13:Z17" si="19">round(T13/5,-2)</f>
        <v>1500</v>
      </c>
    </row>
    <row r="14">
      <c r="A14" s="132">
        <v>4.0</v>
      </c>
      <c r="B14" s="132" t="s">
        <v>34</v>
      </c>
      <c r="C14" s="132" t="s">
        <v>35</v>
      </c>
      <c r="D14" s="132" t="s">
        <v>1101</v>
      </c>
      <c r="E14" s="132" t="s">
        <v>1102</v>
      </c>
      <c r="F14" s="50"/>
      <c r="G14" s="230">
        <v>16128.0</v>
      </c>
      <c r="H14" s="231">
        <v>1461.0</v>
      </c>
      <c r="I14" s="188">
        <f t="shared" si="10"/>
        <v>484</v>
      </c>
      <c r="J14" s="212">
        <f t="shared" si="11"/>
        <v>4050</v>
      </c>
      <c r="K14" s="190" t="s">
        <v>38</v>
      </c>
      <c r="L14" s="212">
        <v>950.0</v>
      </c>
      <c r="M14" s="190" t="s">
        <v>1103</v>
      </c>
      <c r="N14" s="212">
        <v>800.0</v>
      </c>
      <c r="O14" s="190" t="s">
        <v>25</v>
      </c>
      <c r="P14" s="212">
        <v>600.0</v>
      </c>
      <c r="Q14" s="190" t="s">
        <v>27</v>
      </c>
      <c r="R14" s="232">
        <v>1700.0</v>
      </c>
      <c r="S14" s="188">
        <f t="shared" si="12"/>
        <v>2319</v>
      </c>
      <c r="T14" s="214">
        <f t="shared" si="13"/>
        <v>7814</v>
      </c>
      <c r="U14" s="216">
        <f t="shared" si="14"/>
        <v>-186</v>
      </c>
      <c r="V14" s="220">
        <f t="shared" si="15"/>
        <v>1600</v>
      </c>
      <c r="W14" s="220">
        <f t="shared" si="16"/>
        <v>1600</v>
      </c>
      <c r="X14" s="220">
        <f t="shared" si="17"/>
        <v>1600</v>
      </c>
      <c r="Y14" s="220">
        <f t="shared" si="18"/>
        <v>1600</v>
      </c>
      <c r="Z14" s="221">
        <f t="shared" si="19"/>
        <v>1600</v>
      </c>
    </row>
    <row r="15">
      <c r="A15" s="132">
        <v>17.0</v>
      </c>
      <c r="B15" s="132" t="s">
        <v>34</v>
      </c>
      <c r="C15" s="132" t="s">
        <v>35</v>
      </c>
      <c r="D15" s="132" t="s">
        <v>87</v>
      </c>
      <c r="E15" s="132"/>
      <c r="F15" s="50" t="s">
        <v>1104</v>
      </c>
      <c r="G15" s="230">
        <v>12500.0</v>
      </c>
      <c r="H15" s="231">
        <v>0.0</v>
      </c>
      <c r="I15" s="193"/>
      <c r="J15" s="212">
        <f t="shared" si="11"/>
        <v>1550</v>
      </c>
      <c r="K15" s="190" t="s">
        <v>38</v>
      </c>
      <c r="L15" s="212">
        <v>950.0</v>
      </c>
      <c r="M15" s="190" t="s">
        <v>1093</v>
      </c>
      <c r="N15" s="212">
        <v>600.0</v>
      </c>
      <c r="O15" s="191"/>
      <c r="P15" s="192"/>
      <c r="Q15" s="191"/>
      <c r="R15" s="188"/>
      <c r="S15" s="193">
        <v>0.0</v>
      </c>
      <c r="T15" s="214">
        <f t="shared" si="13"/>
        <v>10950</v>
      </c>
      <c r="U15" s="216">
        <f t="shared" si="14"/>
        <v>-50</v>
      </c>
      <c r="V15" s="233">
        <f t="shared" si="15"/>
        <v>2200</v>
      </c>
      <c r="W15" s="220">
        <f t="shared" si="16"/>
        <v>2200</v>
      </c>
      <c r="X15" s="220">
        <f t="shared" si="17"/>
        <v>2200</v>
      </c>
      <c r="Y15" s="220">
        <f t="shared" si="18"/>
        <v>2200</v>
      </c>
      <c r="Z15" s="221">
        <f t="shared" si="19"/>
        <v>2200</v>
      </c>
    </row>
    <row r="16">
      <c r="A16" s="132">
        <v>22.0</v>
      </c>
      <c r="B16" s="132" t="s">
        <v>54</v>
      </c>
      <c r="C16" s="132" t="s">
        <v>569</v>
      </c>
      <c r="D16" s="132" t="s">
        <v>1061</v>
      </c>
      <c r="E16" s="132"/>
      <c r="F16" s="50" t="s">
        <v>1105</v>
      </c>
      <c r="G16" s="230">
        <v>4500.0</v>
      </c>
      <c r="H16" s="231">
        <v>0.0</v>
      </c>
      <c r="I16" s="188">
        <f t="shared" ref="I16:I18" si="20">round(3%*G16,0)</f>
        <v>135</v>
      </c>
      <c r="J16" s="212">
        <f t="shared" si="11"/>
        <v>1600</v>
      </c>
      <c r="K16" s="190" t="s">
        <v>38</v>
      </c>
      <c r="L16" s="212">
        <v>500.0</v>
      </c>
      <c r="M16" s="190" t="s">
        <v>1093</v>
      </c>
      <c r="N16" s="212">
        <v>600.0</v>
      </c>
      <c r="O16" s="191"/>
      <c r="P16" s="192"/>
      <c r="Q16" s="190" t="s">
        <v>1106</v>
      </c>
      <c r="R16" s="232">
        <v>500.0</v>
      </c>
      <c r="S16" s="188">
        <f t="shared" ref="S16:S17" si="21">round(20%*(G16-I16-J16),0)</f>
        <v>553</v>
      </c>
      <c r="T16" s="214">
        <f t="shared" si="13"/>
        <v>2212</v>
      </c>
      <c r="U16" s="216">
        <f t="shared" si="14"/>
        <v>212</v>
      </c>
      <c r="V16" s="220">
        <f t="shared" si="15"/>
        <v>400</v>
      </c>
      <c r="W16" s="220">
        <f t="shared" si="16"/>
        <v>400</v>
      </c>
      <c r="X16" s="220">
        <f t="shared" si="17"/>
        <v>400</v>
      </c>
      <c r="Y16" s="220">
        <f t="shared" si="18"/>
        <v>400</v>
      </c>
      <c r="Z16" s="221">
        <f t="shared" si="19"/>
        <v>400</v>
      </c>
    </row>
    <row r="17">
      <c r="A17" s="132">
        <v>27.0</v>
      </c>
      <c r="B17" s="132" t="s">
        <v>54</v>
      </c>
      <c r="C17" s="132" t="s">
        <v>569</v>
      </c>
      <c r="D17" s="132" t="s">
        <v>1107</v>
      </c>
      <c r="E17" s="132"/>
      <c r="F17" s="50" t="s">
        <v>1108</v>
      </c>
      <c r="G17" s="230">
        <v>4500.0</v>
      </c>
      <c r="H17" s="231">
        <v>0.0</v>
      </c>
      <c r="I17" s="188">
        <f t="shared" si="20"/>
        <v>135</v>
      </c>
      <c r="J17" s="212">
        <f t="shared" si="11"/>
        <v>1100</v>
      </c>
      <c r="K17" s="190" t="s">
        <v>38</v>
      </c>
      <c r="L17" s="212">
        <v>500.0</v>
      </c>
      <c r="M17" s="190" t="s">
        <v>1109</v>
      </c>
      <c r="N17" s="212">
        <v>600.0</v>
      </c>
      <c r="O17" s="191"/>
      <c r="P17" s="192"/>
      <c r="Q17" s="190" t="s">
        <v>1106</v>
      </c>
      <c r="R17" s="232">
        <v>0.0</v>
      </c>
      <c r="S17" s="188">
        <f t="shared" si="21"/>
        <v>653</v>
      </c>
      <c r="T17" s="214">
        <f t="shared" si="13"/>
        <v>2612</v>
      </c>
      <c r="U17" s="216">
        <f t="shared" si="14"/>
        <v>112</v>
      </c>
      <c r="V17" s="220">
        <f t="shared" si="15"/>
        <v>500</v>
      </c>
      <c r="W17" s="220">
        <f t="shared" si="16"/>
        <v>500</v>
      </c>
      <c r="X17" s="220">
        <f t="shared" si="17"/>
        <v>500</v>
      </c>
      <c r="Y17" s="220">
        <f t="shared" si="18"/>
        <v>500</v>
      </c>
      <c r="Z17" s="221">
        <f t="shared" si="19"/>
        <v>500</v>
      </c>
    </row>
    <row r="18">
      <c r="A18" s="234">
        <v>31.0</v>
      </c>
      <c r="B18" s="132" t="s">
        <v>34</v>
      </c>
      <c r="C18" s="132" t="s">
        <v>35</v>
      </c>
      <c r="D18" s="50" t="s">
        <v>1110</v>
      </c>
      <c r="E18" s="132" t="s">
        <v>1111</v>
      </c>
      <c r="F18" s="132" t="s">
        <v>1112</v>
      </c>
      <c r="G18" s="230">
        <v>12500.0</v>
      </c>
      <c r="H18" s="231">
        <v>0.0</v>
      </c>
      <c r="I18" s="188">
        <f t="shared" si="20"/>
        <v>375</v>
      </c>
      <c r="J18" s="212">
        <f t="shared" si="11"/>
        <v>1600</v>
      </c>
      <c r="K18" s="190" t="s">
        <v>38</v>
      </c>
      <c r="L18" s="212">
        <v>1000.0</v>
      </c>
      <c r="M18" s="190" t="s">
        <v>1093</v>
      </c>
      <c r="N18" s="212">
        <v>600.0</v>
      </c>
      <c r="O18" s="191"/>
      <c r="P18" s="192"/>
      <c r="Q18" s="191"/>
      <c r="R18" s="188"/>
      <c r="S18" s="193">
        <v>0.0</v>
      </c>
      <c r="T18" s="214">
        <f t="shared" si="13"/>
        <v>10525</v>
      </c>
      <c r="U18" s="216">
        <f t="shared" si="14"/>
        <v>525</v>
      </c>
      <c r="V18" s="217">
        <v>2000.0</v>
      </c>
      <c r="W18" s="217">
        <v>2000.0</v>
      </c>
      <c r="X18" s="217">
        <v>2000.0</v>
      </c>
      <c r="Y18" s="217">
        <v>2000.0</v>
      </c>
      <c r="Z18" s="235">
        <v>2000.0</v>
      </c>
    </row>
    <row r="19">
      <c r="A19" s="219" t="s">
        <v>44</v>
      </c>
      <c r="B19" s="199"/>
      <c r="C19" s="199"/>
      <c r="D19" s="199"/>
      <c r="E19" s="199"/>
      <c r="F19" s="199"/>
      <c r="G19" s="227"/>
      <c r="H19" s="228"/>
      <c r="I19" s="202"/>
      <c r="J19" s="203"/>
      <c r="K19" s="204"/>
      <c r="L19" s="203"/>
      <c r="M19" s="204"/>
      <c r="N19" s="203"/>
      <c r="O19" s="204"/>
      <c r="P19" s="203"/>
      <c r="Q19" s="204"/>
      <c r="R19" s="202"/>
      <c r="S19" s="202"/>
      <c r="T19" s="203"/>
      <c r="U19" s="207"/>
      <c r="V19" s="222"/>
      <c r="W19" s="222"/>
      <c r="X19" s="222"/>
      <c r="Y19" s="222"/>
      <c r="Z19" s="209"/>
    </row>
    <row r="20">
      <c r="A20" s="234">
        <v>13.0</v>
      </c>
      <c r="B20" s="132" t="s">
        <v>54</v>
      </c>
      <c r="C20" s="132" t="s">
        <v>569</v>
      </c>
      <c r="D20" s="50" t="s">
        <v>1113</v>
      </c>
      <c r="E20" s="132" t="s">
        <v>618</v>
      </c>
      <c r="G20" s="230">
        <v>3800.0</v>
      </c>
      <c r="H20" s="231">
        <v>0.0</v>
      </c>
      <c r="I20" s="188">
        <f t="shared" ref="I20:I21" si="22">round(3%*G20,0)</f>
        <v>114</v>
      </c>
      <c r="J20" s="212">
        <f t="shared" ref="J20:J23" si="23">sum(L20+N20+P20+R20)</f>
        <v>2700</v>
      </c>
      <c r="K20" s="190" t="s">
        <v>285</v>
      </c>
      <c r="L20" s="212">
        <v>900.0</v>
      </c>
      <c r="M20" s="190" t="s">
        <v>1114</v>
      </c>
      <c r="N20" s="212">
        <v>900.0</v>
      </c>
      <c r="O20" s="190"/>
      <c r="P20" s="212">
        <v>400.0</v>
      </c>
      <c r="Q20" s="190" t="s">
        <v>26</v>
      </c>
      <c r="R20" s="232">
        <v>500.0</v>
      </c>
      <c r="S20" s="188">
        <f t="shared" ref="S20:S21" si="24">round(20%*(G20-I20-J20),0)</f>
        <v>197</v>
      </c>
      <c r="T20" s="214">
        <f t="shared" ref="T20:T23" si="25">G20-H20-I20-J20-S20</f>
        <v>789</v>
      </c>
      <c r="U20" s="216">
        <f t="shared" ref="U20:U23" si="26">round(T20-V20-W20-X20-Y20-Z20,0)</f>
        <v>-211</v>
      </c>
      <c r="V20" s="220">
        <f t="shared" ref="V20:V22" si="27">round(T20/5,-2)</f>
        <v>200</v>
      </c>
      <c r="W20" s="220">
        <f t="shared" ref="W20:W22" si="28">round(T20/5,-2)</f>
        <v>200</v>
      </c>
      <c r="X20" s="220">
        <f t="shared" ref="X20:X22" si="29">round(T20/5,-2)</f>
        <v>200</v>
      </c>
      <c r="Y20" s="220">
        <f t="shared" ref="Y20:Y22" si="30">round(T20/5,-2)</f>
        <v>200</v>
      </c>
      <c r="Z20" s="221">
        <f t="shared" ref="Z20:Z22" si="31">round(T20/5,-2)</f>
        <v>200</v>
      </c>
    </row>
    <row r="21">
      <c r="A21" s="132">
        <v>14.0</v>
      </c>
      <c r="B21" s="132" t="s">
        <v>34</v>
      </c>
      <c r="C21" s="132" t="s">
        <v>35</v>
      </c>
      <c r="D21" s="50" t="s">
        <v>1099</v>
      </c>
      <c r="E21" s="132" t="s">
        <v>1115</v>
      </c>
      <c r="G21" s="230">
        <v>9000.0</v>
      </c>
      <c r="H21" s="231">
        <v>1420.0</v>
      </c>
      <c r="I21" s="188">
        <f t="shared" si="22"/>
        <v>270</v>
      </c>
      <c r="J21" s="212">
        <f t="shared" si="23"/>
        <v>2450</v>
      </c>
      <c r="K21" s="190" t="s">
        <v>285</v>
      </c>
      <c r="L21" s="212">
        <v>1650.0</v>
      </c>
      <c r="M21" s="190" t="s">
        <v>1114</v>
      </c>
      <c r="N21" s="212">
        <v>600.0</v>
      </c>
      <c r="O21" s="190" t="s">
        <v>1067</v>
      </c>
      <c r="P21" s="212">
        <v>200.0</v>
      </c>
      <c r="Q21" s="191"/>
      <c r="R21" s="188"/>
      <c r="S21" s="188">
        <f t="shared" si="24"/>
        <v>1256</v>
      </c>
      <c r="T21" s="214">
        <f t="shared" si="25"/>
        <v>3604</v>
      </c>
      <c r="U21" s="216">
        <f t="shared" si="26"/>
        <v>104</v>
      </c>
      <c r="V21" s="220">
        <f t="shared" si="27"/>
        <v>700</v>
      </c>
      <c r="W21" s="220">
        <f t="shared" si="28"/>
        <v>700</v>
      </c>
      <c r="X21" s="220">
        <f t="shared" si="29"/>
        <v>700</v>
      </c>
      <c r="Y21" s="220">
        <f t="shared" si="30"/>
        <v>700</v>
      </c>
      <c r="Z21" s="221">
        <f t="shared" si="31"/>
        <v>700</v>
      </c>
    </row>
    <row r="22">
      <c r="A22" s="132">
        <v>21.0</v>
      </c>
      <c r="B22" s="132" t="s">
        <v>34</v>
      </c>
      <c r="C22" s="132" t="s">
        <v>35</v>
      </c>
      <c r="D22" s="50" t="s">
        <v>1116</v>
      </c>
      <c r="E22" s="132" t="s">
        <v>1117</v>
      </c>
      <c r="F22" s="132"/>
      <c r="G22" s="230">
        <v>13800.0</v>
      </c>
      <c r="H22" s="231">
        <v>1427.0</v>
      </c>
      <c r="I22" s="188">
        <f t="shared" ref="I22:I23" si="32">round(3%*H22,0)</f>
        <v>43</v>
      </c>
      <c r="J22" s="212">
        <f t="shared" si="23"/>
        <v>2350</v>
      </c>
      <c r="K22" s="190" t="s">
        <v>285</v>
      </c>
      <c r="L22" s="212">
        <v>1650.0</v>
      </c>
      <c r="M22" s="190" t="s">
        <v>1114</v>
      </c>
      <c r="N22" s="212">
        <v>600.0</v>
      </c>
      <c r="O22" s="190" t="s">
        <v>1118</v>
      </c>
      <c r="P22" s="212">
        <v>100.0</v>
      </c>
      <c r="Q22" s="191"/>
      <c r="R22" s="188"/>
      <c r="S22" s="193">
        <v>0.0</v>
      </c>
      <c r="T22" s="214">
        <f t="shared" si="25"/>
        <v>9980</v>
      </c>
      <c r="U22" s="216">
        <f t="shared" si="26"/>
        <v>-20</v>
      </c>
      <c r="V22" s="233">
        <f t="shared" si="27"/>
        <v>2000</v>
      </c>
      <c r="W22" s="233">
        <f t="shared" si="28"/>
        <v>2000</v>
      </c>
      <c r="X22" s="233">
        <f t="shared" si="29"/>
        <v>2000</v>
      </c>
      <c r="Y22" s="233">
        <f t="shared" si="30"/>
        <v>2000</v>
      </c>
      <c r="Z22" s="221">
        <f t="shared" si="31"/>
        <v>2000</v>
      </c>
    </row>
    <row r="23">
      <c r="A23" s="132">
        <v>28.0</v>
      </c>
      <c r="B23" s="132" t="s">
        <v>34</v>
      </c>
      <c r="C23" s="132" t="s">
        <v>35</v>
      </c>
      <c r="D23" s="50" t="s">
        <v>1119</v>
      </c>
      <c r="E23" s="132" t="s">
        <v>1120</v>
      </c>
      <c r="F23" s="132"/>
      <c r="G23" s="230">
        <v>10838.0</v>
      </c>
      <c r="H23" s="231">
        <v>1477.0</v>
      </c>
      <c r="I23" s="188">
        <f t="shared" si="32"/>
        <v>44</v>
      </c>
      <c r="J23" s="212">
        <f t="shared" si="23"/>
        <v>1550</v>
      </c>
      <c r="K23" s="190" t="s">
        <v>38</v>
      </c>
      <c r="L23" s="212">
        <v>950.0</v>
      </c>
      <c r="M23" s="190" t="s">
        <v>1114</v>
      </c>
      <c r="N23" s="212">
        <v>600.0</v>
      </c>
      <c r="O23" s="191"/>
      <c r="P23" s="192"/>
      <c r="Q23" s="191"/>
      <c r="R23" s="188"/>
      <c r="S23" s="193">
        <v>0.0</v>
      </c>
      <c r="T23" s="214">
        <f t="shared" si="25"/>
        <v>7767</v>
      </c>
      <c r="U23" s="216">
        <f t="shared" si="26"/>
        <v>387</v>
      </c>
      <c r="V23" s="217">
        <v>1476.0</v>
      </c>
      <c r="W23" s="217">
        <v>1476.0</v>
      </c>
      <c r="X23" s="217">
        <v>1476.0</v>
      </c>
      <c r="Y23" s="217">
        <v>1476.0</v>
      </c>
      <c r="Z23" s="235">
        <v>1476.0</v>
      </c>
    </row>
    <row r="24">
      <c r="A24" s="219" t="s">
        <v>47</v>
      </c>
      <c r="B24" s="199"/>
      <c r="C24" s="199"/>
      <c r="D24" s="199"/>
      <c r="E24" s="199"/>
      <c r="F24" s="199"/>
      <c r="G24" s="227"/>
      <c r="H24" s="228"/>
      <c r="I24" s="202"/>
      <c r="J24" s="203"/>
      <c r="K24" s="204"/>
      <c r="L24" s="203"/>
      <c r="M24" s="204"/>
      <c r="N24" s="203"/>
      <c r="O24" s="204"/>
      <c r="P24" s="203"/>
      <c r="Q24" s="204"/>
      <c r="R24" s="202"/>
      <c r="S24" s="202"/>
      <c r="T24" s="203"/>
      <c r="U24" s="207"/>
      <c r="V24" s="222"/>
      <c r="W24" s="222"/>
      <c r="X24" s="222"/>
      <c r="Y24" s="222"/>
      <c r="Z24" s="209"/>
    </row>
    <row r="25">
      <c r="A25" s="132">
        <v>10.0</v>
      </c>
      <c r="B25" s="132" t="s">
        <v>34</v>
      </c>
      <c r="C25" s="132" t="s">
        <v>35</v>
      </c>
      <c r="D25" s="50" t="s">
        <v>1099</v>
      </c>
      <c r="E25" s="132" t="s">
        <v>1121</v>
      </c>
      <c r="G25" s="230">
        <v>18710.0</v>
      </c>
      <c r="H25" s="231">
        <v>1477.0</v>
      </c>
      <c r="I25" s="188">
        <f>round(3%*H25,0)</f>
        <v>44</v>
      </c>
      <c r="J25" s="212">
        <f t="shared" ref="J25:J29" si="33">sum(L25+N25+P25+R25)</f>
        <v>7350</v>
      </c>
      <c r="K25" s="190" t="s">
        <v>285</v>
      </c>
      <c r="L25" s="212">
        <v>1650.0</v>
      </c>
      <c r="M25" s="190" t="s">
        <v>1109</v>
      </c>
      <c r="N25" s="212">
        <v>600.0</v>
      </c>
      <c r="O25" s="190" t="s">
        <v>1118</v>
      </c>
      <c r="P25" s="212">
        <v>100.0</v>
      </c>
      <c r="Q25" s="190" t="s">
        <v>1122</v>
      </c>
      <c r="R25" s="232">
        <v>5000.0</v>
      </c>
      <c r="S25" s="193">
        <v>0.0</v>
      </c>
      <c r="T25" s="214">
        <f t="shared" ref="T25:T29" si="34">G25-H25-I25-J25-S25</f>
        <v>9839</v>
      </c>
      <c r="U25" s="216">
        <f t="shared" ref="U25:U29" si="35">round(T25-V25-W25-X25-Y25-Z25,0)</f>
        <v>-161</v>
      </c>
      <c r="V25" s="220">
        <f t="shared" ref="V25:V29" si="36">round(T25/5,-2)</f>
        <v>2000</v>
      </c>
      <c r="W25" s="220">
        <f t="shared" ref="W25:W29" si="37">round(T25/5,-2)</f>
        <v>2000</v>
      </c>
      <c r="X25" s="220">
        <f t="shared" ref="X25:X29" si="38">round(T25/5,-2)</f>
        <v>2000</v>
      </c>
      <c r="Y25" s="220">
        <f t="shared" ref="Y25:Y29" si="39">round(T25/5,-2)</f>
        <v>2000</v>
      </c>
      <c r="Z25" s="221">
        <f t="shared" ref="Z25:Z29" si="40">round(T25/5,-2)</f>
        <v>2000</v>
      </c>
    </row>
    <row r="26">
      <c r="A26" s="132">
        <v>11.0</v>
      </c>
      <c r="B26" s="132" t="s">
        <v>34</v>
      </c>
      <c r="C26" s="132" t="s">
        <v>35</v>
      </c>
      <c r="D26" s="50" t="s">
        <v>1091</v>
      </c>
      <c r="E26" s="132" t="s">
        <v>1123</v>
      </c>
      <c r="G26" s="230">
        <v>14285.0</v>
      </c>
      <c r="H26" s="231">
        <v>1477.0</v>
      </c>
      <c r="I26" s="188">
        <f>round(3%*G26,0)</f>
        <v>429</v>
      </c>
      <c r="J26" s="212">
        <f t="shared" si="33"/>
        <v>2250</v>
      </c>
      <c r="K26" s="190" t="s">
        <v>285</v>
      </c>
      <c r="L26" s="212">
        <v>1650.0</v>
      </c>
      <c r="M26" s="190" t="s">
        <v>1109</v>
      </c>
      <c r="N26" s="212">
        <v>600.0</v>
      </c>
      <c r="O26" s="191"/>
      <c r="P26" s="192"/>
      <c r="Q26" s="190"/>
      <c r="R26" s="236"/>
      <c r="S26" s="188">
        <f>round(20%*(G26-I26-J26),0)</f>
        <v>2321</v>
      </c>
      <c r="T26" s="214">
        <f t="shared" si="34"/>
        <v>7808</v>
      </c>
      <c r="U26" s="216">
        <f t="shared" si="35"/>
        <v>-192</v>
      </c>
      <c r="V26" s="220">
        <f t="shared" si="36"/>
        <v>1600</v>
      </c>
      <c r="W26" s="220">
        <f t="shared" si="37"/>
        <v>1600</v>
      </c>
      <c r="X26" s="220">
        <f t="shared" si="38"/>
        <v>1600</v>
      </c>
      <c r="Y26" s="220">
        <f t="shared" si="39"/>
        <v>1600</v>
      </c>
      <c r="Z26" s="221">
        <f t="shared" si="40"/>
        <v>1600</v>
      </c>
    </row>
    <row r="27">
      <c r="A27" s="132">
        <v>17.0</v>
      </c>
      <c r="B27" s="132" t="s">
        <v>34</v>
      </c>
      <c r="C27" s="132" t="s">
        <v>35</v>
      </c>
      <c r="D27" s="50" t="s">
        <v>1124</v>
      </c>
      <c r="E27" s="132" t="s">
        <v>1125</v>
      </c>
      <c r="G27" s="230">
        <v>12864.0</v>
      </c>
      <c r="H27" s="231">
        <v>0.0</v>
      </c>
      <c r="I27" s="188">
        <f t="shared" ref="I27:I29" si="41">round(3%*H27,0)</f>
        <v>0</v>
      </c>
      <c r="J27" s="212">
        <f t="shared" si="33"/>
        <v>2250</v>
      </c>
      <c r="K27" s="190" t="s">
        <v>285</v>
      </c>
      <c r="L27" s="212">
        <v>1650.0</v>
      </c>
      <c r="M27" s="190" t="s">
        <v>1109</v>
      </c>
      <c r="N27" s="212">
        <v>600.0</v>
      </c>
      <c r="O27" s="190"/>
      <c r="P27" s="192"/>
      <c r="Q27" s="190"/>
      <c r="R27" s="236"/>
      <c r="S27" s="193">
        <v>0.0</v>
      </c>
      <c r="T27" s="214">
        <f t="shared" si="34"/>
        <v>10614</v>
      </c>
      <c r="U27" s="216">
        <f t="shared" si="35"/>
        <v>114</v>
      </c>
      <c r="V27" s="220">
        <f t="shared" si="36"/>
        <v>2100</v>
      </c>
      <c r="W27" s="220">
        <f t="shared" si="37"/>
        <v>2100</v>
      </c>
      <c r="X27" s="220">
        <f t="shared" si="38"/>
        <v>2100</v>
      </c>
      <c r="Y27" s="220">
        <f t="shared" si="39"/>
        <v>2100</v>
      </c>
      <c r="Z27" s="221">
        <f t="shared" si="40"/>
        <v>2100</v>
      </c>
    </row>
    <row r="28">
      <c r="A28" s="132">
        <v>18.0</v>
      </c>
      <c r="B28" s="132" t="s">
        <v>34</v>
      </c>
      <c r="C28" s="132" t="s">
        <v>35</v>
      </c>
      <c r="D28" s="50" t="s">
        <v>1094</v>
      </c>
      <c r="E28" s="132" t="s">
        <v>1126</v>
      </c>
      <c r="G28" s="230">
        <v>13717.0</v>
      </c>
      <c r="H28" s="231">
        <v>1419.0</v>
      </c>
      <c r="I28" s="188">
        <f t="shared" si="41"/>
        <v>43</v>
      </c>
      <c r="J28" s="212">
        <f t="shared" si="33"/>
        <v>2350</v>
      </c>
      <c r="K28" s="190" t="s">
        <v>285</v>
      </c>
      <c r="L28" s="212">
        <v>1650.0</v>
      </c>
      <c r="M28" s="190" t="s">
        <v>1109</v>
      </c>
      <c r="N28" s="212">
        <v>600.0</v>
      </c>
      <c r="O28" s="190" t="s">
        <v>1118</v>
      </c>
      <c r="P28" s="212">
        <v>100.0</v>
      </c>
      <c r="Q28" s="191"/>
      <c r="R28" s="188"/>
      <c r="S28" s="193">
        <v>0.0</v>
      </c>
      <c r="T28" s="214">
        <f t="shared" si="34"/>
        <v>9905</v>
      </c>
      <c r="U28" s="216">
        <f t="shared" si="35"/>
        <v>-95</v>
      </c>
      <c r="V28" s="220">
        <f t="shared" si="36"/>
        <v>2000</v>
      </c>
      <c r="W28" s="220">
        <f t="shared" si="37"/>
        <v>2000</v>
      </c>
      <c r="X28" s="220">
        <f t="shared" si="38"/>
        <v>2000</v>
      </c>
      <c r="Y28" s="220">
        <f t="shared" si="39"/>
        <v>2000</v>
      </c>
      <c r="Z28" s="221">
        <f t="shared" si="40"/>
        <v>2000</v>
      </c>
    </row>
    <row r="29">
      <c r="A29" s="132">
        <v>25.0</v>
      </c>
      <c r="B29" s="132" t="s">
        <v>34</v>
      </c>
      <c r="C29" s="132" t="s">
        <v>35</v>
      </c>
      <c r="D29" s="50" t="s">
        <v>1127</v>
      </c>
      <c r="E29" s="132" t="s">
        <v>1128</v>
      </c>
      <c r="G29" s="230">
        <v>13600.0</v>
      </c>
      <c r="H29" s="231">
        <v>1457.0</v>
      </c>
      <c r="I29" s="188">
        <f t="shared" si="41"/>
        <v>44</v>
      </c>
      <c r="J29" s="212">
        <f t="shared" si="33"/>
        <v>1900</v>
      </c>
      <c r="K29" s="190" t="s">
        <v>38</v>
      </c>
      <c r="L29" s="212">
        <v>900.0</v>
      </c>
      <c r="M29" s="191"/>
      <c r="N29" s="192"/>
      <c r="O29" s="190" t="s">
        <v>1067</v>
      </c>
      <c r="P29" s="212">
        <v>1000.0</v>
      </c>
      <c r="Q29" s="191"/>
      <c r="R29" s="188"/>
      <c r="S29" s="193">
        <v>0.0</v>
      </c>
      <c r="T29" s="214">
        <f t="shared" si="34"/>
        <v>10199</v>
      </c>
      <c r="U29" s="216">
        <f t="shared" si="35"/>
        <v>199</v>
      </c>
      <c r="V29" s="220">
        <f t="shared" si="36"/>
        <v>2000</v>
      </c>
      <c r="W29" s="220">
        <f t="shared" si="37"/>
        <v>2000</v>
      </c>
      <c r="X29" s="220">
        <f t="shared" si="38"/>
        <v>2000</v>
      </c>
      <c r="Y29" s="220">
        <f t="shared" si="39"/>
        <v>2000</v>
      </c>
      <c r="Z29" s="221">
        <f t="shared" si="40"/>
        <v>2000</v>
      </c>
    </row>
    <row r="30">
      <c r="A30" s="219" t="s">
        <v>50</v>
      </c>
      <c r="B30" s="199"/>
      <c r="C30" s="199"/>
      <c r="D30" s="199"/>
      <c r="E30" s="199"/>
      <c r="F30" s="199"/>
      <c r="G30" s="227"/>
      <c r="H30" s="228"/>
      <c r="I30" s="202"/>
      <c r="J30" s="203"/>
      <c r="K30" s="204"/>
      <c r="L30" s="203"/>
      <c r="M30" s="204"/>
      <c r="N30" s="203"/>
      <c r="O30" s="204"/>
      <c r="P30" s="203"/>
      <c r="Q30" s="204"/>
      <c r="R30" s="202"/>
      <c r="S30" s="202"/>
      <c r="T30" s="203"/>
      <c r="U30" s="207"/>
      <c r="V30" s="208"/>
      <c r="W30" s="208"/>
      <c r="X30" s="208"/>
      <c r="Y30" s="208"/>
      <c r="Z30" s="209"/>
    </row>
    <row r="31">
      <c r="A31" s="132">
        <v>9.0</v>
      </c>
      <c r="B31" s="132" t="s">
        <v>34</v>
      </c>
      <c r="C31" s="132" t="s">
        <v>35</v>
      </c>
      <c r="D31" s="50" t="s">
        <v>1086</v>
      </c>
      <c r="E31" s="132" t="s">
        <v>1129</v>
      </c>
      <c r="G31" s="230">
        <v>12800.0</v>
      </c>
      <c r="H31" s="231">
        <v>1416.0</v>
      </c>
      <c r="I31" s="188">
        <f>round(3%*H31,0)</f>
        <v>42</v>
      </c>
      <c r="J31" s="212">
        <f t="shared" ref="J31:J33" si="42">sum(L31+N31+P31+R31)</f>
        <v>950</v>
      </c>
      <c r="K31" s="190" t="s">
        <v>38</v>
      </c>
      <c r="L31" s="212">
        <v>950.0</v>
      </c>
      <c r="M31" s="191"/>
      <c r="N31" s="192"/>
      <c r="O31" s="191"/>
      <c r="P31" s="192"/>
      <c r="Q31" s="191"/>
      <c r="R31" s="188"/>
      <c r="S31" s="193">
        <v>0.0</v>
      </c>
      <c r="T31" s="214">
        <f t="shared" ref="T31:T33" si="43">G31-H31-I31-J31-S31</f>
        <v>10392</v>
      </c>
      <c r="U31" s="216">
        <f t="shared" ref="U31:U33" si="44">round(T31-V31-W31-X31-Y31-Z31,0)</f>
        <v>-108</v>
      </c>
      <c r="V31" s="220">
        <f t="shared" ref="V31:V33" si="45">round(T31/5,-2)</f>
        <v>2100</v>
      </c>
      <c r="W31" s="220">
        <f t="shared" ref="W31:W33" si="46">round(T31/5,-2)</f>
        <v>2100</v>
      </c>
      <c r="X31" s="220">
        <f t="shared" ref="X31:X33" si="47">round(T31/5,-2)</f>
        <v>2100</v>
      </c>
      <c r="Y31" s="220">
        <f t="shared" ref="Y31:Y33" si="48">round(T31/5,-2)</f>
        <v>2100</v>
      </c>
      <c r="Z31" s="221">
        <f t="shared" ref="Z31:Z33" si="49">round(T31/5,-2)</f>
        <v>2100</v>
      </c>
    </row>
    <row r="32">
      <c r="A32" s="229">
        <v>16.0</v>
      </c>
      <c r="B32" s="132" t="s">
        <v>34</v>
      </c>
      <c r="C32" s="132" t="s">
        <v>35</v>
      </c>
      <c r="D32" s="50" t="s">
        <v>1130</v>
      </c>
      <c r="E32" s="132" t="s">
        <v>1131</v>
      </c>
      <c r="G32" s="230">
        <v>13862.0</v>
      </c>
      <c r="H32" s="231">
        <v>1450.0</v>
      </c>
      <c r="I32" s="188">
        <f>round(3%*G32,0)</f>
        <v>416</v>
      </c>
      <c r="J32" s="212">
        <f t="shared" si="42"/>
        <v>2050</v>
      </c>
      <c r="K32" s="190" t="s">
        <v>38</v>
      </c>
      <c r="L32" s="212">
        <v>950.0</v>
      </c>
      <c r="M32" s="191"/>
      <c r="N32" s="192"/>
      <c r="O32" s="190" t="s">
        <v>1067</v>
      </c>
      <c r="P32" s="212">
        <v>1100.0</v>
      </c>
      <c r="Q32" s="191"/>
      <c r="R32" s="188"/>
      <c r="S32" s="188">
        <f>round(20%*(G32-I32-J32),0)</f>
        <v>2279</v>
      </c>
      <c r="T32" s="214">
        <f t="shared" si="43"/>
        <v>7667</v>
      </c>
      <c r="U32" s="216">
        <f t="shared" si="44"/>
        <v>167</v>
      </c>
      <c r="V32" s="220">
        <f t="shared" si="45"/>
        <v>1500</v>
      </c>
      <c r="W32" s="220">
        <f t="shared" si="46"/>
        <v>1500</v>
      </c>
      <c r="X32" s="220">
        <f t="shared" si="47"/>
        <v>1500</v>
      </c>
      <c r="Y32" s="220">
        <f t="shared" si="48"/>
        <v>1500</v>
      </c>
      <c r="Z32" s="221">
        <f t="shared" si="49"/>
        <v>1500</v>
      </c>
    </row>
    <row r="33">
      <c r="A33" s="229">
        <v>23.0</v>
      </c>
      <c r="B33" s="132" t="s">
        <v>34</v>
      </c>
      <c r="C33" s="132" t="s">
        <v>35</v>
      </c>
      <c r="D33" s="50" t="s">
        <v>1086</v>
      </c>
      <c r="E33" s="132"/>
      <c r="F33" s="50" t="s">
        <v>1132</v>
      </c>
      <c r="G33" s="230">
        <v>7425.0</v>
      </c>
      <c r="H33" s="231">
        <v>0.0</v>
      </c>
      <c r="I33" s="188">
        <f>round(3%*H33,0)</f>
        <v>0</v>
      </c>
      <c r="J33" s="212">
        <f t="shared" si="42"/>
        <v>950</v>
      </c>
      <c r="K33" s="190" t="s">
        <v>38</v>
      </c>
      <c r="L33" s="212">
        <v>950.0</v>
      </c>
      <c r="M33" s="191"/>
      <c r="N33" s="192"/>
      <c r="O33" s="190"/>
      <c r="P33" s="189"/>
      <c r="Q33" s="191"/>
      <c r="R33" s="188"/>
      <c r="S33" s="193">
        <v>0.0</v>
      </c>
      <c r="T33" s="214">
        <f t="shared" si="43"/>
        <v>6475</v>
      </c>
      <c r="U33" s="216">
        <f t="shared" si="44"/>
        <v>-25</v>
      </c>
      <c r="V33" s="237">
        <f t="shared" si="45"/>
        <v>1300</v>
      </c>
      <c r="W33" s="237">
        <f t="shared" si="46"/>
        <v>1300</v>
      </c>
      <c r="X33" s="237">
        <f t="shared" si="47"/>
        <v>1300</v>
      </c>
      <c r="Y33" s="237">
        <f t="shared" si="48"/>
        <v>1300</v>
      </c>
      <c r="Z33" s="188">
        <f t="shared" si="49"/>
        <v>1300</v>
      </c>
    </row>
    <row r="34">
      <c r="A34" s="219" t="s">
        <v>97</v>
      </c>
      <c r="B34" s="199"/>
      <c r="C34" s="199"/>
      <c r="D34" s="199"/>
      <c r="E34" s="199"/>
      <c r="F34" s="199"/>
      <c r="G34" s="227"/>
      <c r="H34" s="228"/>
      <c r="I34" s="202"/>
      <c r="J34" s="203"/>
      <c r="K34" s="204"/>
      <c r="L34" s="203"/>
      <c r="M34" s="204"/>
      <c r="N34" s="203"/>
      <c r="O34" s="204"/>
      <c r="P34" s="203"/>
      <c r="Q34" s="204"/>
      <c r="R34" s="202"/>
      <c r="S34" s="202"/>
      <c r="T34" s="203"/>
      <c r="U34" s="207"/>
      <c r="V34" s="208"/>
      <c r="W34" s="208"/>
      <c r="X34" s="208"/>
      <c r="Y34" s="208"/>
      <c r="Z34" s="209"/>
    </row>
    <row r="35">
      <c r="A35" s="219" t="s">
        <v>52</v>
      </c>
      <c r="B35" s="199"/>
      <c r="C35" s="199"/>
      <c r="D35" s="199"/>
      <c r="E35" s="199"/>
      <c r="F35" s="199"/>
      <c r="G35" s="227"/>
      <c r="H35" s="228"/>
      <c r="I35" s="202"/>
      <c r="J35" s="203"/>
      <c r="K35" s="204"/>
      <c r="L35" s="203"/>
      <c r="M35" s="204"/>
      <c r="N35" s="203"/>
      <c r="O35" s="204"/>
      <c r="P35" s="203"/>
      <c r="Q35" s="204"/>
      <c r="R35" s="202"/>
      <c r="S35" s="202"/>
      <c r="T35" s="203"/>
      <c r="U35" s="207"/>
      <c r="V35" s="208"/>
      <c r="W35" s="208"/>
      <c r="X35" s="208"/>
      <c r="Y35" s="208"/>
      <c r="Z35" s="209"/>
    </row>
    <row r="36">
      <c r="A36" s="50">
        <v>18.0</v>
      </c>
      <c r="B36" s="50" t="s">
        <v>54</v>
      </c>
      <c r="C36" s="50" t="s">
        <v>1133</v>
      </c>
      <c r="D36" s="50" t="s">
        <v>1134</v>
      </c>
      <c r="G36" s="230">
        <v>5000.0</v>
      </c>
      <c r="H36" s="231">
        <v>0.0</v>
      </c>
      <c r="I36" s="188">
        <f>round(3%*G36,0)</f>
        <v>150</v>
      </c>
      <c r="J36" s="212">
        <f>sum(L36+N36+P36+R36)</f>
        <v>900</v>
      </c>
      <c r="K36" s="190" t="s">
        <v>38</v>
      </c>
      <c r="L36" s="212">
        <v>900.0</v>
      </c>
      <c r="M36" s="191"/>
      <c r="N36" s="192"/>
      <c r="O36" s="190"/>
      <c r="P36" s="189"/>
      <c r="Q36" s="191"/>
      <c r="R36" s="188"/>
      <c r="S36" s="188">
        <f>round(20%*(G36-I36-J36),0)</f>
        <v>790</v>
      </c>
      <c r="T36" s="214">
        <f>G36-H36-I36-J36-S36</f>
        <v>3160</v>
      </c>
      <c r="U36" s="216">
        <f>round(T36-V36-W36-X36-Y36-Z36,0)</f>
        <v>160</v>
      </c>
      <c r="V36" s="237">
        <f>round(T36/5,-2)</f>
        <v>600</v>
      </c>
      <c r="W36" s="237">
        <f>round(T36/5,-2)</f>
        <v>600</v>
      </c>
      <c r="X36" s="237">
        <f>round(T36/5,-2)</f>
        <v>600</v>
      </c>
      <c r="Y36" s="237">
        <f>round(T36/5,-2)</f>
        <v>600</v>
      </c>
      <c r="Z36" s="188">
        <f>round(T36/5,-2)</f>
        <v>600</v>
      </c>
    </row>
    <row r="37">
      <c r="A37" s="219" t="s">
        <v>1135</v>
      </c>
      <c r="B37" s="199"/>
      <c r="C37" s="199"/>
      <c r="D37" s="199"/>
      <c r="E37" s="199"/>
      <c r="F37" s="199"/>
      <c r="G37" s="227"/>
      <c r="H37" s="228"/>
      <c r="I37" s="202"/>
      <c r="J37" s="203"/>
      <c r="K37" s="204"/>
      <c r="L37" s="203"/>
      <c r="M37" s="204"/>
      <c r="N37" s="203"/>
      <c r="O37" s="204"/>
      <c r="P37" s="203"/>
      <c r="Q37" s="204"/>
      <c r="R37" s="202"/>
      <c r="S37" s="202"/>
      <c r="T37" s="203"/>
      <c r="U37" s="207"/>
      <c r="V37" s="208"/>
      <c r="W37" s="208"/>
      <c r="X37" s="208"/>
      <c r="Y37" s="208"/>
      <c r="Z37" s="209"/>
    </row>
    <row r="38">
      <c r="A38" s="132" t="s">
        <v>1136</v>
      </c>
      <c r="C38" s="132"/>
      <c r="D38" s="50" t="s">
        <v>1137</v>
      </c>
      <c r="E38" s="132" t="s">
        <v>1138</v>
      </c>
      <c r="F38" s="132"/>
      <c r="G38" s="238">
        <v>1398.0</v>
      </c>
      <c r="H38" s="231">
        <v>1398.0</v>
      </c>
      <c r="I38" s="188">
        <f>round(3%*G38,0)</f>
        <v>42</v>
      </c>
      <c r="J38" s="189">
        <f>sum(L38+N38+P38+R38)</f>
        <v>0</v>
      </c>
      <c r="K38" s="190"/>
      <c r="L38" s="189"/>
      <c r="M38" s="191"/>
      <c r="N38" s="192"/>
      <c r="O38" s="190"/>
      <c r="P38" s="189"/>
      <c r="Q38" s="191"/>
      <c r="R38" s="188"/>
      <c r="S38" s="193">
        <v>0.0</v>
      </c>
      <c r="T38" s="214">
        <f>G38-H38-I38-J38-S38</f>
        <v>-42</v>
      </c>
      <c r="U38" s="216">
        <f>round(T38-V38-W38-X38-Y38-Z38,0)</f>
        <v>-42</v>
      </c>
      <c r="V38" s="239">
        <f>round(T38/5,-2)</f>
        <v>0</v>
      </c>
      <c r="W38" s="237">
        <f>round(T38/5,-2)</f>
        <v>0</v>
      </c>
      <c r="X38" s="223">
        <f>round(T38/5,-2)</f>
        <v>0</v>
      </c>
      <c r="Y38" s="223">
        <f>round(T38/5,-2)</f>
        <v>0</v>
      </c>
      <c r="Z38" s="188">
        <f>round(T38/5,-2)</f>
        <v>0</v>
      </c>
    </row>
    <row r="39">
      <c r="A39" s="219" t="s">
        <v>1139</v>
      </c>
      <c r="B39" s="199"/>
      <c r="C39" s="199"/>
      <c r="D39" s="199"/>
      <c r="E39" s="199"/>
      <c r="F39" s="199"/>
      <c r="G39" s="227"/>
      <c r="H39" s="228"/>
      <c r="I39" s="202"/>
      <c r="J39" s="203"/>
      <c r="K39" s="204"/>
      <c r="L39" s="203"/>
      <c r="M39" s="204"/>
      <c r="N39" s="203"/>
      <c r="O39" s="204"/>
      <c r="P39" s="203"/>
      <c r="Q39" s="204"/>
      <c r="R39" s="202"/>
      <c r="S39" s="202"/>
      <c r="T39" s="203"/>
      <c r="U39" s="207"/>
      <c r="V39" s="208"/>
      <c r="W39" s="208"/>
      <c r="X39" s="208"/>
      <c r="Y39" s="208"/>
      <c r="Z39" s="209"/>
    </row>
    <row r="40">
      <c r="A40" s="132" t="s">
        <v>1140</v>
      </c>
      <c r="C40" s="132"/>
      <c r="D40" s="50" t="s">
        <v>1141</v>
      </c>
      <c r="E40" s="132" t="s">
        <v>1142</v>
      </c>
      <c r="G40" s="238">
        <v>6900.0</v>
      </c>
      <c r="H40" s="231">
        <v>1428.0</v>
      </c>
      <c r="I40" s="188">
        <f t="shared" ref="I40:I42" si="50">round(3%*G40,0)</f>
        <v>207</v>
      </c>
      <c r="J40" s="189">
        <f t="shared" ref="J40:J42" si="51">sum(L40+N40+P40+R40)</f>
        <v>900</v>
      </c>
      <c r="K40" s="190" t="s">
        <v>38</v>
      </c>
      <c r="L40" s="189">
        <v>900.0</v>
      </c>
      <c r="M40" s="191"/>
      <c r="N40" s="192"/>
      <c r="O40" s="190"/>
      <c r="P40" s="189"/>
      <c r="Q40" s="191"/>
      <c r="R40" s="188"/>
      <c r="S40" s="188">
        <f t="shared" ref="S40:S42" si="52">round(20%*(G40-I40-J40),0)</f>
        <v>1159</v>
      </c>
      <c r="T40" s="214">
        <f t="shared" ref="T40:T42" si="53">G40-H40-I40-J40-S40</f>
        <v>3206</v>
      </c>
      <c r="U40" s="216">
        <f t="shared" ref="U40:U42" si="54">round(T40-V40-W40-X40-Y40-Z40,0)</f>
        <v>206</v>
      </c>
      <c r="V40" s="223">
        <f t="shared" ref="V40:V42" si="55">round(T40/5,-2)</f>
        <v>600</v>
      </c>
      <c r="W40" s="223">
        <f t="shared" ref="W40:W42" si="56">round(T40/5,-2)</f>
        <v>600</v>
      </c>
      <c r="X40" s="223">
        <f t="shared" ref="X40:X42" si="57">round(T40/5,-2)</f>
        <v>600</v>
      </c>
      <c r="Y40" s="223">
        <f t="shared" ref="Y40:Y42" si="58">round(T40/5,-2)</f>
        <v>600</v>
      </c>
      <c r="Z40" s="188">
        <f t="shared" ref="Z40:Z42" si="59">round(T40/5,-2)</f>
        <v>600</v>
      </c>
    </row>
    <row r="41">
      <c r="A41" s="132" t="s">
        <v>1143</v>
      </c>
      <c r="B41" s="132"/>
      <c r="C41" s="132"/>
      <c r="D41" s="50" t="s">
        <v>1144</v>
      </c>
      <c r="E41" s="132" t="s">
        <v>1145</v>
      </c>
      <c r="G41" s="238">
        <v>14725.0</v>
      </c>
      <c r="H41" s="231">
        <v>1425.0</v>
      </c>
      <c r="I41" s="188">
        <f t="shared" si="50"/>
        <v>442</v>
      </c>
      <c r="J41" s="189">
        <f t="shared" si="51"/>
        <v>1650</v>
      </c>
      <c r="K41" s="190" t="s">
        <v>285</v>
      </c>
      <c r="L41" s="189">
        <v>1650.0</v>
      </c>
      <c r="M41" s="190"/>
      <c r="N41" s="189"/>
      <c r="O41" s="191"/>
      <c r="P41" s="192"/>
      <c r="Q41" s="191"/>
      <c r="R41" s="188"/>
      <c r="S41" s="188">
        <f t="shared" si="52"/>
        <v>2527</v>
      </c>
      <c r="T41" s="214">
        <f t="shared" si="53"/>
        <v>8681</v>
      </c>
      <c r="U41" s="216">
        <f t="shared" si="54"/>
        <v>181</v>
      </c>
      <c r="V41" s="223">
        <f t="shared" si="55"/>
        <v>1700</v>
      </c>
      <c r="W41" s="223">
        <f t="shared" si="56"/>
        <v>1700</v>
      </c>
      <c r="X41" s="223">
        <f t="shared" si="57"/>
        <v>1700</v>
      </c>
      <c r="Y41" s="223">
        <f t="shared" si="58"/>
        <v>1700</v>
      </c>
      <c r="Z41" s="188">
        <f t="shared" si="59"/>
        <v>1700</v>
      </c>
    </row>
    <row r="42">
      <c r="A42" s="132" t="s">
        <v>1146</v>
      </c>
      <c r="B42" s="132"/>
      <c r="C42" s="132"/>
      <c r="D42" s="50" t="s">
        <v>1099</v>
      </c>
      <c r="E42" s="132" t="s">
        <v>1129</v>
      </c>
      <c r="G42" s="238">
        <v>12771.0</v>
      </c>
      <c r="H42" s="231">
        <v>1419.0</v>
      </c>
      <c r="I42" s="188">
        <f t="shared" si="50"/>
        <v>383</v>
      </c>
      <c r="J42" s="189">
        <f t="shared" si="51"/>
        <v>900</v>
      </c>
      <c r="K42" s="190" t="s">
        <v>38</v>
      </c>
      <c r="L42" s="189">
        <v>900.0</v>
      </c>
      <c r="M42" s="191"/>
      <c r="N42" s="192"/>
      <c r="O42" s="191"/>
      <c r="P42" s="192"/>
      <c r="Q42" s="191"/>
      <c r="R42" s="188"/>
      <c r="S42" s="188">
        <f t="shared" si="52"/>
        <v>2298</v>
      </c>
      <c r="T42" s="214">
        <f t="shared" si="53"/>
        <v>7771</v>
      </c>
      <c r="U42" s="216">
        <f t="shared" si="54"/>
        <v>-229</v>
      </c>
      <c r="V42" s="223">
        <f t="shared" si="55"/>
        <v>1600</v>
      </c>
      <c r="W42" s="223">
        <f t="shared" si="56"/>
        <v>1600</v>
      </c>
      <c r="X42" s="223">
        <f t="shared" si="57"/>
        <v>1600</v>
      </c>
      <c r="Y42" s="223">
        <f t="shared" si="58"/>
        <v>1600</v>
      </c>
      <c r="Z42" s="188">
        <f t="shared" si="59"/>
        <v>1600</v>
      </c>
    </row>
    <row r="45">
      <c r="D45" s="240" t="s">
        <v>1147</v>
      </c>
      <c r="E45" s="170"/>
      <c r="F45" s="170"/>
      <c r="G45" s="170"/>
      <c r="H45" s="184"/>
      <c r="K45" s="165" t="s">
        <v>1148</v>
      </c>
      <c r="L45" s="57"/>
    </row>
    <row r="46">
      <c r="D46" s="241" t="s">
        <v>5</v>
      </c>
      <c r="E46" s="242" t="s">
        <v>1149</v>
      </c>
      <c r="F46" s="241" t="s">
        <v>5</v>
      </c>
      <c r="G46" s="243" t="s">
        <v>154</v>
      </c>
      <c r="H46" s="242" t="s">
        <v>204</v>
      </c>
      <c r="K46" s="60"/>
      <c r="L46" s="142"/>
    </row>
    <row r="47">
      <c r="D47" s="244" t="s">
        <v>1150</v>
      </c>
      <c r="E47" s="245">
        <f>countif(B:B,"Public")</f>
        <v>4</v>
      </c>
      <c r="F47" s="244" t="s">
        <v>1151</v>
      </c>
      <c r="G47" s="246">
        <f>sum(G1:G36)</f>
        <v>253308</v>
      </c>
      <c r="H47" s="247">
        <f t="shared" ref="H47:H57" si="60">round(G47/4.7,0)</f>
        <v>53895</v>
      </c>
      <c r="K47" s="248"/>
      <c r="L47" s="249" t="s">
        <v>1152</v>
      </c>
    </row>
    <row r="48">
      <c r="D48" s="244" t="s">
        <v>1153</v>
      </c>
      <c r="E48" s="245">
        <f>countif(B:B,"Privat")</f>
        <v>18</v>
      </c>
      <c r="F48" s="244" t="s">
        <v>1154</v>
      </c>
      <c r="G48" s="246">
        <f>sum(T:T)</f>
        <v>188458</v>
      </c>
      <c r="H48" s="247">
        <f t="shared" si="60"/>
        <v>40097</v>
      </c>
      <c r="K48" s="60"/>
      <c r="L48" s="173" t="s">
        <v>1155</v>
      </c>
    </row>
    <row r="49">
      <c r="D49" s="250" t="s">
        <v>1156</v>
      </c>
      <c r="E49" s="251">
        <f>COUNTIF(C:C,"Corporate")</f>
        <v>0</v>
      </c>
      <c r="F49" s="250" t="s">
        <v>1157</v>
      </c>
      <c r="G49" s="252">
        <f>sum(V1:V37)</f>
        <v>33676</v>
      </c>
      <c r="H49" s="59">
        <f t="shared" si="60"/>
        <v>7165</v>
      </c>
    </row>
    <row r="50">
      <c r="D50" s="250" t="s">
        <v>1158</v>
      </c>
      <c r="E50" s="251">
        <f>countif(C:C,"Nunta") + COUNTIF(C:C,"Botez") + countif(C:C,"Aniversare")</f>
        <v>18</v>
      </c>
      <c r="F50" s="250" t="s">
        <v>1159</v>
      </c>
      <c r="G50" s="252">
        <f>sum(U:U)</f>
        <v>578</v>
      </c>
      <c r="H50" s="59">
        <f t="shared" si="60"/>
        <v>123</v>
      </c>
    </row>
    <row r="51">
      <c r="D51" s="250" t="s">
        <v>1160</v>
      </c>
      <c r="E51" s="251">
        <f>countif(C:C,"Absolvire")</f>
        <v>0</v>
      </c>
      <c r="F51" s="244" t="s">
        <v>1161</v>
      </c>
      <c r="G51" s="246">
        <f>round(sum(S:S),0)</f>
        <v>18625</v>
      </c>
      <c r="H51" s="247">
        <f t="shared" si="60"/>
        <v>3963</v>
      </c>
    </row>
    <row r="52">
      <c r="D52" s="244" t="s">
        <v>1162</v>
      </c>
      <c r="E52" s="253">
        <f>E47+E48</f>
        <v>22</v>
      </c>
      <c r="F52" s="244" t="s">
        <v>1163</v>
      </c>
      <c r="G52" s="246">
        <f>round(3%*G47,0)</f>
        <v>7599</v>
      </c>
      <c r="H52" s="247">
        <f t="shared" si="60"/>
        <v>1617</v>
      </c>
    </row>
    <row r="53">
      <c r="D53" s="254"/>
      <c r="E53" s="59"/>
      <c r="F53" s="244" t="s">
        <v>1164</v>
      </c>
      <c r="G53" s="246">
        <f>sum(J:J)</f>
        <v>52000</v>
      </c>
      <c r="H53" s="247">
        <f t="shared" si="60"/>
        <v>11064</v>
      </c>
    </row>
    <row r="54">
      <c r="D54" s="254"/>
      <c r="E54" s="59"/>
      <c r="F54" s="250" t="s">
        <v>1165</v>
      </c>
      <c r="G54" s="252">
        <f>sum(L:L)</f>
        <v>30350</v>
      </c>
      <c r="H54" s="59">
        <f t="shared" si="60"/>
        <v>6457</v>
      </c>
    </row>
    <row r="55">
      <c r="D55" s="254"/>
      <c r="E55" s="59"/>
      <c r="F55" s="250" t="s">
        <v>1166</v>
      </c>
      <c r="G55" s="252">
        <f>sum(N:N)</f>
        <v>10100</v>
      </c>
      <c r="H55" s="59">
        <f t="shared" si="60"/>
        <v>2149</v>
      </c>
    </row>
    <row r="56">
      <c r="D56" s="254"/>
      <c r="E56" s="59"/>
      <c r="F56" s="250" t="s">
        <v>1167</v>
      </c>
      <c r="G56" s="252">
        <f>sum(P:P)</f>
        <v>3850</v>
      </c>
      <c r="H56" s="59">
        <f t="shared" si="60"/>
        <v>819</v>
      </c>
    </row>
    <row r="57">
      <c r="D57" s="60"/>
      <c r="E57" s="142"/>
      <c r="F57" s="255" t="s">
        <v>1168</v>
      </c>
      <c r="G57" s="256">
        <f>sum(R:R)</f>
        <v>7700</v>
      </c>
      <c r="H57" s="142">
        <f t="shared" si="60"/>
        <v>1638</v>
      </c>
    </row>
    <row r="58">
      <c r="D58" s="240" t="s">
        <v>1169</v>
      </c>
      <c r="E58" s="170"/>
      <c r="F58" s="170"/>
      <c r="G58" s="170"/>
      <c r="H58" s="184"/>
    </row>
    <row r="59">
      <c r="F59" s="240" t="s">
        <v>1170</v>
      </c>
      <c r="G59" s="170"/>
      <c r="H59" s="184"/>
    </row>
    <row r="60">
      <c r="F60" s="58" t="s">
        <v>5</v>
      </c>
      <c r="G60" s="50" t="s">
        <v>154</v>
      </c>
      <c r="H60" s="257" t="s">
        <v>204</v>
      </c>
    </row>
    <row r="61">
      <c r="F61" s="244" t="s">
        <v>1171</v>
      </c>
      <c r="G61">
        <f>G48-G62</f>
        <v>28389</v>
      </c>
      <c r="H61" s="59">
        <f t="shared" ref="H61:H64" si="61">round(G61/4.7,0)</f>
        <v>6040</v>
      </c>
    </row>
    <row r="62">
      <c r="F62" s="244" t="s">
        <v>1172</v>
      </c>
      <c r="G62">
        <f>G63+G64</f>
        <v>160069</v>
      </c>
      <c r="H62" s="59">
        <f t="shared" si="61"/>
        <v>34057</v>
      </c>
    </row>
    <row r="63">
      <c r="F63" s="250" t="s">
        <v>1173</v>
      </c>
      <c r="G63">
        <f>SUMIF(C:C,"Corporate",G:G)</f>
        <v>0</v>
      </c>
      <c r="H63" s="59">
        <f t="shared" si="61"/>
        <v>0</v>
      </c>
    </row>
    <row r="64">
      <c r="F64" s="255" t="s">
        <v>1174</v>
      </c>
      <c r="G64" s="141">
        <f>SUMIF(C:C,"Nunta",T:T)+SUMIF(C:C,"Botez",T:T)+SUMIF(C:C,"Aniversare",T:T)</f>
        <v>160069</v>
      </c>
      <c r="H64" s="142">
        <f t="shared" si="61"/>
        <v>34057</v>
      </c>
    </row>
    <row r="65">
      <c r="F65" s="240" t="s">
        <v>1175</v>
      </c>
      <c r="G65" s="170"/>
      <c r="H65" s="184"/>
    </row>
    <row r="66">
      <c r="F66" s="244" t="s">
        <v>1171</v>
      </c>
      <c r="G66">
        <f>round(G61/5,0)</f>
        <v>5678</v>
      </c>
      <c r="H66" s="59">
        <f t="shared" ref="H66:H69" si="62">round(G66/4.7,0)</f>
        <v>1208</v>
      </c>
    </row>
    <row r="67">
      <c r="E67" s="258"/>
      <c r="F67" s="244" t="s">
        <v>1172</v>
      </c>
      <c r="G67">
        <f>SUMIF(B:B,"Privat",Z:Z)</f>
        <v>31976</v>
      </c>
      <c r="H67" s="59">
        <f t="shared" si="62"/>
        <v>6803</v>
      </c>
    </row>
    <row r="68">
      <c r="E68" s="252"/>
      <c r="F68" s="250" t="s">
        <v>1173</v>
      </c>
      <c r="G68">
        <f>sumif(B:B,"Corporate",Z:Z)</f>
        <v>0</v>
      </c>
      <c r="H68" s="59">
        <f t="shared" si="62"/>
        <v>0</v>
      </c>
    </row>
    <row r="69">
      <c r="E69" s="258"/>
      <c r="F69" s="255" t="s">
        <v>1174</v>
      </c>
      <c r="G69" s="141">
        <f>SUMIF(C:C,"Nunta",Z:Z)+SUMIF(C:C,"Botez",Z:Z)+SUMIF(C:C,"Aniversare",Z:Z)</f>
        <v>31976</v>
      </c>
      <c r="H69" s="142">
        <f t="shared" si="62"/>
        <v>6803</v>
      </c>
    </row>
  </sheetData>
  <mergeCells count="17">
    <mergeCell ref="G1:H1"/>
    <mergeCell ref="J1:R1"/>
    <mergeCell ref="T1:Z1"/>
    <mergeCell ref="A38:B38"/>
    <mergeCell ref="A40:B40"/>
    <mergeCell ref="D45:H45"/>
    <mergeCell ref="K45:L46"/>
    <mergeCell ref="D58:H58"/>
    <mergeCell ref="F59:H59"/>
    <mergeCell ref="F65:H65"/>
    <mergeCell ref="A1:A2"/>
    <mergeCell ref="B1:B2"/>
    <mergeCell ref="C1:C2"/>
    <mergeCell ref="D1:D2"/>
    <mergeCell ref="E1:E2"/>
    <mergeCell ref="F1:F2"/>
    <mergeCell ref="I1:I2"/>
  </mergeCells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63"/>
    <col customWidth="1" min="3" max="3" width="40.25"/>
    <col customWidth="1" min="4" max="4" width="6.63"/>
    <col customWidth="1" min="5" max="5" width="6.25"/>
    <col customWidth="1" min="6" max="6" width="62.88"/>
    <col customWidth="1" min="7" max="7" width="4.88"/>
    <col customWidth="1" min="8" max="10" width="12.63"/>
  </cols>
  <sheetData>
    <row r="1" ht="15.75" customHeight="1">
      <c r="A1" s="259" t="s">
        <v>863</v>
      </c>
      <c r="B1" s="138"/>
      <c r="C1" s="57"/>
      <c r="D1" s="259" t="s">
        <v>0</v>
      </c>
      <c r="E1" s="138"/>
      <c r="F1" s="57"/>
      <c r="G1" s="125"/>
      <c r="H1" s="125"/>
      <c r="I1" s="125"/>
    </row>
    <row r="2" ht="15.75" customHeight="1">
      <c r="A2" s="60"/>
      <c r="B2" s="141"/>
      <c r="C2" s="142"/>
      <c r="D2" s="60"/>
      <c r="E2" s="141"/>
      <c r="F2" s="142"/>
      <c r="G2" s="125"/>
      <c r="H2" s="125"/>
      <c r="I2" s="125"/>
    </row>
    <row r="3" ht="15.75" customHeight="1">
      <c r="A3" s="260" t="s">
        <v>154</v>
      </c>
      <c r="B3" s="260" t="s">
        <v>1</v>
      </c>
      <c r="C3" s="260" t="s">
        <v>5</v>
      </c>
      <c r="D3" s="260" t="s">
        <v>154</v>
      </c>
      <c r="E3" s="260" t="s">
        <v>1</v>
      </c>
      <c r="F3" s="260" t="s">
        <v>5</v>
      </c>
      <c r="G3" s="125"/>
      <c r="H3" s="125"/>
      <c r="I3" s="125"/>
    </row>
    <row r="4" ht="15.75" customHeight="1">
      <c r="A4" s="129">
        <v>10980.0</v>
      </c>
      <c r="B4" s="123" t="s">
        <v>1176</v>
      </c>
      <c r="C4" s="123" t="s">
        <v>1177</v>
      </c>
      <c r="D4" s="261">
        <v>2700.0</v>
      </c>
      <c r="F4" s="50" t="s">
        <v>1178</v>
      </c>
      <c r="G4" s="125"/>
      <c r="H4" s="125" t="s">
        <v>867</v>
      </c>
      <c r="I4" s="126">
        <f>sum(D:D)</f>
        <v>174384</v>
      </c>
    </row>
    <row r="5" ht="15.75" customHeight="1">
      <c r="A5" s="261">
        <v>6850.0</v>
      </c>
      <c r="B5" s="123"/>
      <c r="C5" s="123" t="s">
        <v>1179</v>
      </c>
      <c r="D5" s="262">
        <v>70.0</v>
      </c>
      <c r="F5" s="123" t="s">
        <v>1180</v>
      </c>
      <c r="G5" s="125"/>
      <c r="H5" s="125" t="s">
        <v>871</v>
      </c>
      <c r="I5" s="126">
        <f>sum(A:A)</f>
        <v>176235</v>
      </c>
    </row>
    <row r="6" ht="15.75" customHeight="1">
      <c r="A6" s="261">
        <v>1500.0</v>
      </c>
      <c r="C6" s="50" t="s">
        <v>1181</v>
      </c>
      <c r="D6" s="262">
        <v>33.0</v>
      </c>
      <c r="F6" s="123" t="s">
        <v>1182</v>
      </c>
      <c r="G6" s="125"/>
      <c r="H6" s="125"/>
      <c r="I6" s="125"/>
    </row>
    <row r="7" ht="15.75" customHeight="1">
      <c r="A7" s="261">
        <v>2000.0</v>
      </c>
      <c r="C7" s="50" t="s">
        <v>1181</v>
      </c>
      <c r="D7" s="262">
        <v>134.0</v>
      </c>
      <c r="E7" s="130"/>
      <c r="F7" s="123" t="s">
        <v>1183</v>
      </c>
      <c r="G7" s="125"/>
      <c r="H7" s="125" t="s">
        <v>877</v>
      </c>
      <c r="I7" s="126">
        <f>I5-I4</f>
        <v>1851</v>
      </c>
    </row>
    <row r="8" ht="15.75" customHeight="1">
      <c r="A8" s="129">
        <v>1500.0</v>
      </c>
      <c r="C8" s="50" t="s">
        <v>1184</v>
      </c>
      <c r="D8" s="262">
        <v>750.0</v>
      </c>
      <c r="E8" s="130"/>
      <c r="F8" s="123" t="s">
        <v>1185</v>
      </c>
      <c r="G8" s="125"/>
      <c r="I8" s="125"/>
      <c r="J8" s="125"/>
    </row>
    <row r="9" ht="15.75" customHeight="1">
      <c r="A9" s="261">
        <v>1000.0</v>
      </c>
      <c r="B9" s="123"/>
      <c r="C9" s="50" t="s">
        <v>1181</v>
      </c>
      <c r="D9" s="262">
        <v>300.0</v>
      </c>
      <c r="E9" s="130"/>
      <c r="F9" s="123" t="s">
        <v>1186</v>
      </c>
      <c r="G9" s="125"/>
    </row>
    <row r="10" ht="15.75" customHeight="1">
      <c r="A10" s="261">
        <v>12300.0</v>
      </c>
      <c r="B10" s="123"/>
      <c r="C10" s="123" t="s">
        <v>1187</v>
      </c>
      <c r="D10" s="261">
        <v>7500.0</v>
      </c>
      <c r="E10" s="130"/>
      <c r="F10" s="123" t="s">
        <v>1188</v>
      </c>
      <c r="G10" s="125"/>
      <c r="I10" s="125"/>
      <c r="J10" s="126"/>
    </row>
    <row r="11" ht="15.75" customHeight="1">
      <c r="A11" s="261">
        <v>11110.0</v>
      </c>
      <c r="C11" s="123" t="s">
        <v>1189</v>
      </c>
      <c r="D11" s="261">
        <v>1700.0</v>
      </c>
      <c r="E11" s="263"/>
      <c r="F11" s="123" t="s">
        <v>1190</v>
      </c>
      <c r="G11" s="125"/>
      <c r="H11" s="125"/>
      <c r="I11" s="125"/>
    </row>
    <row r="12" ht="15.75" customHeight="1">
      <c r="A12" s="261">
        <v>12000.0</v>
      </c>
      <c r="B12" s="123"/>
      <c r="C12" s="123" t="s">
        <v>1191</v>
      </c>
      <c r="D12" s="261">
        <v>700.0</v>
      </c>
      <c r="E12" s="263"/>
      <c r="F12" s="50" t="s">
        <v>1192</v>
      </c>
      <c r="G12" s="125"/>
      <c r="H12" s="125"/>
      <c r="I12" s="125"/>
    </row>
    <row r="13" ht="15.75" customHeight="1">
      <c r="A13" s="261">
        <v>12500.0</v>
      </c>
      <c r="B13" s="123"/>
      <c r="C13" s="123" t="s">
        <v>1193</v>
      </c>
      <c r="D13" s="261">
        <v>100.0</v>
      </c>
      <c r="E13" s="263"/>
      <c r="F13" s="50" t="s">
        <v>1194</v>
      </c>
      <c r="G13" s="125"/>
      <c r="H13" s="125"/>
      <c r="I13" s="125"/>
    </row>
    <row r="14" ht="15.75" customHeight="1">
      <c r="A14" s="261">
        <v>1500.0</v>
      </c>
      <c r="B14" s="123"/>
      <c r="C14" s="123" t="s">
        <v>1195</v>
      </c>
      <c r="D14" s="261">
        <v>50.0</v>
      </c>
      <c r="E14" s="263"/>
      <c r="F14" s="123" t="s">
        <v>1196</v>
      </c>
      <c r="G14" s="125"/>
      <c r="H14" s="125"/>
      <c r="I14" s="125"/>
    </row>
    <row r="15" ht="15.75" customHeight="1">
      <c r="A15" s="264">
        <v>100.0</v>
      </c>
      <c r="B15" s="123"/>
      <c r="C15" s="123" t="s">
        <v>1197</v>
      </c>
      <c r="D15" s="261">
        <v>100.0</v>
      </c>
      <c r="E15" s="263"/>
      <c r="F15" s="50" t="s">
        <v>1198</v>
      </c>
      <c r="G15" s="125"/>
      <c r="H15" s="125"/>
      <c r="I15" s="125"/>
    </row>
    <row r="16" ht="15.75" customHeight="1">
      <c r="A16" s="261">
        <v>12500.0</v>
      </c>
      <c r="B16" s="123"/>
      <c r="C16" s="123" t="s">
        <v>1199</v>
      </c>
      <c r="D16" s="261">
        <v>150.0</v>
      </c>
      <c r="E16" s="263"/>
      <c r="F16" s="123" t="s">
        <v>1200</v>
      </c>
      <c r="G16" s="125"/>
      <c r="H16" s="125"/>
      <c r="I16" s="125"/>
    </row>
    <row r="17" ht="15.75" customHeight="1">
      <c r="A17" s="261">
        <v>1100.0</v>
      </c>
      <c r="C17" s="50" t="s">
        <v>1201</v>
      </c>
      <c r="D17" s="261">
        <v>250.0</v>
      </c>
      <c r="E17" s="263"/>
      <c r="F17" s="123" t="s">
        <v>1202</v>
      </c>
      <c r="G17" s="125"/>
      <c r="H17" s="125"/>
      <c r="I17" s="125"/>
    </row>
    <row r="18" ht="15.75" customHeight="1">
      <c r="A18" s="261">
        <v>12373.0</v>
      </c>
      <c r="B18" s="123"/>
      <c r="C18" s="123" t="s">
        <v>1203</v>
      </c>
      <c r="D18" s="261">
        <v>150.0</v>
      </c>
      <c r="E18" s="263"/>
      <c r="F18" s="123" t="s">
        <v>1204</v>
      </c>
      <c r="G18" s="125"/>
      <c r="H18" s="125"/>
      <c r="I18" s="125"/>
    </row>
    <row r="19" ht="15.75" customHeight="1">
      <c r="A19" s="261">
        <v>9384.0</v>
      </c>
      <c r="B19" s="123"/>
      <c r="C19" s="123" t="s">
        <v>1205</v>
      </c>
      <c r="D19" s="261">
        <v>1500.0</v>
      </c>
      <c r="E19" s="263"/>
      <c r="F19" s="123" t="s">
        <v>1206</v>
      </c>
      <c r="G19" s="125"/>
      <c r="H19" s="125"/>
      <c r="I19" s="125"/>
    </row>
    <row r="20" ht="15.75" customHeight="1">
      <c r="A20" s="261">
        <v>17233.0</v>
      </c>
      <c r="B20" s="123"/>
      <c r="C20" s="123" t="s">
        <v>1207</v>
      </c>
      <c r="D20" s="261">
        <v>250.0</v>
      </c>
      <c r="F20" s="123" t="s">
        <v>1190</v>
      </c>
      <c r="G20" s="125"/>
      <c r="H20" s="125"/>
      <c r="I20" s="125"/>
    </row>
    <row r="21" ht="15.75" customHeight="1">
      <c r="A21" s="261">
        <v>200.0</v>
      </c>
      <c r="B21" s="123"/>
      <c r="C21" s="50" t="s">
        <v>1208</v>
      </c>
      <c r="D21" s="261">
        <v>217.0</v>
      </c>
      <c r="E21" s="123"/>
      <c r="F21" s="123" t="s">
        <v>1209</v>
      </c>
      <c r="G21" s="125"/>
      <c r="H21" s="125"/>
      <c r="I21" s="125"/>
    </row>
    <row r="22" ht="15.75" customHeight="1">
      <c r="A22" s="261">
        <v>12864.0</v>
      </c>
      <c r="B22" s="123"/>
      <c r="C22" s="123" t="s">
        <v>1210</v>
      </c>
      <c r="D22" s="261">
        <v>100.0</v>
      </c>
      <c r="E22" s="263"/>
      <c r="F22" s="123" t="s">
        <v>1209</v>
      </c>
      <c r="G22" s="125"/>
      <c r="H22" s="125"/>
      <c r="I22" s="125"/>
    </row>
    <row r="23" ht="15.75" customHeight="1">
      <c r="A23" s="261">
        <v>12298.0</v>
      </c>
      <c r="B23" s="123"/>
      <c r="C23" s="123" t="s">
        <v>1211</v>
      </c>
      <c r="D23" s="261">
        <v>1200.0</v>
      </c>
      <c r="E23" s="263"/>
      <c r="F23" s="123" t="s">
        <v>1190</v>
      </c>
      <c r="G23" s="125"/>
      <c r="H23" s="125"/>
      <c r="I23" s="125"/>
    </row>
    <row r="24" ht="15.75" customHeight="1">
      <c r="A24" s="261">
        <v>12143.0</v>
      </c>
      <c r="B24" s="125"/>
      <c r="C24" s="123" t="s">
        <v>1212</v>
      </c>
      <c r="D24" s="261">
        <v>450.0</v>
      </c>
      <c r="F24" s="50" t="s">
        <v>1213</v>
      </c>
      <c r="G24" s="125"/>
      <c r="H24" s="125"/>
      <c r="I24" s="125"/>
    </row>
    <row r="25" ht="15.75" customHeight="1">
      <c r="A25" s="261">
        <v>12800.0</v>
      </c>
      <c r="B25" s="125"/>
      <c r="C25" s="123" t="s">
        <v>1214</v>
      </c>
      <c r="D25" s="261">
        <v>1500.0</v>
      </c>
      <c r="E25" s="263"/>
      <c r="F25" s="123" t="s">
        <v>1190</v>
      </c>
      <c r="G25" s="125"/>
      <c r="H25" s="125"/>
      <c r="I25" s="125"/>
    </row>
    <row r="26" ht="15.75" customHeight="1">
      <c r="A26" s="261"/>
      <c r="B26" s="125"/>
      <c r="C26" s="123"/>
      <c r="D26" s="261">
        <v>450.0</v>
      </c>
      <c r="E26" s="263"/>
      <c r="F26" s="123" t="s">
        <v>1215</v>
      </c>
      <c r="G26" s="125"/>
      <c r="H26" s="125"/>
      <c r="I26" s="125"/>
    </row>
    <row r="27" ht="15.75" customHeight="1">
      <c r="A27" s="261"/>
      <c r="B27" s="125"/>
      <c r="C27" s="123"/>
      <c r="D27" s="261">
        <v>1500.0</v>
      </c>
      <c r="E27" s="263"/>
      <c r="F27" s="123" t="s">
        <v>1216</v>
      </c>
      <c r="G27" s="125"/>
      <c r="H27" s="125"/>
      <c r="I27" s="125"/>
    </row>
    <row r="28" ht="15.75" customHeight="1">
      <c r="A28" s="261"/>
      <c r="B28" s="125"/>
      <c r="C28" s="123"/>
      <c r="D28" s="261">
        <v>980.0</v>
      </c>
      <c r="E28" s="263"/>
      <c r="F28" s="123" t="s">
        <v>1190</v>
      </c>
      <c r="G28" s="125"/>
      <c r="H28" s="125"/>
      <c r="I28" s="125"/>
    </row>
    <row r="29" ht="15.75" customHeight="1">
      <c r="A29" s="261"/>
      <c r="B29" s="125"/>
      <c r="C29" s="123"/>
      <c r="D29" s="261">
        <v>1000.0</v>
      </c>
      <c r="E29" s="263"/>
      <c r="F29" s="123" t="s">
        <v>1217</v>
      </c>
      <c r="G29" s="125"/>
      <c r="H29" s="125"/>
      <c r="I29" s="125"/>
    </row>
    <row r="30" ht="15.75" customHeight="1">
      <c r="A30" s="261"/>
      <c r="B30" s="125"/>
      <c r="C30" s="123"/>
      <c r="D30" s="261">
        <v>450.0</v>
      </c>
      <c r="E30" s="264"/>
      <c r="F30" s="123" t="s">
        <v>1218</v>
      </c>
      <c r="G30" s="125"/>
      <c r="H30" s="125"/>
      <c r="I30" s="125"/>
    </row>
    <row r="31" ht="15.75" customHeight="1">
      <c r="A31" s="261"/>
      <c r="B31" s="125"/>
      <c r="C31" s="123"/>
      <c r="D31" s="261">
        <v>50.0</v>
      </c>
      <c r="F31" s="50" t="s">
        <v>1219</v>
      </c>
      <c r="G31" s="125"/>
      <c r="H31" s="125"/>
      <c r="I31" s="125"/>
    </row>
    <row r="32" ht="15.75" customHeight="1">
      <c r="A32" s="265"/>
      <c r="B32" s="125"/>
      <c r="C32" s="125"/>
      <c r="D32" s="261">
        <v>1650.0</v>
      </c>
      <c r="E32" s="263"/>
      <c r="F32" s="123" t="s">
        <v>1220</v>
      </c>
      <c r="G32" s="125"/>
      <c r="H32" s="125"/>
      <c r="I32" s="125"/>
    </row>
    <row r="33" ht="15.75" customHeight="1">
      <c r="A33" s="125"/>
      <c r="B33" s="125"/>
      <c r="C33" s="125"/>
      <c r="D33" s="261">
        <v>600.0</v>
      </c>
      <c r="E33" s="263"/>
      <c r="F33" s="123" t="s">
        <v>1221</v>
      </c>
      <c r="G33" s="125"/>
      <c r="H33" s="125"/>
      <c r="I33" s="125"/>
    </row>
    <row r="34" ht="15.75" customHeight="1">
      <c r="A34" s="125"/>
      <c r="B34" s="125"/>
      <c r="C34" s="125"/>
      <c r="D34" s="261">
        <v>10500.0</v>
      </c>
      <c r="E34" s="263"/>
      <c r="F34" s="123" t="s">
        <v>1222</v>
      </c>
      <c r="G34" s="125"/>
      <c r="H34" s="125"/>
      <c r="I34" s="125"/>
    </row>
    <row r="35" ht="15.75" customHeight="1">
      <c r="A35" s="125"/>
      <c r="B35" s="125"/>
      <c r="C35" s="125"/>
      <c r="D35" s="261">
        <v>1650.0</v>
      </c>
      <c r="E35" s="263"/>
      <c r="F35" s="123" t="s">
        <v>1223</v>
      </c>
      <c r="G35" s="125"/>
      <c r="H35" s="125"/>
      <c r="I35" s="125"/>
    </row>
    <row r="36" ht="15.75" customHeight="1">
      <c r="A36" s="125"/>
      <c r="B36" s="125"/>
      <c r="C36" s="125"/>
      <c r="D36" s="261">
        <v>600.0</v>
      </c>
      <c r="E36" s="263"/>
      <c r="F36" s="123" t="s">
        <v>1224</v>
      </c>
      <c r="G36" s="125"/>
      <c r="H36" s="125"/>
      <c r="I36" s="125"/>
    </row>
    <row r="37" ht="15.75" customHeight="1">
      <c r="A37" s="261"/>
      <c r="B37" s="123"/>
      <c r="C37" s="123"/>
      <c r="D37" s="129">
        <v>9000.0</v>
      </c>
      <c r="E37" s="130"/>
      <c r="F37" s="50" t="s">
        <v>1225</v>
      </c>
    </row>
    <row r="38" ht="15.75" customHeight="1">
      <c r="D38" s="129">
        <v>1650.0</v>
      </c>
      <c r="F38" s="50" t="s">
        <v>1226</v>
      </c>
    </row>
    <row r="39" ht="15.75" customHeight="1">
      <c r="D39" s="129">
        <v>250.0</v>
      </c>
      <c r="E39" s="130"/>
      <c r="F39" s="123" t="s">
        <v>1227</v>
      </c>
    </row>
    <row r="40" ht="15.75" customHeight="1">
      <c r="D40" s="261">
        <v>10000.0</v>
      </c>
      <c r="E40" s="130"/>
      <c r="F40" s="123" t="s">
        <v>1228</v>
      </c>
    </row>
    <row r="41" ht="15.75" customHeight="1">
      <c r="D41" s="129">
        <v>600.0</v>
      </c>
      <c r="E41" s="130"/>
      <c r="F41" s="50" t="s">
        <v>1229</v>
      </c>
    </row>
    <row r="42" ht="15.75" customHeight="1">
      <c r="D42" s="129">
        <v>1000.0</v>
      </c>
      <c r="F42" s="50" t="s">
        <v>1230</v>
      </c>
    </row>
    <row r="43" ht="15.75" customHeight="1">
      <c r="D43" s="129">
        <v>11000.0</v>
      </c>
      <c r="E43" s="130"/>
      <c r="F43" s="50" t="s">
        <v>1231</v>
      </c>
    </row>
    <row r="44" ht="15.75" customHeight="1">
      <c r="D44" s="129">
        <v>10000.0</v>
      </c>
      <c r="E44" s="130"/>
      <c r="F44" s="50" t="s">
        <v>1232</v>
      </c>
    </row>
    <row r="45" ht="15.75" customHeight="1">
      <c r="D45" s="129">
        <v>1000.0</v>
      </c>
      <c r="E45" s="130"/>
      <c r="F45" s="50" t="s">
        <v>1233</v>
      </c>
    </row>
    <row r="46" ht="15.75" customHeight="1">
      <c r="D46" s="129">
        <v>8500.0</v>
      </c>
      <c r="F46" s="50" t="s">
        <v>1234</v>
      </c>
    </row>
    <row r="47" ht="15.75" customHeight="1">
      <c r="D47" s="129">
        <v>900.0</v>
      </c>
      <c r="F47" s="50" t="s">
        <v>1235</v>
      </c>
    </row>
    <row r="48" ht="15.75" customHeight="1">
      <c r="D48" s="129">
        <v>1500.0</v>
      </c>
      <c r="F48" s="50" t="s">
        <v>1236</v>
      </c>
    </row>
    <row r="49" ht="15.75" customHeight="1">
      <c r="D49" s="129">
        <v>1500.0</v>
      </c>
      <c r="E49" s="130"/>
      <c r="F49" s="50" t="s">
        <v>1237</v>
      </c>
    </row>
    <row r="50" ht="15.75" customHeight="1">
      <c r="D50" s="129">
        <v>1650.0</v>
      </c>
      <c r="E50" s="130"/>
      <c r="F50" s="50" t="s">
        <v>1238</v>
      </c>
    </row>
    <row r="51" ht="15.75" customHeight="1">
      <c r="D51" s="129">
        <v>600.0</v>
      </c>
      <c r="E51" s="130"/>
      <c r="F51" s="50" t="s">
        <v>1239</v>
      </c>
    </row>
    <row r="52" ht="15.75" customHeight="1">
      <c r="D52" s="129">
        <v>100.0</v>
      </c>
      <c r="E52" s="130"/>
      <c r="F52" s="50" t="s">
        <v>25</v>
      </c>
    </row>
    <row r="53" ht="15.75" customHeight="1">
      <c r="D53" s="129">
        <v>50.0</v>
      </c>
      <c r="E53" s="130"/>
      <c r="F53" s="50" t="s">
        <v>212</v>
      </c>
    </row>
    <row r="54" ht="15.75" customHeight="1">
      <c r="D54" s="129">
        <v>1000.0</v>
      </c>
      <c r="E54" s="130"/>
      <c r="F54" s="50" t="s">
        <v>1240</v>
      </c>
    </row>
    <row r="55" ht="15.75" customHeight="1">
      <c r="D55" s="129">
        <v>7380.0</v>
      </c>
      <c r="E55" s="130"/>
      <c r="F55" s="50" t="s">
        <v>1241</v>
      </c>
    </row>
    <row r="56" ht="15.75" customHeight="1">
      <c r="D56" s="129">
        <v>10000.0</v>
      </c>
      <c r="E56" s="130"/>
      <c r="F56" s="50" t="s">
        <v>1242</v>
      </c>
    </row>
    <row r="57" ht="15.75" customHeight="1">
      <c r="D57" s="129">
        <v>1200.0</v>
      </c>
      <c r="E57" s="130"/>
      <c r="F57" s="50" t="s">
        <v>1243</v>
      </c>
    </row>
    <row r="58" ht="15.75" customHeight="1">
      <c r="D58" s="129">
        <v>10500.0</v>
      </c>
      <c r="E58" s="130"/>
      <c r="F58" s="50" t="s">
        <v>1244</v>
      </c>
    </row>
    <row r="59" ht="15.75" customHeight="1">
      <c r="D59" s="129">
        <v>1200.0</v>
      </c>
      <c r="E59" s="130"/>
      <c r="F59" s="50" t="s">
        <v>1245</v>
      </c>
    </row>
    <row r="60" ht="15.75" customHeight="1">
      <c r="D60" s="129">
        <v>10000.0</v>
      </c>
      <c r="E60" s="130"/>
      <c r="F60" s="50" t="s">
        <v>1246</v>
      </c>
    </row>
    <row r="61" ht="15.75" customHeight="1">
      <c r="D61" s="129">
        <v>200.0</v>
      </c>
      <c r="E61" s="130"/>
      <c r="F61" s="50" t="s">
        <v>1247</v>
      </c>
    </row>
    <row r="62" ht="15.75" customHeight="1">
      <c r="D62" s="129">
        <v>10000.0</v>
      </c>
      <c r="E62" s="130"/>
      <c r="F62" s="50" t="s">
        <v>1248</v>
      </c>
    </row>
    <row r="63" ht="15.75" customHeight="1">
      <c r="D63" s="129">
        <v>1000.0</v>
      </c>
      <c r="E63" s="130"/>
      <c r="F63" s="50" t="s">
        <v>1249</v>
      </c>
    </row>
    <row r="64" ht="15.75" customHeight="1">
      <c r="D64" s="129">
        <v>10500.0</v>
      </c>
      <c r="E64" s="130"/>
      <c r="F64" s="50" t="s">
        <v>1250</v>
      </c>
    </row>
    <row r="65" ht="15.75" customHeight="1">
      <c r="D65" s="129">
        <v>5700.0</v>
      </c>
      <c r="F65" s="50" t="s">
        <v>1251</v>
      </c>
    </row>
    <row r="66" ht="15.75" customHeight="1">
      <c r="D66" s="129">
        <v>1120.0</v>
      </c>
      <c r="F66" s="50" t="s">
        <v>1252</v>
      </c>
    </row>
    <row r="67" ht="15.75" customHeight="1">
      <c r="D67" s="129">
        <v>1100.0</v>
      </c>
      <c r="F67" s="50" t="s">
        <v>1253</v>
      </c>
    </row>
    <row r="68" ht="15.75" customHeight="1">
      <c r="D68" s="129">
        <v>2250.0</v>
      </c>
      <c r="F68" s="50" t="s">
        <v>1254</v>
      </c>
    </row>
    <row r="69" ht="15.75" customHeight="1">
      <c r="D69" s="129">
        <v>700.0</v>
      </c>
      <c r="E69" s="130"/>
      <c r="F69" s="132" t="s">
        <v>1255</v>
      </c>
    </row>
    <row r="70" ht="15.75" customHeight="1">
      <c r="D70" s="129">
        <v>1900.0</v>
      </c>
      <c r="E70" s="130"/>
      <c r="F70" s="50" t="s">
        <v>1256</v>
      </c>
    </row>
    <row r="71" ht="15.75" customHeight="1">
      <c r="D71" s="130"/>
      <c r="E71" s="130"/>
    </row>
    <row r="72" ht="15.75" customHeight="1">
      <c r="D72" s="130"/>
      <c r="E72" s="130"/>
    </row>
    <row r="73" ht="15.75" customHeight="1">
      <c r="D73" s="130"/>
      <c r="E73" s="130"/>
    </row>
    <row r="74" ht="15.75" customHeight="1">
      <c r="D74" s="130"/>
      <c r="E74" s="130"/>
    </row>
    <row r="75" ht="15.75" customHeight="1">
      <c r="D75" s="130"/>
      <c r="E75" s="130"/>
    </row>
    <row r="76" ht="15.75" customHeight="1">
      <c r="D76" s="130"/>
      <c r="E76" s="130"/>
    </row>
    <row r="77" ht="15.75" customHeight="1">
      <c r="D77" s="130"/>
      <c r="E77" s="130"/>
    </row>
    <row r="78" ht="15.75" customHeight="1">
      <c r="D78" s="130"/>
      <c r="E78" s="130"/>
    </row>
    <row r="79" ht="15.75" customHeight="1">
      <c r="D79" s="130"/>
      <c r="E79" s="130"/>
    </row>
    <row r="80" ht="15.75" customHeight="1">
      <c r="D80" s="130"/>
      <c r="E80" s="130"/>
    </row>
    <row r="81" ht="15.75" customHeight="1">
      <c r="D81" s="130"/>
      <c r="E81" s="130"/>
    </row>
    <row r="82" ht="15.75" customHeight="1">
      <c r="D82" s="130"/>
      <c r="E82" s="130"/>
    </row>
    <row r="83" ht="15.75" customHeight="1">
      <c r="D83" s="130"/>
      <c r="E83" s="130"/>
    </row>
    <row r="84" ht="15.75" customHeight="1">
      <c r="D84" s="130"/>
      <c r="E84" s="130"/>
    </row>
    <row r="85" ht="15.75" customHeight="1">
      <c r="D85" s="130"/>
      <c r="E85" s="130"/>
    </row>
    <row r="86" ht="15.75" customHeight="1">
      <c r="D86" s="130"/>
      <c r="E86" s="130"/>
    </row>
    <row r="87" ht="15.75" customHeight="1">
      <c r="D87" s="130"/>
      <c r="E87" s="130"/>
    </row>
    <row r="88" ht="15.75" customHeight="1">
      <c r="D88" s="130"/>
      <c r="E88" s="130"/>
    </row>
    <row r="89" ht="15.75" customHeight="1">
      <c r="D89" s="130"/>
      <c r="E89" s="130"/>
    </row>
    <row r="90" ht="15.75" customHeight="1">
      <c r="E90" s="130"/>
    </row>
    <row r="91" ht="15.75" customHeight="1">
      <c r="E91" s="130"/>
    </row>
    <row r="92" ht="15.75" customHeight="1">
      <c r="E92" s="130"/>
    </row>
    <row r="93" ht="15.75" customHeight="1">
      <c r="E93" s="130"/>
    </row>
    <row r="94" ht="15.75" customHeight="1">
      <c r="E94" s="130"/>
    </row>
    <row r="95" ht="15.75" customHeight="1">
      <c r="E95" s="130"/>
    </row>
    <row r="96" ht="15.75" customHeight="1">
      <c r="E96" s="130"/>
    </row>
    <row r="97" ht="15.75" customHeight="1">
      <c r="E97" s="130"/>
    </row>
    <row r="98" ht="15.75" customHeight="1">
      <c r="E98" s="130"/>
    </row>
    <row r="99" ht="15.75" customHeight="1">
      <c r="E99" s="130"/>
    </row>
    <row r="100" ht="15.75" customHeight="1">
      <c r="E100" s="130"/>
    </row>
    <row r="101" ht="15.75" customHeight="1">
      <c r="E101" s="130"/>
    </row>
    <row r="102" ht="15.75" customHeight="1">
      <c r="E102" s="130"/>
    </row>
    <row r="103" ht="15.75" customHeight="1">
      <c r="E103" s="130"/>
    </row>
    <row r="104" ht="15.75" customHeight="1">
      <c r="E104" s="130"/>
    </row>
    <row r="105" ht="15.75" customHeight="1">
      <c r="E105" s="130"/>
    </row>
    <row r="106" ht="15.75" customHeight="1">
      <c r="E106" s="130"/>
    </row>
    <row r="107" ht="15.75" customHeight="1">
      <c r="E107" s="130"/>
    </row>
    <row r="108" ht="15.75" customHeight="1">
      <c r="E108" s="130"/>
    </row>
    <row r="109" ht="15.75" customHeight="1">
      <c r="E109" s="130"/>
    </row>
    <row r="110" ht="15.75" customHeight="1">
      <c r="E110" s="130"/>
    </row>
    <row r="111" ht="15.75" customHeight="1">
      <c r="E111" s="130"/>
    </row>
    <row r="112" ht="15.75" customHeight="1">
      <c r="E112" s="130"/>
    </row>
    <row r="113" ht="15.75" customHeight="1">
      <c r="E113" s="130"/>
    </row>
    <row r="114" ht="15.75" customHeight="1">
      <c r="E114" s="130"/>
    </row>
    <row r="115" ht="15.75" customHeight="1">
      <c r="E115" s="130"/>
    </row>
    <row r="116" ht="15.75" customHeight="1">
      <c r="E116" s="130"/>
    </row>
    <row r="117" ht="15.75" customHeight="1">
      <c r="E117" s="130"/>
    </row>
    <row r="118" ht="15.75" customHeight="1">
      <c r="E118" s="130"/>
    </row>
    <row r="119" ht="15.75" customHeight="1">
      <c r="E119" s="130"/>
    </row>
    <row r="120" ht="15.75" customHeight="1">
      <c r="E120" s="130"/>
    </row>
    <row r="121" ht="15.75" customHeight="1">
      <c r="E121" s="130"/>
    </row>
    <row r="122" ht="15.75" customHeight="1">
      <c r="E122" s="130"/>
    </row>
    <row r="123" ht="15.75" customHeight="1">
      <c r="E123" s="130"/>
    </row>
    <row r="124" ht="15.75" customHeight="1">
      <c r="E124" s="130"/>
    </row>
    <row r="125" ht="15.75" customHeight="1">
      <c r="E125" s="130"/>
    </row>
    <row r="126" ht="15.75" customHeight="1">
      <c r="E126" s="130"/>
    </row>
    <row r="127" ht="15.75" customHeight="1">
      <c r="E127" s="130"/>
    </row>
    <row r="128" ht="15.75" customHeight="1">
      <c r="E128" s="130"/>
    </row>
    <row r="129" ht="15.75" customHeight="1">
      <c r="E129" s="130"/>
    </row>
    <row r="130" ht="15.75" customHeight="1">
      <c r="E130" s="130"/>
    </row>
    <row r="131" ht="15.75" customHeight="1">
      <c r="E131" s="130"/>
    </row>
    <row r="132" ht="15.75" customHeight="1">
      <c r="E132" s="130"/>
    </row>
    <row r="133" ht="15.75" customHeight="1">
      <c r="E133" s="130"/>
    </row>
    <row r="134" ht="15.75" customHeight="1">
      <c r="E134" s="130"/>
    </row>
    <row r="135" ht="15.75" customHeight="1">
      <c r="E135" s="130"/>
    </row>
    <row r="136" ht="15.75" customHeight="1">
      <c r="E136" s="130"/>
    </row>
    <row r="137" ht="15.75" customHeight="1">
      <c r="E137" s="130"/>
    </row>
    <row r="138" ht="15.75" customHeight="1">
      <c r="E138" s="130"/>
    </row>
    <row r="139" ht="15.75" customHeight="1">
      <c r="E139" s="130"/>
    </row>
    <row r="140" ht="15.75" customHeight="1">
      <c r="E140" s="130"/>
    </row>
    <row r="141" ht="15.75" customHeight="1">
      <c r="E141" s="130"/>
    </row>
    <row r="142" ht="15.75" customHeight="1">
      <c r="E142" s="130"/>
    </row>
    <row r="143" ht="15.75" customHeight="1">
      <c r="E143" s="130"/>
    </row>
    <row r="144" ht="15.75" customHeight="1">
      <c r="E144" s="130"/>
    </row>
    <row r="145" ht="15.75" customHeight="1">
      <c r="E145" s="130"/>
    </row>
    <row r="146" ht="15.75" customHeight="1">
      <c r="E146" s="130"/>
    </row>
    <row r="147" ht="15.75" customHeight="1">
      <c r="E147" s="130"/>
    </row>
    <row r="148" ht="15.75" customHeight="1">
      <c r="E148" s="130"/>
    </row>
    <row r="149" ht="15.75" customHeight="1">
      <c r="E149" s="130"/>
    </row>
    <row r="150" ht="15.75" customHeight="1">
      <c r="E150" s="130"/>
    </row>
    <row r="151" ht="15.75" customHeight="1">
      <c r="E151" s="130"/>
    </row>
    <row r="152" ht="15.75" customHeight="1">
      <c r="E152" s="130"/>
    </row>
    <row r="153" ht="15.75" customHeight="1">
      <c r="E153" s="130"/>
    </row>
    <row r="154" ht="15.75" customHeight="1">
      <c r="E154" s="130"/>
    </row>
    <row r="155" ht="15.75" customHeight="1">
      <c r="E155" s="130"/>
    </row>
    <row r="156" ht="15.75" customHeight="1">
      <c r="E156" s="130"/>
    </row>
    <row r="157" ht="15.75" customHeight="1">
      <c r="E157" s="130"/>
    </row>
    <row r="158" ht="15.75" customHeight="1">
      <c r="E158" s="130"/>
    </row>
    <row r="159" ht="15.75" customHeight="1">
      <c r="E159" s="130"/>
    </row>
    <row r="160" ht="15.75" customHeight="1">
      <c r="E160" s="130"/>
    </row>
    <row r="161" ht="15.75" customHeight="1">
      <c r="E161" s="130"/>
    </row>
    <row r="162" ht="15.75" customHeight="1">
      <c r="E162" s="130"/>
    </row>
    <row r="163" ht="15.75" customHeight="1">
      <c r="E163" s="130"/>
    </row>
    <row r="164" ht="15.75" customHeight="1">
      <c r="E164" s="130"/>
    </row>
    <row r="165" ht="15.75" customHeight="1">
      <c r="E165" s="130"/>
    </row>
    <row r="166" ht="15.75" customHeight="1">
      <c r="E166" s="130"/>
    </row>
    <row r="167" ht="15.75" customHeight="1">
      <c r="E167" s="130"/>
    </row>
    <row r="168" ht="15.75" customHeight="1">
      <c r="E168" s="130"/>
    </row>
    <row r="169" ht="15.75" customHeight="1">
      <c r="E169" s="130"/>
    </row>
    <row r="170" ht="15.75" customHeight="1">
      <c r="E170" s="130"/>
    </row>
    <row r="171" ht="15.75" customHeight="1">
      <c r="E171" s="130"/>
    </row>
    <row r="172" ht="15.75" customHeight="1">
      <c r="E172" s="130"/>
    </row>
    <row r="173" ht="15.75" customHeight="1">
      <c r="E173" s="130"/>
    </row>
    <row r="174" ht="15.75" customHeight="1">
      <c r="E174" s="130"/>
    </row>
    <row r="175" ht="15.75" customHeight="1">
      <c r="E175" s="130"/>
    </row>
    <row r="176" ht="15.75" customHeight="1">
      <c r="E176" s="130"/>
    </row>
    <row r="177" ht="15.75" customHeight="1">
      <c r="E177" s="130"/>
    </row>
    <row r="178" ht="15.75" customHeight="1">
      <c r="E178" s="130"/>
    </row>
    <row r="179" ht="15.75" customHeight="1">
      <c r="E179" s="130"/>
    </row>
    <row r="180" ht="15.75" customHeight="1">
      <c r="E180" s="130"/>
    </row>
    <row r="181" ht="15.75" customHeight="1">
      <c r="E181" s="130"/>
    </row>
    <row r="182" ht="15.75" customHeight="1">
      <c r="E182" s="130"/>
    </row>
    <row r="183" ht="15.75" customHeight="1">
      <c r="E183" s="130"/>
    </row>
    <row r="184" ht="15.75" customHeight="1">
      <c r="E184" s="130"/>
    </row>
    <row r="185" ht="15.75" customHeight="1">
      <c r="E185" s="130"/>
    </row>
    <row r="186" ht="15.75" customHeight="1">
      <c r="E186" s="130"/>
    </row>
    <row r="187" ht="15.75" customHeight="1">
      <c r="E187" s="130"/>
    </row>
    <row r="188" ht="15.75" customHeight="1">
      <c r="E188" s="130"/>
    </row>
    <row r="189" ht="15.75" customHeight="1">
      <c r="E189" s="130"/>
    </row>
    <row r="190" ht="15.75" customHeight="1">
      <c r="E190" s="130"/>
    </row>
    <row r="191" ht="15.75" customHeight="1">
      <c r="E191" s="130"/>
    </row>
    <row r="192" ht="15.75" customHeight="1">
      <c r="E192" s="130"/>
    </row>
    <row r="193" ht="15.75" customHeight="1">
      <c r="E193" s="130"/>
    </row>
    <row r="194" ht="15.75" customHeight="1">
      <c r="E194" s="130"/>
    </row>
    <row r="195" ht="15.75" customHeight="1">
      <c r="E195" s="130"/>
    </row>
    <row r="196" ht="15.75" customHeight="1">
      <c r="E196" s="130"/>
    </row>
    <row r="197" ht="15.75" customHeight="1">
      <c r="E197" s="130"/>
    </row>
    <row r="198" ht="15.75" customHeight="1">
      <c r="E198" s="130"/>
    </row>
    <row r="199" ht="15.75" customHeight="1">
      <c r="E199" s="130"/>
    </row>
    <row r="200" ht="15.75" customHeight="1">
      <c r="E200" s="130"/>
    </row>
    <row r="201" ht="15.75" customHeight="1">
      <c r="E201" s="130"/>
    </row>
    <row r="202" ht="15.75" customHeight="1">
      <c r="E202" s="130"/>
    </row>
    <row r="203" ht="15.75" customHeight="1">
      <c r="E203" s="130"/>
    </row>
    <row r="204" ht="15.75" customHeight="1">
      <c r="E204" s="130"/>
    </row>
    <row r="205" ht="15.75" customHeight="1">
      <c r="E205" s="130"/>
    </row>
    <row r="206" ht="15.75" customHeight="1">
      <c r="E206" s="130"/>
    </row>
    <row r="207" ht="15.75" customHeight="1">
      <c r="E207" s="130"/>
    </row>
    <row r="208" ht="15.75" customHeight="1">
      <c r="E208" s="130"/>
    </row>
    <row r="209" ht="15.75" customHeight="1">
      <c r="E209" s="130"/>
    </row>
    <row r="210" ht="15.75" customHeight="1">
      <c r="E210" s="130"/>
    </row>
    <row r="211" ht="15.75" customHeight="1">
      <c r="E211" s="130"/>
    </row>
    <row r="212" ht="15.75" customHeight="1">
      <c r="E212" s="130"/>
    </row>
    <row r="213" ht="15.75" customHeight="1">
      <c r="E213" s="130"/>
    </row>
    <row r="214" ht="15.75" customHeight="1">
      <c r="E214" s="130"/>
    </row>
    <row r="215" ht="15.75" customHeight="1">
      <c r="E215" s="130"/>
    </row>
    <row r="216" ht="15.75" customHeight="1">
      <c r="E216" s="130"/>
    </row>
    <row r="217" ht="15.75" customHeight="1">
      <c r="E217" s="130"/>
    </row>
    <row r="218" ht="15.75" customHeight="1">
      <c r="E218" s="130"/>
    </row>
    <row r="219" ht="15.75" customHeight="1">
      <c r="E219" s="130"/>
    </row>
    <row r="220" ht="15.75" customHeight="1">
      <c r="E220" s="130"/>
    </row>
    <row r="221" ht="15.75" customHeight="1">
      <c r="E221" s="130"/>
    </row>
    <row r="222" ht="15.75" customHeight="1">
      <c r="E222" s="130"/>
    </row>
    <row r="223" ht="15.75" customHeight="1">
      <c r="E223" s="130"/>
    </row>
    <row r="224" ht="15.75" customHeight="1">
      <c r="E224" s="130"/>
    </row>
    <row r="225" ht="15.75" customHeight="1">
      <c r="E225" s="130"/>
    </row>
    <row r="226" ht="15.75" customHeight="1">
      <c r="E226" s="130"/>
    </row>
    <row r="227" ht="15.75" customHeight="1">
      <c r="E227" s="130"/>
    </row>
    <row r="228" ht="15.75" customHeight="1">
      <c r="E228" s="130"/>
    </row>
    <row r="229" ht="15.75" customHeight="1">
      <c r="E229" s="130"/>
    </row>
    <row r="230" ht="15.75" customHeight="1">
      <c r="E230" s="130"/>
    </row>
    <row r="231" ht="15.75" customHeight="1">
      <c r="E231" s="130"/>
    </row>
    <row r="232" ht="15.75" customHeight="1">
      <c r="E232" s="130"/>
    </row>
    <row r="233" ht="15.75" customHeight="1">
      <c r="E233" s="130"/>
    </row>
    <row r="234" ht="15.75" customHeight="1">
      <c r="E234" s="130"/>
    </row>
    <row r="235" ht="15.75" customHeight="1">
      <c r="E235" s="130"/>
    </row>
    <row r="236" ht="15.75" customHeight="1">
      <c r="E236" s="130"/>
    </row>
    <row r="237" ht="15.75" customHeight="1">
      <c r="E237" s="130"/>
    </row>
    <row r="238" ht="15.75" customHeight="1">
      <c r="E238" s="130"/>
    </row>
    <row r="239" ht="15.75" customHeight="1">
      <c r="E239" s="130"/>
    </row>
    <row r="240" ht="15.75" customHeight="1">
      <c r="E240" s="130"/>
    </row>
    <row r="241" ht="15.75" customHeight="1">
      <c r="E241" s="130"/>
    </row>
    <row r="242" ht="15.75" customHeight="1">
      <c r="E242" s="130"/>
    </row>
    <row r="243" ht="15.75" customHeight="1">
      <c r="E243" s="130"/>
    </row>
    <row r="244" ht="15.75" customHeight="1">
      <c r="E244" s="130"/>
    </row>
    <row r="245" ht="15.75" customHeight="1">
      <c r="E245" s="130"/>
    </row>
    <row r="246" ht="15.75" customHeight="1">
      <c r="E246" s="130"/>
    </row>
    <row r="247" ht="15.75" customHeight="1">
      <c r="E247" s="130"/>
    </row>
    <row r="248" ht="15.75" customHeight="1">
      <c r="E248" s="130"/>
    </row>
    <row r="249" ht="15.75" customHeight="1">
      <c r="E249" s="130"/>
    </row>
    <row r="250" ht="15.75" customHeight="1">
      <c r="E250" s="130"/>
    </row>
    <row r="251" ht="15.75" customHeight="1">
      <c r="E251" s="130"/>
    </row>
    <row r="252" ht="15.75" customHeight="1">
      <c r="E252" s="130"/>
    </row>
    <row r="253" ht="15.75" customHeight="1">
      <c r="E253" s="130"/>
    </row>
    <row r="254" ht="15.75" customHeight="1">
      <c r="E254" s="130"/>
    </row>
    <row r="255" ht="15.75" customHeight="1">
      <c r="E255" s="130"/>
    </row>
    <row r="256" ht="15.75" customHeight="1">
      <c r="E256" s="130"/>
    </row>
    <row r="257" ht="15.75" customHeight="1">
      <c r="E257" s="130"/>
    </row>
    <row r="258" ht="15.75" customHeight="1">
      <c r="E258" s="130"/>
    </row>
    <row r="259" ht="15.75" customHeight="1">
      <c r="E259" s="130"/>
    </row>
    <row r="260" ht="15.75" customHeight="1">
      <c r="E260" s="130"/>
    </row>
    <row r="261" ht="15.75" customHeight="1">
      <c r="E261" s="130"/>
    </row>
    <row r="262" ht="15.75" customHeight="1">
      <c r="E262" s="130"/>
    </row>
    <row r="263" ht="15.75" customHeight="1">
      <c r="E263" s="130"/>
    </row>
    <row r="264" ht="15.75" customHeight="1">
      <c r="E264" s="130"/>
    </row>
    <row r="265" ht="15.75" customHeight="1">
      <c r="E265" s="130"/>
    </row>
    <row r="266" ht="15.75" customHeight="1">
      <c r="E266" s="130"/>
    </row>
    <row r="267" ht="15.75" customHeight="1">
      <c r="E267" s="130"/>
    </row>
    <row r="268" ht="15.75" customHeight="1">
      <c r="E268" s="130"/>
    </row>
    <row r="269" ht="15.75" customHeight="1">
      <c r="E269" s="130"/>
    </row>
    <row r="270" ht="15.75" customHeight="1">
      <c r="E270" s="130"/>
    </row>
    <row r="271" ht="15.75" customHeight="1">
      <c r="E271" s="130"/>
    </row>
    <row r="272" ht="15.75" customHeight="1">
      <c r="E272" s="130"/>
    </row>
    <row r="273" ht="15.75" customHeight="1">
      <c r="E273" s="130"/>
    </row>
    <row r="274" ht="15.75" customHeight="1">
      <c r="E274" s="130"/>
    </row>
    <row r="275" ht="15.75" customHeight="1">
      <c r="E275" s="130"/>
    </row>
    <row r="276" ht="15.75" customHeight="1">
      <c r="E276" s="130"/>
    </row>
    <row r="277" ht="15.75" customHeight="1">
      <c r="E277" s="130"/>
    </row>
    <row r="278" ht="15.75" customHeight="1">
      <c r="E278" s="130"/>
    </row>
    <row r="279" ht="15.75" customHeight="1">
      <c r="E279" s="130"/>
    </row>
    <row r="280" ht="15.75" customHeight="1">
      <c r="E280" s="130"/>
    </row>
    <row r="281" ht="15.75" customHeight="1">
      <c r="E281" s="130"/>
    </row>
    <row r="282" ht="15.75" customHeight="1">
      <c r="E282" s="130"/>
    </row>
    <row r="283" ht="15.75" customHeight="1">
      <c r="E283" s="130"/>
    </row>
    <row r="284" ht="15.75" customHeight="1">
      <c r="E284" s="130"/>
    </row>
    <row r="285" ht="15.75" customHeight="1">
      <c r="E285" s="130"/>
    </row>
    <row r="286" ht="15.75" customHeight="1">
      <c r="E286" s="130"/>
    </row>
    <row r="287" ht="15.75" customHeight="1">
      <c r="E287" s="130"/>
    </row>
    <row r="288" ht="15.75" customHeight="1">
      <c r="E288" s="130"/>
    </row>
    <row r="289" ht="15.75" customHeight="1">
      <c r="E289" s="130"/>
    </row>
    <row r="290" ht="15.75" customHeight="1">
      <c r="E290" s="130"/>
    </row>
    <row r="291" ht="15.75" customHeight="1">
      <c r="E291" s="130"/>
    </row>
    <row r="292" ht="15.75" customHeight="1">
      <c r="E292" s="130"/>
    </row>
    <row r="293" ht="15.75" customHeight="1">
      <c r="E293" s="130"/>
    </row>
    <row r="294" ht="15.75" customHeight="1">
      <c r="E294" s="130"/>
    </row>
    <row r="295" ht="15.75" customHeight="1">
      <c r="E295" s="130"/>
    </row>
    <row r="296" ht="15.75" customHeight="1">
      <c r="E296" s="130"/>
    </row>
    <row r="297" ht="15.75" customHeight="1">
      <c r="E297" s="130"/>
    </row>
    <row r="298" ht="15.75" customHeight="1">
      <c r="E298" s="130"/>
    </row>
    <row r="299" ht="15.75" customHeight="1">
      <c r="E299" s="130"/>
    </row>
    <row r="300" ht="15.75" customHeight="1">
      <c r="E300" s="130"/>
    </row>
    <row r="301" ht="15.75" customHeight="1">
      <c r="E301" s="130"/>
    </row>
    <row r="302" ht="15.75" customHeight="1">
      <c r="E302" s="130"/>
    </row>
    <row r="303" ht="15.75" customHeight="1">
      <c r="E303" s="130"/>
    </row>
    <row r="304" ht="15.75" customHeight="1">
      <c r="E304" s="130"/>
    </row>
    <row r="305" ht="15.75" customHeight="1">
      <c r="E305" s="130"/>
    </row>
    <row r="306" ht="15.75" customHeight="1">
      <c r="E306" s="130"/>
    </row>
    <row r="307" ht="15.75" customHeight="1">
      <c r="E307" s="130"/>
    </row>
    <row r="308" ht="15.75" customHeight="1">
      <c r="E308" s="130"/>
    </row>
    <row r="309" ht="15.75" customHeight="1">
      <c r="E309" s="130"/>
    </row>
    <row r="310" ht="15.75" customHeight="1">
      <c r="E310" s="130"/>
    </row>
    <row r="311" ht="15.75" customHeight="1">
      <c r="E311" s="130"/>
    </row>
    <row r="312" ht="15.75" customHeight="1">
      <c r="E312" s="130"/>
    </row>
    <row r="313" ht="15.75" customHeight="1">
      <c r="E313" s="130"/>
    </row>
    <row r="314" ht="15.75" customHeight="1">
      <c r="E314" s="130"/>
    </row>
    <row r="315" ht="15.75" customHeight="1">
      <c r="E315" s="130"/>
    </row>
    <row r="316" ht="15.75" customHeight="1">
      <c r="E316" s="130"/>
    </row>
    <row r="317" ht="15.75" customHeight="1">
      <c r="E317" s="130"/>
    </row>
    <row r="318" ht="15.75" customHeight="1">
      <c r="E318" s="130"/>
    </row>
    <row r="319" ht="15.75" customHeight="1">
      <c r="E319" s="130"/>
    </row>
    <row r="320" ht="15.75" customHeight="1">
      <c r="E320" s="130"/>
    </row>
    <row r="321" ht="15.75" customHeight="1">
      <c r="E321" s="130"/>
    </row>
    <row r="322" ht="15.75" customHeight="1">
      <c r="E322" s="130"/>
    </row>
    <row r="323" ht="15.75" customHeight="1">
      <c r="E323" s="130"/>
    </row>
    <row r="324" ht="15.75" customHeight="1">
      <c r="E324" s="130"/>
    </row>
    <row r="325" ht="15.75" customHeight="1">
      <c r="E325" s="130"/>
    </row>
    <row r="326" ht="15.75" customHeight="1">
      <c r="E326" s="130"/>
    </row>
    <row r="327" ht="15.75" customHeight="1">
      <c r="E327" s="130"/>
    </row>
    <row r="328" ht="15.75" customHeight="1">
      <c r="E328" s="130"/>
    </row>
    <row r="329" ht="15.75" customHeight="1">
      <c r="E329" s="130"/>
    </row>
    <row r="330" ht="15.75" customHeight="1">
      <c r="E330" s="130"/>
    </row>
    <row r="331" ht="15.75" customHeight="1">
      <c r="E331" s="130"/>
    </row>
    <row r="332" ht="15.75" customHeight="1">
      <c r="E332" s="130"/>
    </row>
    <row r="333" ht="15.75" customHeight="1">
      <c r="E333" s="130"/>
    </row>
    <row r="334" ht="15.75" customHeight="1">
      <c r="E334" s="130"/>
    </row>
    <row r="335" ht="15.75" customHeight="1">
      <c r="E335" s="130"/>
    </row>
    <row r="336" ht="15.75" customHeight="1">
      <c r="E336" s="130"/>
    </row>
    <row r="337" ht="15.75" customHeight="1">
      <c r="E337" s="130"/>
    </row>
    <row r="338" ht="15.75" customHeight="1">
      <c r="E338" s="130"/>
    </row>
    <row r="339" ht="15.75" customHeight="1">
      <c r="E339" s="130"/>
    </row>
    <row r="340" ht="15.75" customHeight="1">
      <c r="E340" s="130"/>
    </row>
    <row r="341" ht="15.75" customHeight="1">
      <c r="E341" s="130"/>
    </row>
    <row r="342" ht="15.75" customHeight="1">
      <c r="E342" s="130"/>
    </row>
    <row r="343" ht="15.75" customHeight="1">
      <c r="E343" s="130"/>
    </row>
    <row r="344" ht="15.75" customHeight="1">
      <c r="E344" s="130"/>
    </row>
    <row r="345" ht="15.75" customHeight="1">
      <c r="E345" s="130"/>
    </row>
    <row r="346" ht="15.75" customHeight="1">
      <c r="E346" s="130"/>
    </row>
    <row r="347" ht="15.75" customHeight="1">
      <c r="E347" s="130"/>
    </row>
    <row r="348" ht="15.75" customHeight="1">
      <c r="E348" s="130"/>
    </row>
    <row r="349" ht="15.75" customHeight="1">
      <c r="E349" s="130"/>
    </row>
    <row r="350" ht="15.75" customHeight="1">
      <c r="E350" s="130"/>
    </row>
    <row r="351" ht="15.75" customHeight="1">
      <c r="E351" s="130"/>
    </row>
    <row r="352" ht="15.75" customHeight="1">
      <c r="E352" s="130"/>
    </row>
    <row r="353" ht="15.75" customHeight="1">
      <c r="E353" s="130"/>
    </row>
    <row r="354" ht="15.75" customHeight="1">
      <c r="E354" s="130"/>
    </row>
    <row r="355" ht="15.75" customHeight="1">
      <c r="E355" s="130"/>
    </row>
    <row r="356" ht="15.75" customHeight="1">
      <c r="E356" s="130"/>
    </row>
    <row r="357" ht="15.75" customHeight="1">
      <c r="E357" s="130"/>
    </row>
    <row r="358" ht="15.75" customHeight="1">
      <c r="E358" s="130"/>
    </row>
    <row r="359" ht="15.75" customHeight="1">
      <c r="E359" s="130"/>
    </row>
    <row r="360" ht="15.75" customHeight="1">
      <c r="E360" s="130"/>
    </row>
    <row r="361" ht="15.75" customHeight="1">
      <c r="E361" s="130"/>
    </row>
    <row r="362" ht="15.75" customHeight="1">
      <c r="E362" s="130"/>
    </row>
    <row r="363" ht="15.75" customHeight="1">
      <c r="E363" s="130"/>
    </row>
    <row r="364" ht="15.75" customHeight="1">
      <c r="E364" s="130"/>
    </row>
    <row r="365" ht="15.75" customHeight="1">
      <c r="E365" s="130"/>
    </row>
    <row r="366" ht="15.75" customHeight="1">
      <c r="E366" s="130"/>
    </row>
    <row r="367" ht="15.75" customHeight="1">
      <c r="E367" s="130"/>
    </row>
    <row r="368" ht="15.75" customHeight="1">
      <c r="E368" s="130"/>
    </row>
    <row r="369" ht="15.75" customHeight="1">
      <c r="E369" s="130"/>
    </row>
    <row r="370" ht="15.75" customHeight="1">
      <c r="E370" s="130"/>
    </row>
    <row r="371" ht="15.75" customHeight="1">
      <c r="E371" s="130"/>
    </row>
    <row r="372" ht="15.75" customHeight="1">
      <c r="E372" s="130"/>
    </row>
    <row r="373" ht="15.75" customHeight="1">
      <c r="E373" s="130"/>
    </row>
    <row r="374" ht="15.75" customHeight="1">
      <c r="E374" s="130"/>
    </row>
    <row r="375" ht="15.75" customHeight="1">
      <c r="E375" s="130"/>
    </row>
    <row r="376" ht="15.75" customHeight="1">
      <c r="E376" s="130"/>
    </row>
    <row r="377" ht="15.75" customHeight="1">
      <c r="E377" s="130"/>
    </row>
    <row r="378" ht="15.75" customHeight="1">
      <c r="E378" s="130"/>
    </row>
    <row r="379" ht="15.75" customHeight="1">
      <c r="E379" s="130"/>
    </row>
    <row r="380" ht="15.75" customHeight="1">
      <c r="E380" s="130"/>
    </row>
    <row r="381" ht="15.75" customHeight="1">
      <c r="E381" s="130"/>
    </row>
    <row r="382" ht="15.75" customHeight="1">
      <c r="E382" s="130"/>
    </row>
    <row r="383" ht="15.75" customHeight="1">
      <c r="E383" s="130"/>
    </row>
    <row r="384" ht="15.75" customHeight="1">
      <c r="E384" s="130"/>
    </row>
    <row r="385" ht="15.75" customHeight="1">
      <c r="E385" s="130"/>
    </row>
    <row r="386" ht="15.75" customHeight="1">
      <c r="E386" s="130"/>
    </row>
    <row r="387" ht="15.75" customHeight="1">
      <c r="E387" s="130"/>
    </row>
    <row r="388" ht="15.75" customHeight="1">
      <c r="E388" s="130"/>
    </row>
    <row r="389" ht="15.75" customHeight="1">
      <c r="E389" s="130"/>
    </row>
    <row r="390" ht="15.75" customHeight="1">
      <c r="E390" s="130"/>
    </row>
    <row r="391" ht="15.75" customHeight="1">
      <c r="E391" s="130"/>
    </row>
    <row r="392" ht="15.75" customHeight="1">
      <c r="E392" s="130"/>
    </row>
    <row r="393" ht="15.75" customHeight="1">
      <c r="E393" s="130"/>
    </row>
    <row r="394" ht="15.75" customHeight="1">
      <c r="E394" s="130"/>
    </row>
    <row r="395" ht="15.75" customHeight="1">
      <c r="E395" s="130"/>
    </row>
    <row r="396" ht="15.75" customHeight="1">
      <c r="E396" s="130"/>
    </row>
    <row r="397" ht="15.75" customHeight="1">
      <c r="E397" s="130"/>
    </row>
    <row r="398" ht="15.75" customHeight="1">
      <c r="E398" s="130"/>
    </row>
    <row r="399" ht="15.75" customHeight="1">
      <c r="E399" s="130"/>
    </row>
    <row r="400" ht="15.75" customHeight="1">
      <c r="E400" s="130"/>
    </row>
    <row r="401" ht="15.75" customHeight="1">
      <c r="E401" s="130"/>
    </row>
    <row r="402" ht="15.75" customHeight="1">
      <c r="E402" s="130"/>
    </row>
    <row r="403" ht="15.75" customHeight="1">
      <c r="E403" s="130"/>
    </row>
    <row r="404" ht="15.75" customHeight="1">
      <c r="E404" s="130"/>
    </row>
    <row r="405" ht="15.75" customHeight="1">
      <c r="E405" s="130"/>
    </row>
    <row r="406" ht="15.75" customHeight="1">
      <c r="E406" s="130"/>
    </row>
    <row r="407" ht="15.75" customHeight="1">
      <c r="E407" s="130"/>
    </row>
    <row r="408" ht="15.75" customHeight="1">
      <c r="E408" s="130"/>
    </row>
    <row r="409" ht="15.75" customHeight="1">
      <c r="E409" s="130"/>
    </row>
    <row r="410" ht="15.75" customHeight="1">
      <c r="E410" s="130"/>
    </row>
    <row r="411" ht="15.75" customHeight="1">
      <c r="E411" s="130"/>
    </row>
    <row r="412" ht="15.75" customHeight="1">
      <c r="E412" s="130"/>
    </row>
    <row r="413" ht="15.75" customHeight="1">
      <c r="E413" s="130"/>
    </row>
    <row r="414" ht="15.75" customHeight="1">
      <c r="E414" s="130"/>
    </row>
    <row r="415" ht="15.75" customHeight="1">
      <c r="E415" s="130"/>
    </row>
    <row r="416" ht="15.75" customHeight="1">
      <c r="E416" s="130"/>
    </row>
    <row r="417" ht="15.75" customHeight="1">
      <c r="E417" s="130"/>
    </row>
    <row r="418" ht="15.75" customHeight="1">
      <c r="E418" s="130"/>
    </row>
    <row r="419" ht="15.75" customHeight="1">
      <c r="E419" s="130"/>
    </row>
    <row r="420" ht="15.75" customHeight="1">
      <c r="E420" s="130"/>
    </row>
    <row r="421" ht="15.75" customHeight="1">
      <c r="E421" s="130"/>
    </row>
    <row r="422" ht="15.75" customHeight="1">
      <c r="E422" s="130"/>
    </row>
    <row r="423" ht="15.75" customHeight="1">
      <c r="E423" s="130"/>
    </row>
    <row r="424" ht="15.75" customHeight="1">
      <c r="E424" s="130"/>
    </row>
    <row r="425" ht="15.75" customHeight="1">
      <c r="E425" s="130"/>
    </row>
    <row r="426" ht="15.75" customHeight="1">
      <c r="E426" s="130"/>
    </row>
    <row r="427" ht="15.75" customHeight="1">
      <c r="E427" s="130"/>
    </row>
    <row r="428" ht="15.75" customHeight="1">
      <c r="E428" s="130"/>
    </row>
    <row r="429" ht="15.75" customHeight="1">
      <c r="E429" s="130"/>
    </row>
    <row r="430" ht="15.75" customHeight="1">
      <c r="E430" s="130"/>
    </row>
    <row r="431" ht="15.75" customHeight="1">
      <c r="E431" s="130"/>
    </row>
    <row r="432" ht="15.75" customHeight="1">
      <c r="E432" s="130"/>
    </row>
    <row r="433" ht="15.75" customHeight="1">
      <c r="E433" s="130"/>
    </row>
    <row r="434" ht="15.75" customHeight="1">
      <c r="E434" s="130"/>
    </row>
    <row r="435" ht="15.75" customHeight="1">
      <c r="E435" s="130"/>
    </row>
    <row r="436" ht="15.75" customHeight="1">
      <c r="E436" s="130"/>
    </row>
    <row r="437" ht="15.75" customHeight="1">
      <c r="E437" s="130"/>
    </row>
    <row r="438" ht="15.75" customHeight="1">
      <c r="E438" s="130"/>
    </row>
    <row r="439" ht="15.75" customHeight="1">
      <c r="E439" s="130"/>
    </row>
    <row r="440" ht="15.75" customHeight="1">
      <c r="E440" s="130"/>
    </row>
    <row r="441" ht="15.75" customHeight="1">
      <c r="E441" s="130"/>
    </row>
    <row r="442" ht="15.75" customHeight="1">
      <c r="E442" s="130"/>
    </row>
    <row r="443" ht="15.75" customHeight="1">
      <c r="E443" s="130"/>
    </row>
    <row r="444" ht="15.75" customHeight="1">
      <c r="E444" s="130"/>
    </row>
    <row r="445" ht="15.75" customHeight="1">
      <c r="E445" s="130"/>
    </row>
    <row r="446" ht="15.75" customHeight="1">
      <c r="E446" s="130"/>
    </row>
    <row r="447" ht="15.75" customHeight="1">
      <c r="E447" s="130"/>
    </row>
    <row r="448" ht="15.75" customHeight="1">
      <c r="E448" s="130"/>
    </row>
    <row r="449" ht="15.75" customHeight="1">
      <c r="E449" s="130"/>
    </row>
    <row r="450" ht="15.75" customHeight="1">
      <c r="E450" s="130"/>
    </row>
    <row r="451" ht="15.75" customHeight="1">
      <c r="E451" s="130"/>
    </row>
    <row r="452" ht="15.75" customHeight="1">
      <c r="E452" s="130"/>
    </row>
    <row r="453" ht="15.75" customHeight="1">
      <c r="E453" s="130"/>
    </row>
    <row r="454" ht="15.75" customHeight="1">
      <c r="E454" s="130"/>
    </row>
    <row r="455" ht="15.75" customHeight="1">
      <c r="E455" s="130"/>
    </row>
    <row r="456" ht="15.75" customHeight="1">
      <c r="E456" s="130"/>
    </row>
    <row r="457" ht="15.75" customHeight="1">
      <c r="E457" s="130"/>
    </row>
    <row r="458" ht="15.75" customHeight="1">
      <c r="E458" s="130"/>
    </row>
    <row r="459" ht="15.75" customHeight="1">
      <c r="E459" s="130"/>
    </row>
    <row r="460" ht="15.75" customHeight="1">
      <c r="E460" s="130"/>
    </row>
    <row r="461" ht="15.75" customHeight="1">
      <c r="E461" s="130"/>
    </row>
    <row r="462" ht="15.75" customHeight="1">
      <c r="E462" s="130"/>
    </row>
    <row r="463" ht="15.75" customHeight="1">
      <c r="E463" s="130"/>
    </row>
    <row r="464" ht="15.75" customHeight="1">
      <c r="E464" s="130"/>
    </row>
    <row r="465" ht="15.75" customHeight="1">
      <c r="E465" s="130"/>
    </row>
    <row r="466" ht="15.75" customHeight="1">
      <c r="E466" s="130"/>
    </row>
    <row r="467" ht="15.75" customHeight="1">
      <c r="E467" s="130"/>
    </row>
    <row r="468" ht="15.75" customHeight="1">
      <c r="E468" s="130"/>
    </row>
    <row r="469" ht="15.75" customHeight="1">
      <c r="E469" s="130"/>
    </row>
    <row r="470" ht="15.75" customHeight="1">
      <c r="E470" s="130"/>
    </row>
    <row r="471" ht="15.75" customHeight="1">
      <c r="E471" s="130"/>
    </row>
    <row r="472" ht="15.75" customHeight="1">
      <c r="E472" s="130"/>
    </row>
    <row r="473" ht="15.75" customHeight="1">
      <c r="E473" s="130"/>
    </row>
    <row r="474" ht="15.75" customHeight="1">
      <c r="E474" s="130"/>
    </row>
    <row r="475" ht="15.75" customHeight="1">
      <c r="E475" s="130"/>
    </row>
    <row r="476" ht="15.75" customHeight="1">
      <c r="E476" s="130"/>
    </row>
    <row r="477" ht="15.75" customHeight="1">
      <c r="E477" s="130"/>
    </row>
    <row r="478" ht="15.75" customHeight="1">
      <c r="E478" s="130"/>
    </row>
    <row r="479" ht="15.75" customHeight="1">
      <c r="E479" s="130"/>
    </row>
    <row r="480" ht="15.75" customHeight="1">
      <c r="E480" s="130"/>
    </row>
    <row r="481" ht="15.75" customHeight="1">
      <c r="E481" s="130"/>
    </row>
    <row r="482" ht="15.75" customHeight="1">
      <c r="E482" s="130"/>
    </row>
    <row r="483" ht="15.75" customHeight="1">
      <c r="E483" s="130"/>
    </row>
    <row r="484" ht="15.75" customHeight="1">
      <c r="E484" s="130"/>
    </row>
    <row r="485" ht="15.75" customHeight="1">
      <c r="E485" s="130"/>
    </row>
    <row r="486" ht="15.75" customHeight="1">
      <c r="E486" s="130"/>
    </row>
    <row r="487" ht="15.75" customHeight="1">
      <c r="E487" s="130"/>
    </row>
    <row r="488" ht="15.75" customHeight="1">
      <c r="E488" s="130"/>
    </row>
    <row r="489" ht="15.75" customHeight="1">
      <c r="E489" s="130"/>
    </row>
    <row r="490" ht="15.75" customHeight="1">
      <c r="E490" s="130"/>
    </row>
    <row r="491" ht="15.75" customHeight="1">
      <c r="E491" s="130"/>
    </row>
    <row r="492" ht="15.75" customHeight="1">
      <c r="E492" s="130"/>
    </row>
    <row r="493" ht="15.75" customHeight="1">
      <c r="E493" s="130"/>
    </row>
    <row r="494" ht="15.75" customHeight="1">
      <c r="E494" s="130"/>
    </row>
    <row r="495" ht="15.75" customHeight="1">
      <c r="E495" s="130"/>
    </row>
    <row r="496" ht="15.75" customHeight="1">
      <c r="E496" s="130"/>
    </row>
    <row r="497" ht="15.75" customHeight="1">
      <c r="E497" s="130"/>
    </row>
    <row r="498" ht="15.75" customHeight="1">
      <c r="E498" s="130"/>
    </row>
    <row r="499" ht="15.75" customHeight="1">
      <c r="E499" s="130"/>
    </row>
    <row r="500" ht="15.75" customHeight="1">
      <c r="E500" s="130"/>
    </row>
    <row r="501" ht="15.75" customHeight="1">
      <c r="E501" s="130"/>
    </row>
    <row r="502" ht="15.75" customHeight="1">
      <c r="E502" s="130"/>
    </row>
    <row r="503" ht="15.75" customHeight="1">
      <c r="E503" s="130"/>
    </row>
    <row r="504" ht="15.75" customHeight="1">
      <c r="E504" s="130"/>
    </row>
    <row r="505" ht="15.75" customHeight="1">
      <c r="E505" s="130"/>
    </row>
    <row r="506" ht="15.75" customHeight="1">
      <c r="E506" s="130"/>
    </row>
    <row r="507" ht="15.75" customHeight="1">
      <c r="E507" s="130"/>
    </row>
    <row r="508" ht="15.75" customHeight="1">
      <c r="E508" s="130"/>
    </row>
    <row r="509" ht="15.75" customHeight="1">
      <c r="E509" s="130"/>
    </row>
    <row r="510" ht="15.75" customHeight="1">
      <c r="E510" s="130"/>
    </row>
    <row r="511" ht="15.75" customHeight="1">
      <c r="E511" s="130"/>
    </row>
    <row r="512" ht="15.75" customHeight="1">
      <c r="E512" s="130"/>
    </row>
    <row r="513" ht="15.75" customHeight="1">
      <c r="E513" s="130"/>
    </row>
    <row r="514" ht="15.75" customHeight="1">
      <c r="E514" s="130"/>
    </row>
    <row r="515" ht="15.75" customHeight="1">
      <c r="E515" s="130"/>
    </row>
    <row r="516" ht="15.75" customHeight="1">
      <c r="E516" s="130"/>
    </row>
    <row r="517" ht="15.75" customHeight="1">
      <c r="E517" s="130"/>
    </row>
    <row r="518" ht="15.75" customHeight="1">
      <c r="E518" s="130"/>
    </row>
    <row r="519" ht="15.75" customHeight="1">
      <c r="E519" s="130"/>
    </row>
    <row r="520" ht="15.75" customHeight="1">
      <c r="E520" s="130"/>
    </row>
    <row r="521" ht="15.75" customHeight="1">
      <c r="E521" s="130"/>
    </row>
    <row r="522" ht="15.75" customHeight="1">
      <c r="E522" s="130"/>
    </row>
    <row r="523" ht="15.75" customHeight="1">
      <c r="E523" s="130"/>
    </row>
    <row r="524" ht="15.75" customHeight="1">
      <c r="E524" s="130"/>
    </row>
    <row r="525" ht="15.75" customHeight="1">
      <c r="E525" s="130"/>
    </row>
    <row r="526" ht="15.75" customHeight="1">
      <c r="E526" s="130"/>
    </row>
    <row r="527" ht="15.75" customHeight="1">
      <c r="E527" s="130"/>
    </row>
    <row r="528" ht="15.75" customHeight="1">
      <c r="E528" s="130"/>
    </row>
    <row r="529" ht="15.75" customHeight="1">
      <c r="E529" s="130"/>
    </row>
    <row r="530" ht="15.75" customHeight="1">
      <c r="E530" s="130"/>
    </row>
    <row r="531" ht="15.75" customHeight="1">
      <c r="E531" s="130"/>
    </row>
    <row r="532" ht="15.75" customHeight="1">
      <c r="E532" s="130"/>
    </row>
    <row r="533" ht="15.75" customHeight="1">
      <c r="E533" s="130"/>
    </row>
    <row r="534" ht="15.75" customHeight="1">
      <c r="E534" s="130"/>
    </row>
    <row r="535" ht="15.75" customHeight="1">
      <c r="E535" s="130"/>
    </row>
    <row r="536" ht="15.75" customHeight="1">
      <c r="E536" s="130"/>
    </row>
    <row r="537" ht="15.75" customHeight="1">
      <c r="E537" s="130"/>
    </row>
    <row r="538" ht="15.75" customHeight="1">
      <c r="E538" s="130"/>
    </row>
    <row r="539" ht="15.75" customHeight="1">
      <c r="E539" s="130"/>
    </row>
    <row r="540" ht="15.75" customHeight="1">
      <c r="E540" s="130"/>
    </row>
    <row r="541" ht="15.75" customHeight="1">
      <c r="E541" s="130"/>
    </row>
    <row r="542" ht="15.75" customHeight="1">
      <c r="E542" s="130"/>
    </row>
    <row r="543" ht="15.75" customHeight="1">
      <c r="E543" s="130"/>
    </row>
    <row r="544" ht="15.75" customHeight="1">
      <c r="E544" s="130"/>
    </row>
    <row r="545" ht="15.75" customHeight="1">
      <c r="E545" s="130"/>
    </row>
    <row r="546" ht="15.75" customHeight="1">
      <c r="E546" s="130"/>
    </row>
    <row r="547" ht="15.75" customHeight="1">
      <c r="E547" s="130"/>
    </row>
    <row r="548" ht="15.75" customHeight="1">
      <c r="E548" s="130"/>
    </row>
    <row r="549" ht="15.75" customHeight="1">
      <c r="E549" s="130"/>
    </row>
    <row r="550" ht="15.75" customHeight="1">
      <c r="E550" s="130"/>
    </row>
    <row r="551" ht="15.75" customHeight="1">
      <c r="E551" s="130"/>
    </row>
    <row r="552" ht="15.75" customHeight="1">
      <c r="E552" s="130"/>
    </row>
    <row r="553" ht="15.75" customHeight="1">
      <c r="E553" s="130"/>
    </row>
    <row r="554" ht="15.75" customHeight="1">
      <c r="E554" s="130"/>
    </row>
    <row r="555" ht="15.75" customHeight="1">
      <c r="E555" s="130"/>
    </row>
    <row r="556" ht="15.75" customHeight="1">
      <c r="E556" s="130"/>
    </row>
    <row r="557" ht="15.75" customHeight="1">
      <c r="E557" s="130"/>
    </row>
    <row r="558" ht="15.75" customHeight="1">
      <c r="E558" s="130"/>
    </row>
    <row r="559" ht="15.75" customHeight="1">
      <c r="E559" s="130"/>
    </row>
    <row r="560" ht="15.75" customHeight="1">
      <c r="E560" s="130"/>
    </row>
    <row r="561" ht="15.75" customHeight="1">
      <c r="E561" s="130"/>
    </row>
    <row r="562" ht="15.75" customHeight="1">
      <c r="E562" s="130"/>
    </row>
    <row r="563" ht="15.75" customHeight="1">
      <c r="E563" s="130"/>
    </row>
    <row r="564" ht="15.75" customHeight="1">
      <c r="E564" s="130"/>
    </row>
    <row r="565" ht="15.75" customHeight="1">
      <c r="E565" s="130"/>
    </row>
    <row r="566" ht="15.75" customHeight="1">
      <c r="E566" s="130"/>
    </row>
    <row r="567" ht="15.75" customHeight="1">
      <c r="E567" s="130"/>
    </row>
    <row r="568" ht="15.75" customHeight="1">
      <c r="E568" s="130"/>
    </row>
    <row r="569" ht="15.75" customHeight="1">
      <c r="E569" s="130"/>
    </row>
    <row r="570" ht="15.75" customHeight="1">
      <c r="E570" s="130"/>
    </row>
    <row r="571" ht="15.75" customHeight="1">
      <c r="E571" s="130"/>
    </row>
    <row r="572" ht="15.75" customHeight="1">
      <c r="E572" s="130"/>
    </row>
    <row r="573" ht="15.75" customHeight="1">
      <c r="E573" s="130"/>
    </row>
    <row r="574" ht="15.75" customHeight="1">
      <c r="E574" s="130"/>
    </row>
    <row r="575" ht="15.75" customHeight="1">
      <c r="E575" s="130"/>
    </row>
    <row r="576" ht="15.75" customHeight="1">
      <c r="E576" s="130"/>
    </row>
    <row r="577" ht="15.75" customHeight="1">
      <c r="E577" s="130"/>
    </row>
    <row r="578" ht="15.75" customHeight="1">
      <c r="E578" s="130"/>
    </row>
    <row r="579" ht="15.75" customHeight="1">
      <c r="E579" s="130"/>
    </row>
    <row r="580" ht="15.75" customHeight="1">
      <c r="E580" s="130"/>
    </row>
    <row r="581" ht="15.75" customHeight="1">
      <c r="E581" s="130"/>
    </row>
    <row r="582" ht="15.75" customHeight="1">
      <c r="E582" s="130"/>
    </row>
    <row r="583" ht="15.75" customHeight="1">
      <c r="E583" s="130"/>
    </row>
    <row r="584" ht="15.75" customHeight="1">
      <c r="E584" s="130"/>
    </row>
    <row r="585" ht="15.75" customHeight="1">
      <c r="E585" s="130"/>
    </row>
    <row r="586" ht="15.75" customHeight="1">
      <c r="E586" s="130"/>
    </row>
    <row r="587" ht="15.75" customHeight="1">
      <c r="E587" s="130"/>
    </row>
    <row r="588" ht="15.75" customHeight="1">
      <c r="E588" s="130"/>
    </row>
    <row r="589" ht="15.75" customHeight="1">
      <c r="E589" s="130"/>
    </row>
    <row r="590" ht="15.75" customHeight="1">
      <c r="E590" s="130"/>
    </row>
    <row r="591" ht="15.75" customHeight="1">
      <c r="E591" s="130"/>
    </row>
    <row r="592" ht="15.75" customHeight="1">
      <c r="E592" s="130"/>
    </row>
    <row r="593" ht="15.75" customHeight="1">
      <c r="E593" s="130"/>
    </row>
    <row r="594" ht="15.75" customHeight="1">
      <c r="E594" s="130"/>
    </row>
    <row r="595" ht="15.75" customHeight="1">
      <c r="E595" s="130"/>
    </row>
    <row r="596" ht="15.75" customHeight="1">
      <c r="E596" s="130"/>
    </row>
    <row r="597" ht="15.75" customHeight="1">
      <c r="E597" s="130"/>
    </row>
    <row r="598" ht="15.75" customHeight="1">
      <c r="E598" s="130"/>
    </row>
    <row r="599" ht="15.75" customHeight="1">
      <c r="E599" s="130"/>
    </row>
    <row r="600" ht="15.75" customHeight="1">
      <c r="E600" s="130"/>
    </row>
    <row r="601" ht="15.75" customHeight="1">
      <c r="E601" s="130"/>
    </row>
    <row r="602" ht="15.75" customHeight="1">
      <c r="E602" s="130"/>
    </row>
    <row r="603" ht="15.75" customHeight="1">
      <c r="E603" s="130"/>
    </row>
    <row r="604" ht="15.75" customHeight="1">
      <c r="E604" s="130"/>
    </row>
    <row r="605" ht="15.75" customHeight="1">
      <c r="E605" s="130"/>
    </row>
    <row r="606" ht="15.75" customHeight="1">
      <c r="E606" s="130"/>
    </row>
    <row r="607" ht="15.75" customHeight="1">
      <c r="E607" s="130"/>
    </row>
    <row r="608" ht="15.75" customHeight="1">
      <c r="E608" s="130"/>
    </row>
    <row r="609" ht="15.75" customHeight="1">
      <c r="E609" s="130"/>
    </row>
    <row r="610" ht="15.75" customHeight="1">
      <c r="E610" s="130"/>
    </row>
    <row r="611" ht="15.75" customHeight="1">
      <c r="E611" s="130"/>
    </row>
    <row r="612" ht="15.75" customHeight="1">
      <c r="E612" s="130"/>
    </row>
    <row r="613" ht="15.75" customHeight="1">
      <c r="E613" s="130"/>
    </row>
    <row r="614" ht="15.75" customHeight="1">
      <c r="E614" s="130"/>
    </row>
    <row r="615" ht="15.75" customHeight="1">
      <c r="E615" s="130"/>
    </row>
    <row r="616" ht="15.75" customHeight="1">
      <c r="E616" s="130"/>
    </row>
    <row r="617" ht="15.75" customHeight="1">
      <c r="E617" s="130"/>
    </row>
    <row r="618" ht="15.75" customHeight="1">
      <c r="E618" s="130"/>
    </row>
    <row r="619" ht="15.75" customHeight="1">
      <c r="E619" s="130"/>
    </row>
    <row r="620" ht="15.75" customHeight="1">
      <c r="E620" s="130"/>
    </row>
    <row r="621" ht="15.75" customHeight="1">
      <c r="E621" s="130"/>
    </row>
    <row r="622" ht="15.75" customHeight="1">
      <c r="E622" s="130"/>
    </row>
    <row r="623" ht="15.75" customHeight="1">
      <c r="E623" s="130"/>
    </row>
    <row r="624" ht="15.75" customHeight="1">
      <c r="E624" s="130"/>
    </row>
    <row r="625" ht="15.75" customHeight="1">
      <c r="E625" s="130"/>
    </row>
    <row r="626" ht="15.75" customHeight="1">
      <c r="E626" s="130"/>
    </row>
    <row r="627" ht="15.75" customHeight="1">
      <c r="E627" s="130"/>
    </row>
    <row r="628" ht="15.75" customHeight="1">
      <c r="E628" s="130"/>
    </row>
    <row r="629" ht="15.75" customHeight="1">
      <c r="E629" s="130"/>
    </row>
    <row r="630" ht="15.75" customHeight="1">
      <c r="E630" s="130"/>
    </row>
    <row r="631" ht="15.75" customHeight="1">
      <c r="E631" s="130"/>
    </row>
    <row r="632" ht="15.75" customHeight="1">
      <c r="E632" s="130"/>
    </row>
    <row r="633" ht="15.75" customHeight="1">
      <c r="E633" s="130"/>
    </row>
    <row r="634" ht="15.75" customHeight="1">
      <c r="E634" s="130"/>
    </row>
    <row r="635" ht="15.75" customHeight="1">
      <c r="E635" s="130"/>
    </row>
    <row r="636" ht="15.75" customHeight="1">
      <c r="E636" s="130"/>
    </row>
    <row r="637" ht="15.75" customHeight="1">
      <c r="E637" s="130"/>
    </row>
    <row r="638" ht="15.75" customHeight="1">
      <c r="E638" s="130"/>
    </row>
    <row r="639" ht="15.75" customHeight="1">
      <c r="E639" s="130"/>
    </row>
    <row r="640" ht="15.75" customHeight="1">
      <c r="E640" s="130"/>
    </row>
    <row r="641" ht="15.75" customHeight="1">
      <c r="E641" s="130"/>
    </row>
    <row r="642" ht="15.75" customHeight="1">
      <c r="E642" s="130"/>
    </row>
    <row r="643" ht="15.75" customHeight="1">
      <c r="E643" s="130"/>
    </row>
    <row r="644" ht="15.75" customHeight="1">
      <c r="E644" s="130"/>
    </row>
    <row r="645" ht="15.75" customHeight="1">
      <c r="E645" s="130"/>
    </row>
    <row r="646" ht="15.75" customHeight="1">
      <c r="E646" s="130"/>
    </row>
    <row r="647" ht="15.75" customHeight="1">
      <c r="E647" s="130"/>
    </row>
    <row r="648" ht="15.75" customHeight="1">
      <c r="E648" s="130"/>
    </row>
    <row r="649" ht="15.75" customHeight="1">
      <c r="E649" s="130"/>
    </row>
    <row r="650" ht="15.75" customHeight="1">
      <c r="E650" s="130"/>
    </row>
    <row r="651" ht="15.75" customHeight="1">
      <c r="E651" s="130"/>
    </row>
    <row r="652" ht="15.75" customHeight="1">
      <c r="E652" s="130"/>
    </row>
    <row r="653" ht="15.75" customHeight="1">
      <c r="E653" s="130"/>
    </row>
    <row r="654" ht="15.75" customHeight="1">
      <c r="E654" s="130"/>
    </row>
    <row r="655" ht="15.75" customHeight="1">
      <c r="E655" s="130"/>
    </row>
    <row r="656" ht="15.75" customHeight="1">
      <c r="E656" s="130"/>
    </row>
    <row r="657" ht="15.75" customHeight="1">
      <c r="E657" s="130"/>
    </row>
    <row r="658" ht="15.75" customHeight="1">
      <c r="E658" s="130"/>
    </row>
    <row r="659" ht="15.75" customHeight="1">
      <c r="E659" s="130"/>
    </row>
    <row r="660" ht="15.75" customHeight="1">
      <c r="E660" s="130"/>
    </row>
    <row r="661" ht="15.75" customHeight="1">
      <c r="E661" s="130"/>
    </row>
    <row r="662" ht="15.75" customHeight="1">
      <c r="E662" s="130"/>
    </row>
    <row r="663" ht="15.75" customHeight="1">
      <c r="E663" s="130"/>
    </row>
    <row r="664" ht="15.75" customHeight="1">
      <c r="E664" s="130"/>
    </row>
    <row r="665" ht="15.75" customHeight="1">
      <c r="E665" s="130"/>
    </row>
    <row r="666" ht="15.75" customHeight="1">
      <c r="E666" s="130"/>
    </row>
    <row r="667" ht="15.75" customHeight="1">
      <c r="E667" s="130"/>
    </row>
    <row r="668" ht="15.75" customHeight="1">
      <c r="E668" s="130"/>
    </row>
    <row r="669" ht="15.75" customHeight="1">
      <c r="E669" s="130"/>
    </row>
    <row r="670" ht="15.75" customHeight="1">
      <c r="E670" s="130"/>
    </row>
    <row r="671" ht="15.75" customHeight="1">
      <c r="E671" s="130"/>
    </row>
    <row r="672" ht="15.75" customHeight="1">
      <c r="E672" s="130"/>
    </row>
    <row r="673" ht="15.75" customHeight="1">
      <c r="E673" s="130"/>
    </row>
    <row r="674" ht="15.75" customHeight="1">
      <c r="E674" s="130"/>
    </row>
    <row r="675" ht="15.75" customHeight="1">
      <c r="E675" s="130"/>
    </row>
    <row r="676" ht="15.75" customHeight="1">
      <c r="E676" s="130"/>
    </row>
    <row r="677" ht="15.75" customHeight="1">
      <c r="E677" s="130"/>
    </row>
    <row r="678" ht="15.75" customHeight="1">
      <c r="E678" s="130"/>
    </row>
    <row r="679" ht="15.75" customHeight="1">
      <c r="E679" s="130"/>
    </row>
    <row r="680" ht="15.75" customHeight="1">
      <c r="E680" s="130"/>
    </row>
    <row r="681" ht="15.75" customHeight="1">
      <c r="E681" s="130"/>
    </row>
    <row r="682" ht="15.75" customHeight="1">
      <c r="E682" s="130"/>
    </row>
    <row r="683" ht="15.75" customHeight="1">
      <c r="E683" s="130"/>
    </row>
    <row r="684" ht="15.75" customHeight="1">
      <c r="E684" s="130"/>
    </row>
    <row r="685" ht="15.75" customHeight="1">
      <c r="E685" s="130"/>
    </row>
    <row r="686" ht="15.75" customHeight="1">
      <c r="E686" s="130"/>
    </row>
    <row r="687" ht="15.75" customHeight="1">
      <c r="E687" s="130"/>
    </row>
    <row r="688" ht="15.75" customHeight="1">
      <c r="E688" s="130"/>
    </row>
    <row r="689" ht="15.75" customHeight="1">
      <c r="E689" s="130"/>
    </row>
    <row r="690" ht="15.75" customHeight="1">
      <c r="E690" s="130"/>
    </row>
    <row r="691" ht="15.75" customHeight="1">
      <c r="E691" s="130"/>
    </row>
    <row r="692" ht="15.75" customHeight="1">
      <c r="E692" s="130"/>
    </row>
    <row r="693" ht="15.75" customHeight="1">
      <c r="E693" s="130"/>
    </row>
    <row r="694" ht="15.75" customHeight="1">
      <c r="E694" s="130"/>
    </row>
    <row r="695" ht="15.75" customHeight="1">
      <c r="E695" s="130"/>
    </row>
    <row r="696" ht="15.75" customHeight="1">
      <c r="E696" s="130"/>
    </row>
    <row r="697" ht="15.75" customHeight="1">
      <c r="E697" s="130"/>
    </row>
    <row r="698" ht="15.75" customHeight="1">
      <c r="E698" s="130"/>
    </row>
    <row r="699" ht="15.75" customHeight="1">
      <c r="E699" s="130"/>
    </row>
    <row r="700" ht="15.75" customHeight="1">
      <c r="E700" s="130"/>
    </row>
    <row r="701" ht="15.75" customHeight="1">
      <c r="E701" s="130"/>
    </row>
    <row r="702" ht="15.75" customHeight="1">
      <c r="E702" s="130"/>
    </row>
    <row r="703" ht="15.75" customHeight="1">
      <c r="E703" s="130"/>
    </row>
    <row r="704" ht="15.75" customHeight="1">
      <c r="E704" s="130"/>
    </row>
    <row r="705" ht="15.75" customHeight="1">
      <c r="E705" s="130"/>
    </row>
    <row r="706" ht="15.75" customHeight="1">
      <c r="E706" s="130"/>
    </row>
    <row r="707" ht="15.75" customHeight="1">
      <c r="E707" s="130"/>
    </row>
    <row r="708" ht="15.75" customHeight="1">
      <c r="E708" s="130"/>
    </row>
    <row r="709" ht="15.75" customHeight="1">
      <c r="E709" s="130"/>
    </row>
    <row r="710" ht="15.75" customHeight="1">
      <c r="E710" s="130"/>
    </row>
    <row r="711" ht="15.75" customHeight="1">
      <c r="E711" s="130"/>
    </row>
    <row r="712" ht="15.75" customHeight="1">
      <c r="E712" s="130"/>
    </row>
    <row r="713" ht="15.75" customHeight="1">
      <c r="E713" s="130"/>
    </row>
    <row r="714" ht="15.75" customHeight="1">
      <c r="E714" s="130"/>
    </row>
    <row r="715" ht="15.75" customHeight="1">
      <c r="E715" s="130"/>
    </row>
    <row r="716" ht="15.75" customHeight="1">
      <c r="E716" s="130"/>
    </row>
    <row r="717" ht="15.75" customHeight="1">
      <c r="E717" s="130"/>
    </row>
    <row r="718" ht="15.75" customHeight="1">
      <c r="E718" s="130"/>
    </row>
    <row r="719" ht="15.75" customHeight="1">
      <c r="E719" s="130"/>
    </row>
    <row r="720" ht="15.75" customHeight="1">
      <c r="E720" s="130"/>
    </row>
    <row r="721" ht="15.75" customHeight="1">
      <c r="E721" s="130"/>
    </row>
    <row r="722" ht="15.75" customHeight="1">
      <c r="E722" s="130"/>
    </row>
    <row r="723" ht="15.75" customHeight="1">
      <c r="E723" s="130"/>
    </row>
    <row r="724" ht="15.75" customHeight="1">
      <c r="E724" s="130"/>
    </row>
    <row r="725" ht="15.75" customHeight="1">
      <c r="E725" s="130"/>
    </row>
    <row r="726" ht="15.75" customHeight="1">
      <c r="E726" s="130"/>
    </row>
    <row r="727" ht="15.75" customHeight="1">
      <c r="E727" s="130"/>
    </row>
    <row r="728" ht="15.75" customHeight="1">
      <c r="E728" s="130"/>
    </row>
    <row r="729" ht="15.75" customHeight="1">
      <c r="E729" s="130"/>
    </row>
    <row r="730" ht="15.75" customHeight="1">
      <c r="E730" s="130"/>
    </row>
    <row r="731" ht="15.75" customHeight="1">
      <c r="E731" s="130"/>
    </row>
    <row r="732" ht="15.75" customHeight="1">
      <c r="E732" s="130"/>
    </row>
    <row r="733" ht="15.75" customHeight="1">
      <c r="E733" s="130"/>
    </row>
    <row r="734" ht="15.75" customHeight="1">
      <c r="E734" s="130"/>
    </row>
    <row r="735" ht="15.75" customHeight="1">
      <c r="E735" s="130"/>
    </row>
    <row r="736" ht="15.75" customHeight="1">
      <c r="E736" s="130"/>
    </row>
    <row r="737" ht="15.75" customHeight="1">
      <c r="E737" s="130"/>
    </row>
    <row r="738" ht="15.75" customHeight="1">
      <c r="E738" s="130"/>
    </row>
    <row r="739" ht="15.75" customHeight="1">
      <c r="E739" s="130"/>
    </row>
    <row r="740" ht="15.75" customHeight="1">
      <c r="E740" s="130"/>
    </row>
    <row r="741" ht="15.75" customHeight="1">
      <c r="E741" s="130"/>
    </row>
    <row r="742" ht="15.75" customHeight="1">
      <c r="E742" s="130"/>
    </row>
    <row r="743" ht="15.75" customHeight="1">
      <c r="E743" s="130"/>
    </row>
    <row r="744" ht="15.75" customHeight="1">
      <c r="E744" s="130"/>
    </row>
    <row r="745" ht="15.75" customHeight="1">
      <c r="E745" s="130"/>
    </row>
    <row r="746" ht="15.75" customHeight="1">
      <c r="E746" s="130"/>
    </row>
    <row r="747" ht="15.75" customHeight="1">
      <c r="E747" s="130"/>
    </row>
    <row r="748" ht="15.75" customHeight="1">
      <c r="E748" s="130"/>
    </row>
    <row r="749" ht="15.75" customHeight="1">
      <c r="E749" s="130"/>
    </row>
    <row r="750" ht="15.75" customHeight="1">
      <c r="E750" s="130"/>
    </row>
    <row r="751" ht="15.75" customHeight="1">
      <c r="E751" s="130"/>
    </row>
    <row r="752" ht="15.75" customHeight="1">
      <c r="E752" s="130"/>
    </row>
    <row r="753" ht="15.75" customHeight="1">
      <c r="E753" s="130"/>
    </row>
    <row r="754" ht="15.75" customHeight="1">
      <c r="E754" s="130"/>
    </row>
    <row r="755" ht="15.75" customHeight="1">
      <c r="E755" s="130"/>
    </row>
    <row r="756" ht="15.75" customHeight="1">
      <c r="E756" s="130"/>
    </row>
    <row r="757" ht="15.75" customHeight="1">
      <c r="E757" s="130"/>
    </row>
    <row r="758" ht="15.75" customHeight="1">
      <c r="E758" s="130"/>
    </row>
    <row r="759" ht="15.75" customHeight="1">
      <c r="E759" s="130"/>
    </row>
    <row r="760" ht="15.75" customHeight="1">
      <c r="E760" s="130"/>
    </row>
    <row r="761" ht="15.75" customHeight="1">
      <c r="E761" s="130"/>
    </row>
    <row r="762" ht="15.75" customHeight="1">
      <c r="E762" s="130"/>
    </row>
    <row r="763" ht="15.75" customHeight="1">
      <c r="E763" s="130"/>
    </row>
    <row r="764" ht="15.75" customHeight="1">
      <c r="E764" s="130"/>
    </row>
    <row r="765" ht="15.75" customHeight="1">
      <c r="E765" s="130"/>
    </row>
    <row r="766" ht="15.75" customHeight="1">
      <c r="E766" s="130"/>
    </row>
    <row r="767" ht="15.75" customHeight="1">
      <c r="E767" s="130"/>
    </row>
    <row r="768" ht="15.75" customHeight="1">
      <c r="E768" s="130"/>
    </row>
    <row r="769" ht="15.75" customHeight="1">
      <c r="E769" s="130"/>
    </row>
    <row r="770" ht="15.75" customHeight="1">
      <c r="E770" s="130"/>
    </row>
    <row r="771" ht="15.75" customHeight="1">
      <c r="E771" s="130"/>
    </row>
    <row r="772" ht="15.75" customHeight="1">
      <c r="E772" s="130"/>
    </row>
    <row r="773" ht="15.75" customHeight="1">
      <c r="E773" s="130"/>
    </row>
    <row r="774" ht="15.75" customHeight="1">
      <c r="E774" s="130"/>
    </row>
    <row r="775" ht="15.75" customHeight="1">
      <c r="E775" s="130"/>
    </row>
    <row r="776" ht="15.75" customHeight="1">
      <c r="E776" s="130"/>
    </row>
    <row r="777" ht="15.75" customHeight="1">
      <c r="E777" s="130"/>
    </row>
    <row r="778" ht="15.75" customHeight="1">
      <c r="E778" s="130"/>
    </row>
    <row r="779" ht="15.75" customHeight="1">
      <c r="E779" s="130"/>
    </row>
    <row r="780" ht="15.75" customHeight="1">
      <c r="E780" s="130"/>
    </row>
    <row r="781" ht="15.75" customHeight="1">
      <c r="E781" s="130"/>
    </row>
    <row r="782" ht="15.75" customHeight="1">
      <c r="E782" s="130"/>
    </row>
    <row r="783" ht="15.75" customHeight="1">
      <c r="E783" s="130"/>
    </row>
    <row r="784" ht="15.75" customHeight="1">
      <c r="E784" s="130"/>
    </row>
    <row r="785" ht="15.75" customHeight="1">
      <c r="E785" s="130"/>
    </row>
    <row r="786" ht="15.75" customHeight="1">
      <c r="E786" s="130"/>
    </row>
    <row r="787" ht="15.75" customHeight="1">
      <c r="E787" s="130"/>
    </row>
    <row r="788" ht="15.75" customHeight="1">
      <c r="E788" s="130"/>
    </row>
    <row r="789" ht="15.75" customHeight="1">
      <c r="E789" s="130"/>
    </row>
    <row r="790" ht="15.75" customHeight="1">
      <c r="E790" s="130"/>
    </row>
    <row r="791" ht="15.75" customHeight="1">
      <c r="E791" s="130"/>
    </row>
    <row r="792" ht="15.75" customHeight="1">
      <c r="E792" s="130"/>
    </row>
    <row r="793" ht="15.75" customHeight="1">
      <c r="E793" s="130"/>
    </row>
    <row r="794" ht="15.75" customHeight="1">
      <c r="E794" s="130"/>
    </row>
    <row r="795" ht="15.75" customHeight="1">
      <c r="E795" s="130"/>
    </row>
    <row r="796" ht="15.75" customHeight="1">
      <c r="E796" s="130"/>
    </row>
    <row r="797" ht="15.75" customHeight="1">
      <c r="E797" s="130"/>
    </row>
    <row r="798" ht="15.75" customHeight="1">
      <c r="E798" s="130"/>
    </row>
    <row r="799" ht="15.75" customHeight="1">
      <c r="E799" s="130"/>
    </row>
    <row r="800" ht="15.75" customHeight="1">
      <c r="E800" s="130"/>
    </row>
    <row r="801" ht="15.75" customHeight="1">
      <c r="E801" s="130"/>
    </row>
    <row r="802" ht="15.75" customHeight="1">
      <c r="E802" s="130"/>
    </row>
    <row r="803" ht="15.75" customHeight="1">
      <c r="E803" s="130"/>
    </row>
    <row r="804" ht="15.75" customHeight="1">
      <c r="E804" s="130"/>
    </row>
    <row r="805" ht="15.75" customHeight="1">
      <c r="E805" s="130"/>
    </row>
    <row r="806" ht="15.75" customHeight="1">
      <c r="E806" s="130"/>
    </row>
    <row r="807" ht="15.75" customHeight="1">
      <c r="E807" s="130"/>
    </row>
    <row r="808" ht="15.75" customHeight="1">
      <c r="E808" s="130"/>
    </row>
    <row r="809" ht="15.75" customHeight="1">
      <c r="E809" s="130"/>
    </row>
    <row r="810" ht="15.75" customHeight="1">
      <c r="E810" s="130"/>
    </row>
    <row r="811" ht="15.75" customHeight="1">
      <c r="E811" s="130"/>
    </row>
    <row r="812" ht="15.75" customHeight="1">
      <c r="E812" s="130"/>
    </row>
    <row r="813" ht="15.75" customHeight="1">
      <c r="E813" s="130"/>
    </row>
    <row r="814" ht="15.75" customHeight="1">
      <c r="E814" s="130"/>
    </row>
    <row r="815" ht="15.75" customHeight="1">
      <c r="E815" s="130"/>
    </row>
    <row r="816" ht="15.75" customHeight="1">
      <c r="E816" s="130"/>
    </row>
    <row r="817" ht="15.75" customHeight="1">
      <c r="E817" s="130"/>
    </row>
    <row r="818" ht="15.75" customHeight="1">
      <c r="E818" s="130"/>
    </row>
    <row r="819" ht="15.75" customHeight="1">
      <c r="E819" s="130"/>
    </row>
    <row r="820" ht="15.75" customHeight="1">
      <c r="E820" s="130"/>
    </row>
    <row r="821" ht="15.75" customHeight="1">
      <c r="E821" s="130"/>
    </row>
    <row r="822" ht="15.75" customHeight="1">
      <c r="E822" s="130"/>
    </row>
    <row r="823" ht="15.75" customHeight="1">
      <c r="E823" s="130"/>
    </row>
    <row r="824" ht="15.75" customHeight="1">
      <c r="E824" s="130"/>
    </row>
    <row r="825" ht="15.75" customHeight="1">
      <c r="E825" s="130"/>
    </row>
    <row r="826" ht="15.75" customHeight="1">
      <c r="E826" s="130"/>
    </row>
    <row r="827" ht="15.75" customHeight="1">
      <c r="E827" s="130"/>
    </row>
    <row r="828" ht="15.75" customHeight="1">
      <c r="E828" s="130"/>
    </row>
    <row r="829" ht="15.75" customHeight="1">
      <c r="E829" s="130"/>
    </row>
    <row r="830" ht="15.75" customHeight="1">
      <c r="E830" s="130"/>
    </row>
    <row r="831" ht="15.75" customHeight="1">
      <c r="E831" s="130"/>
    </row>
    <row r="832" ht="15.75" customHeight="1">
      <c r="E832" s="130"/>
    </row>
    <row r="833" ht="15.75" customHeight="1">
      <c r="E833" s="130"/>
    </row>
    <row r="834" ht="15.75" customHeight="1">
      <c r="E834" s="130"/>
    </row>
    <row r="835" ht="15.75" customHeight="1">
      <c r="E835" s="130"/>
    </row>
    <row r="836" ht="15.75" customHeight="1">
      <c r="E836" s="130"/>
    </row>
    <row r="837" ht="15.75" customHeight="1">
      <c r="E837" s="130"/>
    </row>
    <row r="838" ht="15.75" customHeight="1">
      <c r="E838" s="130"/>
    </row>
    <row r="839" ht="15.75" customHeight="1">
      <c r="E839" s="130"/>
    </row>
    <row r="840" ht="15.75" customHeight="1">
      <c r="E840" s="130"/>
    </row>
    <row r="841" ht="15.75" customHeight="1">
      <c r="E841" s="130"/>
    </row>
    <row r="842" ht="15.75" customHeight="1">
      <c r="E842" s="130"/>
    </row>
    <row r="843" ht="15.75" customHeight="1">
      <c r="E843" s="130"/>
    </row>
    <row r="844" ht="15.75" customHeight="1">
      <c r="E844" s="130"/>
    </row>
    <row r="845" ht="15.75" customHeight="1">
      <c r="E845" s="130"/>
    </row>
    <row r="846" ht="15.75" customHeight="1">
      <c r="E846" s="130"/>
    </row>
    <row r="847" ht="15.75" customHeight="1">
      <c r="E847" s="130"/>
    </row>
    <row r="848" ht="15.75" customHeight="1">
      <c r="E848" s="130"/>
    </row>
    <row r="849" ht="15.75" customHeight="1">
      <c r="E849" s="130"/>
    </row>
    <row r="850" ht="15.75" customHeight="1">
      <c r="E850" s="130"/>
    </row>
    <row r="851" ht="15.75" customHeight="1">
      <c r="E851" s="130"/>
    </row>
    <row r="852" ht="15.75" customHeight="1">
      <c r="E852" s="130"/>
    </row>
    <row r="853" ht="15.75" customHeight="1">
      <c r="E853" s="130"/>
    </row>
    <row r="854" ht="15.75" customHeight="1">
      <c r="E854" s="130"/>
    </row>
    <row r="855" ht="15.75" customHeight="1">
      <c r="E855" s="130"/>
    </row>
    <row r="856" ht="15.75" customHeight="1">
      <c r="E856" s="130"/>
    </row>
    <row r="857" ht="15.75" customHeight="1">
      <c r="E857" s="130"/>
    </row>
    <row r="858" ht="15.75" customHeight="1">
      <c r="E858" s="130"/>
    </row>
    <row r="859" ht="15.75" customHeight="1">
      <c r="E859" s="130"/>
    </row>
    <row r="860" ht="15.75" customHeight="1">
      <c r="E860" s="130"/>
    </row>
    <row r="861" ht="15.75" customHeight="1">
      <c r="E861" s="130"/>
    </row>
    <row r="862" ht="15.75" customHeight="1">
      <c r="E862" s="130"/>
    </row>
    <row r="863" ht="15.75" customHeight="1">
      <c r="E863" s="130"/>
    </row>
    <row r="864" ht="15.75" customHeight="1">
      <c r="E864" s="130"/>
    </row>
    <row r="865" ht="15.75" customHeight="1">
      <c r="E865" s="130"/>
    </row>
    <row r="866" ht="15.75" customHeight="1">
      <c r="E866" s="130"/>
    </row>
    <row r="867" ht="15.75" customHeight="1">
      <c r="E867" s="130"/>
    </row>
    <row r="868" ht="15.75" customHeight="1">
      <c r="E868" s="130"/>
    </row>
    <row r="869" ht="15.75" customHeight="1">
      <c r="E869" s="130"/>
    </row>
    <row r="870" ht="15.75" customHeight="1">
      <c r="E870" s="130"/>
    </row>
    <row r="871" ht="15.75" customHeight="1">
      <c r="E871" s="130"/>
    </row>
    <row r="872" ht="15.75" customHeight="1">
      <c r="E872" s="130"/>
    </row>
    <row r="873" ht="15.75" customHeight="1">
      <c r="E873" s="130"/>
    </row>
    <row r="874" ht="15.75" customHeight="1">
      <c r="E874" s="130"/>
    </row>
    <row r="875" ht="15.75" customHeight="1">
      <c r="E875" s="130"/>
    </row>
    <row r="876" ht="15.75" customHeight="1">
      <c r="E876" s="130"/>
    </row>
    <row r="877" ht="15.75" customHeight="1">
      <c r="E877" s="130"/>
    </row>
    <row r="878" ht="15.75" customHeight="1">
      <c r="E878" s="130"/>
    </row>
    <row r="879" ht="15.75" customHeight="1">
      <c r="E879" s="130"/>
    </row>
    <row r="880" ht="15.75" customHeight="1">
      <c r="E880" s="130"/>
    </row>
    <row r="881" ht="15.75" customHeight="1">
      <c r="E881" s="130"/>
    </row>
    <row r="882" ht="15.75" customHeight="1">
      <c r="E882" s="130"/>
    </row>
    <row r="883" ht="15.75" customHeight="1">
      <c r="E883" s="130"/>
    </row>
    <row r="884" ht="15.75" customHeight="1">
      <c r="E884" s="130"/>
    </row>
    <row r="885" ht="15.75" customHeight="1">
      <c r="E885" s="130"/>
    </row>
    <row r="886" ht="15.75" customHeight="1">
      <c r="E886" s="130"/>
    </row>
    <row r="887" ht="15.75" customHeight="1">
      <c r="E887" s="130"/>
    </row>
    <row r="888" ht="15.75" customHeight="1">
      <c r="E888" s="130"/>
    </row>
    <row r="889" ht="15.75" customHeight="1">
      <c r="E889" s="130"/>
    </row>
    <row r="890" ht="15.75" customHeight="1">
      <c r="E890" s="130"/>
    </row>
    <row r="891" ht="15.75" customHeight="1">
      <c r="E891" s="130"/>
    </row>
    <row r="892" ht="15.75" customHeight="1">
      <c r="E892" s="130"/>
    </row>
    <row r="893" ht="15.75" customHeight="1">
      <c r="E893" s="130"/>
    </row>
    <row r="894" ht="15.75" customHeight="1">
      <c r="E894" s="130"/>
    </row>
    <row r="895" ht="15.75" customHeight="1">
      <c r="E895" s="130"/>
    </row>
    <row r="896" ht="15.75" customHeight="1">
      <c r="E896" s="130"/>
    </row>
    <row r="897" ht="15.75" customHeight="1">
      <c r="E897" s="130"/>
    </row>
    <row r="898" ht="15.75" customHeight="1">
      <c r="E898" s="130"/>
    </row>
    <row r="899" ht="15.75" customHeight="1">
      <c r="E899" s="130"/>
    </row>
    <row r="900" ht="15.75" customHeight="1">
      <c r="E900" s="130"/>
    </row>
    <row r="901" ht="15.75" customHeight="1">
      <c r="E901" s="130"/>
    </row>
    <row r="902" ht="15.75" customHeight="1">
      <c r="E902" s="130"/>
    </row>
    <row r="903" ht="15.75" customHeight="1">
      <c r="E903" s="130"/>
    </row>
    <row r="904" ht="15.75" customHeight="1">
      <c r="E904" s="130"/>
    </row>
    <row r="905" ht="15.75" customHeight="1">
      <c r="E905" s="130"/>
    </row>
    <row r="906" ht="15.75" customHeight="1">
      <c r="E906" s="130"/>
    </row>
    <row r="907" ht="15.75" customHeight="1">
      <c r="E907" s="130"/>
    </row>
    <row r="908" ht="15.75" customHeight="1">
      <c r="E908" s="130"/>
    </row>
    <row r="909" ht="15.75" customHeight="1">
      <c r="E909" s="130"/>
    </row>
    <row r="910" ht="15.75" customHeight="1">
      <c r="E910" s="130"/>
    </row>
    <row r="911" ht="15.75" customHeight="1">
      <c r="E911" s="130"/>
    </row>
    <row r="912" ht="15.75" customHeight="1">
      <c r="E912" s="130"/>
    </row>
    <row r="913" ht="15.75" customHeight="1">
      <c r="E913" s="130"/>
    </row>
    <row r="914" ht="15.75" customHeight="1">
      <c r="E914" s="130"/>
    </row>
    <row r="915" ht="15.75" customHeight="1">
      <c r="E915" s="130"/>
    </row>
    <row r="916" ht="15.75" customHeight="1">
      <c r="E916" s="130"/>
    </row>
    <row r="917" ht="15.75" customHeight="1">
      <c r="E917" s="130"/>
    </row>
    <row r="918" ht="15.75" customHeight="1">
      <c r="E918" s="130"/>
    </row>
    <row r="919" ht="15.75" customHeight="1">
      <c r="E919" s="130"/>
    </row>
    <row r="920" ht="15.75" customHeight="1">
      <c r="E920" s="130"/>
    </row>
    <row r="921" ht="15.75" customHeight="1">
      <c r="E921" s="130"/>
    </row>
    <row r="922" ht="15.75" customHeight="1">
      <c r="E922" s="130"/>
    </row>
    <row r="923" ht="15.75" customHeight="1">
      <c r="E923" s="130"/>
    </row>
    <row r="924" ht="15.75" customHeight="1">
      <c r="E924" s="130"/>
    </row>
    <row r="925" ht="15.75" customHeight="1">
      <c r="E925" s="130"/>
    </row>
    <row r="926" ht="15.75" customHeight="1">
      <c r="E926" s="130"/>
    </row>
    <row r="927" ht="15.75" customHeight="1">
      <c r="E927" s="130"/>
    </row>
    <row r="928" ht="15.75" customHeight="1">
      <c r="E928" s="130"/>
    </row>
    <row r="929" ht="15.75" customHeight="1">
      <c r="E929" s="130"/>
    </row>
    <row r="930" ht="15.75" customHeight="1">
      <c r="E930" s="130"/>
    </row>
    <row r="931" ht="15.75" customHeight="1">
      <c r="E931" s="130"/>
    </row>
    <row r="932" ht="15.75" customHeight="1">
      <c r="E932" s="130"/>
    </row>
    <row r="933" ht="15.75" customHeight="1">
      <c r="E933" s="130"/>
    </row>
    <row r="934" ht="15.75" customHeight="1">
      <c r="E934" s="130"/>
    </row>
    <row r="935" ht="15.75" customHeight="1">
      <c r="E935" s="130"/>
    </row>
    <row r="936" ht="15.75" customHeight="1">
      <c r="E936" s="130"/>
    </row>
    <row r="937" ht="15.75" customHeight="1">
      <c r="E937" s="130"/>
    </row>
    <row r="938" ht="15.75" customHeight="1">
      <c r="E938" s="130"/>
    </row>
    <row r="939" ht="15.75" customHeight="1">
      <c r="E939" s="130"/>
    </row>
    <row r="940" ht="15.75" customHeight="1">
      <c r="E940" s="130"/>
    </row>
    <row r="941" ht="15.75" customHeight="1">
      <c r="E941" s="130"/>
    </row>
    <row r="942" ht="15.75" customHeight="1">
      <c r="E942" s="130"/>
    </row>
    <row r="943" ht="15.75" customHeight="1">
      <c r="E943" s="130"/>
    </row>
    <row r="944" ht="15.75" customHeight="1">
      <c r="E944" s="130"/>
    </row>
    <row r="945" ht="15.75" customHeight="1">
      <c r="E945" s="130"/>
    </row>
    <row r="946" ht="15.75" customHeight="1">
      <c r="E946" s="130"/>
    </row>
    <row r="947" ht="15.75" customHeight="1">
      <c r="E947" s="130"/>
    </row>
    <row r="948" ht="15.75" customHeight="1">
      <c r="E948" s="130"/>
    </row>
    <row r="949" ht="15.75" customHeight="1">
      <c r="E949" s="130"/>
    </row>
    <row r="950" ht="15.75" customHeight="1">
      <c r="E950" s="130"/>
    </row>
    <row r="951" ht="15.75" customHeight="1">
      <c r="E951" s="130"/>
    </row>
    <row r="952" ht="15.75" customHeight="1">
      <c r="E952" s="130"/>
    </row>
    <row r="953" ht="15.75" customHeight="1">
      <c r="E953" s="130"/>
    </row>
    <row r="954" ht="15.75" customHeight="1">
      <c r="E954" s="130"/>
    </row>
    <row r="955" ht="15.75" customHeight="1">
      <c r="E955" s="130"/>
    </row>
    <row r="956" ht="15.75" customHeight="1">
      <c r="E956" s="130"/>
    </row>
    <row r="957" ht="15.75" customHeight="1">
      <c r="E957" s="130"/>
    </row>
    <row r="958" ht="15.75" customHeight="1">
      <c r="E958" s="130"/>
    </row>
    <row r="959" ht="15.75" customHeight="1">
      <c r="E959" s="130"/>
    </row>
    <row r="960" ht="15.75" customHeight="1">
      <c r="E960" s="130"/>
    </row>
    <row r="961" ht="15.75" customHeight="1">
      <c r="E961" s="130"/>
    </row>
    <row r="962" ht="15.75" customHeight="1">
      <c r="E962" s="130"/>
    </row>
    <row r="963" ht="15.75" customHeight="1">
      <c r="E963" s="130"/>
    </row>
    <row r="964" ht="15.75" customHeight="1">
      <c r="E964" s="130"/>
    </row>
    <row r="965" ht="15.75" customHeight="1">
      <c r="E965" s="130"/>
    </row>
    <row r="966" ht="15.75" customHeight="1">
      <c r="E966" s="130"/>
    </row>
    <row r="967" ht="15.75" customHeight="1">
      <c r="E967" s="130"/>
    </row>
    <row r="968" ht="15.75" customHeight="1">
      <c r="E968" s="130"/>
    </row>
    <row r="969" ht="15.75" customHeight="1">
      <c r="E969" s="130"/>
    </row>
    <row r="970" ht="15.75" customHeight="1">
      <c r="E970" s="130"/>
    </row>
    <row r="971" ht="15.75" customHeight="1">
      <c r="E971" s="130"/>
    </row>
    <row r="972" ht="15.75" customHeight="1">
      <c r="E972" s="130"/>
    </row>
    <row r="973" ht="15.75" customHeight="1">
      <c r="E973" s="130"/>
    </row>
    <row r="974" ht="15.75" customHeight="1">
      <c r="E974" s="130"/>
    </row>
    <row r="975" ht="15.75" customHeight="1">
      <c r="E975" s="130"/>
    </row>
    <row r="976" ht="15.75" customHeight="1">
      <c r="E976" s="130"/>
    </row>
    <row r="977" ht="15.75" customHeight="1">
      <c r="E977" s="130"/>
    </row>
    <row r="978" ht="15.75" customHeight="1">
      <c r="E978" s="130"/>
    </row>
    <row r="979" ht="15.75" customHeight="1">
      <c r="E979" s="130"/>
    </row>
    <row r="980" ht="15.75" customHeight="1">
      <c r="E980" s="130"/>
    </row>
    <row r="981" ht="15.75" customHeight="1">
      <c r="E981" s="130"/>
    </row>
    <row r="982" ht="15.75" customHeight="1">
      <c r="E982" s="130"/>
    </row>
    <row r="983" ht="15.75" customHeight="1">
      <c r="E983" s="130"/>
    </row>
    <row r="984" ht="15.75" customHeight="1">
      <c r="E984" s="130"/>
    </row>
    <row r="985" ht="15.75" customHeight="1">
      <c r="E985" s="130"/>
    </row>
    <row r="986" ht="15.75" customHeight="1">
      <c r="E986" s="130"/>
    </row>
    <row r="987" ht="15.75" customHeight="1">
      <c r="E987" s="130"/>
    </row>
    <row r="988" ht="15.75" customHeight="1">
      <c r="E988" s="130"/>
    </row>
    <row r="989" ht="15.75" customHeight="1">
      <c r="E989" s="130"/>
    </row>
    <row r="990" ht="15.75" customHeight="1">
      <c r="E990" s="130"/>
    </row>
    <row r="991" ht="15.75" customHeight="1">
      <c r="E991" s="130"/>
    </row>
    <row r="992" ht="15.75" customHeight="1">
      <c r="E992" s="130"/>
    </row>
    <row r="993" ht="15.75" customHeight="1">
      <c r="E993" s="130"/>
    </row>
    <row r="994" ht="15.75" customHeight="1">
      <c r="E994" s="130"/>
    </row>
    <row r="995" ht="15.75" customHeight="1">
      <c r="E995" s="130"/>
    </row>
    <row r="996" ht="15.75" customHeight="1">
      <c r="E996" s="130"/>
    </row>
    <row r="997" ht="15.75" customHeight="1">
      <c r="E997" s="130"/>
    </row>
    <row r="998" ht="15.75" customHeight="1">
      <c r="E998" s="130"/>
    </row>
    <row r="999" ht="15.75" customHeight="1">
      <c r="E999" s="130"/>
    </row>
  </sheetData>
  <mergeCells count="2">
    <mergeCell ref="A1:C2"/>
    <mergeCell ref="D1:F2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0"/>
    <col customWidth="1" min="2" max="3" width="9.13"/>
    <col customWidth="1" min="4" max="4" width="40.25"/>
    <col customWidth="1" min="5" max="5" width="4.88"/>
    <col customWidth="1" min="6" max="6" width="25.88"/>
    <col customWidth="1" min="7" max="7" width="7.88"/>
    <col customWidth="1" min="8" max="8" width="7.5"/>
    <col customWidth="1" min="9" max="9" width="7.0"/>
    <col customWidth="1" min="10" max="10" width="7.75"/>
    <col customWidth="1" min="11" max="11" width="9.5"/>
    <col customWidth="1" min="12" max="12" width="8.5"/>
    <col customWidth="1" min="13" max="14" width="10.38"/>
    <col customWidth="1" min="15" max="15" width="9.63"/>
    <col customWidth="1" min="16" max="16" width="7.63"/>
    <col customWidth="1" min="17" max="17" width="11.5"/>
    <col customWidth="1" min="18" max="18" width="9.0"/>
    <col customWidth="1" min="19" max="19" width="9.75"/>
    <col customWidth="1" min="20" max="20" width="7.88"/>
    <col customWidth="1" min="21" max="21" width="6.88"/>
    <col customWidth="1" min="22" max="22" width="4.13"/>
    <col customWidth="1" min="23" max="23" width="5.0"/>
    <col customWidth="1" min="24" max="24" width="4.25"/>
    <col customWidth="1" min="25" max="25" width="4.38"/>
    <col customWidth="1" min="26" max="26" width="4.25"/>
  </cols>
  <sheetData>
    <row r="1">
      <c r="A1" s="163" t="s">
        <v>1</v>
      </c>
      <c r="B1" s="163" t="s">
        <v>2</v>
      </c>
      <c r="C1" s="164" t="s">
        <v>3</v>
      </c>
      <c r="D1" s="163" t="s">
        <v>4</v>
      </c>
      <c r="E1" s="164" t="s">
        <v>6</v>
      </c>
      <c r="F1" s="165" t="s">
        <v>1055</v>
      </c>
      <c r="G1" s="166" t="s">
        <v>1090</v>
      </c>
      <c r="H1" s="183"/>
      <c r="I1" s="168">
        <v>0.03</v>
      </c>
      <c r="J1" s="169" t="s">
        <v>0</v>
      </c>
      <c r="K1" s="170"/>
      <c r="L1" s="170"/>
      <c r="M1" s="170"/>
      <c r="N1" s="170"/>
      <c r="O1" s="170"/>
      <c r="P1" s="170"/>
      <c r="Q1" s="170"/>
      <c r="R1" s="171"/>
      <c r="S1" s="172" t="s">
        <v>1056</v>
      </c>
      <c r="T1" s="167" t="s">
        <v>17</v>
      </c>
      <c r="U1" s="170"/>
      <c r="V1" s="170"/>
      <c r="W1" s="170"/>
      <c r="X1" s="170"/>
      <c r="Y1" s="170"/>
      <c r="Z1" s="171"/>
    </row>
    <row r="2">
      <c r="A2" s="173"/>
      <c r="B2" s="173"/>
      <c r="C2" s="173"/>
      <c r="D2" s="173"/>
      <c r="E2" s="173"/>
      <c r="F2" s="60"/>
      <c r="G2" s="225" t="s">
        <v>7</v>
      </c>
      <c r="H2" s="175" t="s">
        <v>9</v>
      </c>
      <c r="I2" s="176"/>
      <c r="J2" s="177" t="s">
        <v>10</v>
      </c>
      <c r="K2" s="178" t="s">
        <v>1057</v>
      </c>
      <c r="L2" s="177" t="s">
        <v>23</v>
      </c>
      <c r="M2" s="179" t="s">
        <v>24</v>
      </c>
      <c r="N2" s="180" t="s">
        <v>23</v>
      </c>
      <c r="O2" s="179" t="s">
        <v>25</v>
      </c>
      <c r="P2" s="177" t="s">
        <v>23</v>
      </c>
      <c r="Q2" s="179" t="s">
        <v>1058</v>
      </c>
      <c r="R2" s="181" t="s">
        <v>23</v>
      </c>
      <c r="S2" s="182">
        <v>0.2</v>
      </c>
      <c r="T2" s="226" t="s">
        <v>1059</v>
      </c>
      <c r="U2" s="184" t="s">
        <v>1060</v>
      </c>
      <c r="V2" s="185" t="s">
        <v>832</v>
      </c>
      <c r="W2" s="185" t="s">
        <v>111</v>
      </c>
      <c r="X2" s="185" t="s">
        <v>113</v>
      </c>
      <c r="Y2" s="185" t="s">
        <v>112</v>
      </c>
      <c r="Z2" s="186" t="s">
        <v>110</v>
      </c>
    </row>
    <row r="3">
      <c r="A3" s="199" t="s">
        <v>29</v>
      </c>
      <c r="B3" s="199"/>
      <c r="C3" s="199"/>
      <c r="D3" s="199"/>
      <c r="E3" s="199"/>
      <c r="F3" s="199"/>
      <c r="G3" s="227"/>
      <c r="H3" s="228"/>
      <c r="I3" s="202"/>
      <c r="J3" s="203"/>
      <c r="K3" s="204"/>
      <c r="L3" s="203"/>
      <c r="M3" s="204"/>
      <c r="N3" s="203"/>
      <c r="O3" s="204"/>
      <c r="P3" s="203"/>
      <c r="Q3" s="204"/>
      <c r="R3" s="202"/>
      <c r="S3" s="202"/>
      <c r="T3" s="203"/>
      <c r="U3" s="207"/>
      <c r="V3" s="208"/>
      <c r="W3" s="208"/>
      <c r="X3" s="208"/>
      <c r="Y3" s="208"/>
      <c r="Z3" s="209"/>
    </row>
    <row r="4">
      <c r="A4" s="219" t="s">
        <v>30</v>
      </c>
      <c r="B4" s="199"/>
      <c r="C4" s="199"/>
      <c r="D4" s="199"/>
      <c r="E4" s="199"/>
      <c r="F4" s="199"/>
      <c r="G4" s="227"/>
      <c r="H4" s="228"/>
      <c r="I4" s="202"/>
      <c r="J4" s="203"/>
      <c r="K4" s="204"/>
      <c r="L4" s="203"/>
      <c r="M4" s="204"/>
      <c r="N4" s="203"/>
      <c r="O4" s="204"/>
      <c r="P4" s="203"/>
      <c r="Q4" s="204"/>
      <c r="R4" s="202"/>
      <c r="S4" s="202"/>
      <c r="T4" s="203"/>
      <c r="U4" s="207"/>
      <c r="V4" s="208"/>
      <c r="W4" s="208"/>
      <c r="X4" s="208"/>
      <c r="Y4" s="208"/>
      <c r="Z4" s="209"/>
    </row>
    <row r="5">
      <c r="A5" s="132">
        <v>8.0</v>
      </c>
      <c r="B5" s="132" t="s">
        <v>54</v>
      </c>
      <c r="C5" s="132" t="s">
        <v>569</v>
      </c>
      <c r="D5" s="50" t="s">
        <v>1257</v>
      </c>
      <c r="E5" s="132"/>
      <c r="F5" s="132" t="s">
        <v>1258</v>
      </c>
      <c r="G5" s="230">
        <v>0.0</v>
      </c>
      <c r="H5" s="231">
        <v>0.0</v>
      </c>
      <c r="I5" s="188">
        <f t="shared" ref="I5:I6" si="1">round(3%*G5,0)</f>
        <v>0</v>
      </c>
      <c r="J5" s="189">
        <f t="shared" ref="J5:J6" si="2">sum(L5+N5+P5+R5)</f>
        <v>0</v>
      </c>
      <c r="K5" s="190"/>
      <c r="L5" s="189"/>
      <c r="M5" s="191"/>
      <c r="N5" s="192"/>
      <c r="O5" s="191"/>
      <c r="P5" s="192"/>
      <c r="Q5" s="191"/>
      <c r="R5" s="188"/>
      <c r="S5" s="188">
        <f t="shared" ref="S5:S6" si="3">round(20%*(G5-I5-J5),0)</f>
        <v>0</v>
      </c>
      <c r="T5" s="214">
        <f t="shared" ref="T5:T6" si="4">G5-H5-I5-J5-S5</f>
        <v>0</v>
      </c>
      <c r="U5" s="216">
        <f t="shared" ref="U5:U6" si="5">round(T5-V5-W5-X5-Y5-Z5,0)</f>
        <v>0</v>
      </c>
      <c r="V5" s="233">
        <f t="shared" ref="V5:V6" si="6">round(T5/5,0)</f>
        <v>0</v>
      </c>
      <c r="W5" s="220">
        <f t="shared" ref="W5:W6" si="7">round(T5/5,0)</f>
        <v>0</v>
      </c>
      <c r="X5" s="220">
        <f t="shared" ref="X5:X6" si="8">round(T5/5,0)</f>
        <v>0</v>
      </c>
      <c r="Y5" s="220">
        <f t="shared" ref="Y5:Y6" si="9">round(T5/5,0)</f>
        <v>0</v>
      </c>
      <c r="Z5" s="221">
        <f t="shared" ref="Z5:Z6" si="10">round(T5/5,0)</f>
        <v>0</v>
      </c>
    </row>
    <row r="6">
      <c r="A6" s="132">
        <v>29.0</v>
      </c>
      <c r="B6" s="132" t="s">
        <v>54</v>
      </c>
      <c r="C6" s="132" t="s">
        <v>569</v>
      </c>
      <c r="D6" s="50" t="s">
        <v>1259</v>
      </c>
      <c r="E6" s="132"/>
      <c r="F6" s="132" t="s">
        <v>1260</v>
      </c>
      <c r="G6" s="266">
        <v>0.0</v>
      </c>
      <c r="H6" s="267">
        <v>0.0</v>
      </c>
      <c r="I6" s="188">
        <f t="shared" si="1"/>
        <v>0</v>
      </c>
      <c r="J6" s="189">
        <f t="shared" si="2"/>
        <v>0</v>
      </c>
      <c r="K6" s="190"/>
      <c r="L6" s="189"/>
      <c r="M6" s="191"/>
      <c r="N6" s="192"/>
      <c r="O6" s="191"/>
      <c r="P6" s="192"/>
      <c r="Q6" s="191"/>
      <c r="R6" s="188"/>
      <c r="S6" s="188">
        <f t="shared" si="3"/>
        <v>0</v>
      </c>
      <c r="T6" s="214">
        <f t="shared" si="4"/>
        <v>0</v>
      </c>
      <c r="U6" s="216">
        <f t="shared" si="5"/>
        <v>0</v>
      </c>
      <c r="V6" s="233">
        <f t="shared" si="6"/>
        <v>0</v>
      </c>
      <c r="W6" s="220">
        <f t="shared" si="7"/>
        <v>0</v>
      </c>
      <c r="X6" s="220">
        <f t="shared" si="8"/>
        <v>0</v>
      </c>
      <c r="Y6" s="220">
        <f t="shared" si="9"/>
        <v>0</v>
      </c>
      <c r="Z6" s="221">
        <f t="shared" si="10"/>
        <v>0</v>
      </c>
    </row>
    <row r="7">
      <c r="A7" s="219" t="s">
        <v>31</v>
      </c>
      <c r="B7" s="199"/>
      <c r="C7" s="199"/>
      <c r="D7" s="199"/>
      <c r="E7" s="199"/>
      <c r="F7" s="199"/>
      <c r="G7" s="227"/>
      <c r="H7" s="228"/>
      <c r="I7" s="202"/>
      <c r="J7" s="203"/>
      <c r="K7" s="204"/>
      <c r="L7" s="203"/>
      <c r="M7" s="204"/>
      <c r="N7" s="203"/>
      <c r="O7" s="204"/>
      <c r="P7" s="203"/>
      <c r="Q7" s="204"/>
      <c r="R7" s="202"/>
      <c r="S7" s="202"/>
      <c r="T7" s="203"/>
      <c r="U7" s="207"/>
      <c r="V7" s="208"/>
      <c r="W7" s="208"/>
      <c r="X7" s="208"/>
      <c r="Y7" s="208"/>
      <c r="Z7" s="209"/>
    </row>
    <row r="8">
      <c r="A8" s="132">
        <v>7.0</v>
      </c>
      <c r="B8" s="132" t="s">
        <v>54</v>
      </c>
      <c r="C8" s="132" t="s">
        <v>569</v>
      </c>
      <c r="D8" s="50" t="s">
        <v>1261</v>
      </c>
      <c r="E8" s="132"/>
      <c r="F8" s="132"/>
      <c r="G8" s="230">
        <v>3000.0</v>
      </c>
      <c r="H8" s="231">
        <v>0.0</v>
      </c>
      <c r="I8" s="193"/>
      <c r="J8" s="212">
        <f>sum(L8+N8+P8+R8)</f>
        <v>720</v>
      </c>
      <c r="K8" s="190" t="s">
        <v>285</v>
      </c>
      <c r="L8" s="212">
        <v>500.0</v>
      </c>
      <c r="M8" s="191"/>
      <c r="N8" s="192"/>
      <c r="O8" s="190" t="s">
        <v>1067</v>
      </c>
      <c r="P8" s="212">
        <v>220.0</v>
      </c>
      <c r="Q8" s="191"/>
      <c r="R8" s="188"/>
      <c r="S8" s="193">
        <v>0.0</v>
      </c>
      <c r="T8" s="214">
        <f>G8-H8-I8-J8-S8</f>
        <v>2280</v>
      </c>
      <c r="U8" s="216">
        <f>round(T8-V8-W8-X8-Y8-Z8,0)</f>
        <v>-220</v>
      </c>
      <c r="V8" s="268">
        <v>500.0</v>
      </c>
      <c r="W8" s="268">
        <v>500.0</v>
      </c>
      <c r="X8" s="268">
        <v>500.0</v>
      </c>
      <c r="Y8" s="268">
        <v>500.0</v>
      </c>
      <c r="Z8" s="221">
        <f>round(T8/5,-2)</f>
        <v>500</v>
      </c>
    </row>
    <row r="9">
      <c r="A9" s="219" t="s">
        <v>32</v>
      </c>
      <c r="B9" s="199"/>
      <c r="C9" s="199"/>
      <c r="D9" s="199"/>
      <c r="E9" s="199"/>
      <c r="F9" s="199"/>
      <c r="G9" s="227"/>
      <c r="H9" s="228"/>
      <c r="I9" s="202"/>
      <c r="J9" s="203"/>
      <c r="K9" s="204"/>
      <c r="L9" s="203"/>
      <c r="M9" s="204"/>
      <c r="N9" s="203"/>
      <c r="O9" s="204"/>
      <c r="P9" s="203"/>
      <c r="Q9" s="204"/>
      <c r="R9" s="202"/>
      <c r="S9" s="202"/>
      <c r="T9" s="203"/>
      <c r="U9" s="207"/>
      <c r="V9" s="208"/>
      <c r="W9" s="208"/>
      <c r="X9" s="208"/>
      <c r="Y9" s="208"/>
      <c r="Z9" s="209"/>
    </row>
    <row r="10">
      <c r="A10" s="219" t="s">
        <v>33</v>
      </c>
      <c r="B10" s="199"/>
      <c r="C10" s="199"/>
      <c r="D10" s="199"/>
      <c r="E10" s="199"/>
      <c r="F10" s="199"/>
      <c r="G10" s="227"/>
      <c r="H10" s="228"/>
      <c r="I10" s="202"/>
      <c r="J10" s="203"/>
      <c r="K10" s="204"/>
      <c r="L10" s="203"/>
      <c r="M10" s="204"/>
      <c r="N10" s="203"/>
      <c r="O10" s="204"/>
      <c r="P10" s="203"/>
      <c r="Q10" s="204"/>
      <c r="R10" s="202"/>
      <c r="S10" s="202"/>
      <c r="T10" s="203"/>
      <c r="U10" s="207"/>
      <c r="V10" s="222"/>
      <c r="W10" s="222"/>
      <c r="X10" s="222"/>
      <c r="Y10" s="222"/>
      <c r="Z10" s="209"/>
    </row>
    <row r="11">
      <c r="A11" s="219" t="s">
        <v>39</v>
      </c>
      <c r="B11" s="199"/>
      <c r="C11" s="199"/>
      <c r="D11" s="199"/>
      <c r="E11" s="199"/>
      <c r="F11" s="199"/>
      <c r="G11" s="227"/>
      <c r="H11" s="228"/>
      <c r="I11" s="202"/>
      <c r="J11" s="203"/>
      <c r="K11" s="204"/>
      <c r="L11" s="203"/>
      <c r="M11" s="204"/>
      <c r="N11" s="203"/>
      <c r="O11" s="204"/>
      <c r="P11" s="203"/>
      <c r="Q11" s="204"/>
      <c r="R11" s="202"/>
      <c r="S11" s="202"/>
      <c r="T11" s="203"/>
      <c r="U11" s="207"/>
      <c r="V11" s="222"/>
      <c r="W11" s="222"/>
      <c r="X11" s="222"/>
      <c r="Y11" s="222"/>
      <c r="Z11" s="209"/>
    </row>
    <row r="12">
      <c r="A12" s="219" t="s">
        <v>42</v>
      </c>
      <c r="B12" s="199"/>
      <c r="C12" s="199"/>
      <c r="D12" s="199"/>
      <c r="E12" s="199"/>
      <c r="F12" s="199"/>
      <c r="G12" s="227"/>
      <c r="H12" s="228"/>
      <c r="I12" s="202"/>
      <c r="J12" s="203"/>
      <c r="K12" s="204"/>
      <c r="L12" s="203"/>
      <c r="M12" s="204"/>
      <c r="N12" s="203"/>
      <c r="O12" s="204"/>
      <c r="P12" s="203"/>
      <c r="Q12" s="204"/>
      <c r="R12" s="202"/>
      <c r="S12" s="202"/>
      <c r="T12" s="203"/>
      <c r="U12" s="207"/>
      <c r="V12" s="222"/>
      <c r="W12" s="222"/>
      <c r="X12" s="222"/>
      <c r="Y12" s="222"/>
      <c r="Z12" s="209"/>
    </row>
    <row r="13">
      <c r="A13" s="132">
        <v>18.0</v>
      </c>
      <c r="B13" s="132" t="s">
        <v>54</v>
      </c>
      <c r="C13" s="132" t="s">
        <v>569</v>
      </c>
      <c r="D13" s="50" t="s">
        <v>1134</v>
      </c>
      <c r="E13" s="132"/>
      <c r="F13" s="132" t="s">
        <v>1262</v>
      </c>
      <c r="G13" s="230">
        <v>4500.0</v>
      </c>
      <c r="H13" s="231">
        <v>0.0</v>
      </c>
      <c r="I13" s="188">
        <f>round(3%*G13,0)</f>
        <v>135</v>
      </c>
      <c r="J13" s="212">
        <f>sum(L13+N13+P13+R13)</f>
        <v>700</v>
      </c>
      <c r="K13" s="190" t="s">
        <v>38</v>
      </c>
      <c r="L13" s="212">
        <v>700.0</v>
      </c>
      <c r="M13" s="190"/>
      <c r="N13" s="189"/>
      <c r="O13" s="191"/>
      <c r="P13" s="192"/>
      <c r="Q13" s="191"/>
      <c r="R13" s="188"/>
      <c r="S13" s="193">
        <v>0.0</v>
      </c>
      <c r="T13" s="214">
        <f>G13-H13-I13-J13-S13</f>
        <v>3665</v>
      </c>
      <c r="U13" s="216">
        <f>round(T13-V13-W13-X13-Y13-Z13,0)</f>
        <v>-335</v>
      </c>
      <c r="V13" s="217">
        <v>800.0</v>
      </c>
      <c r="W13" s="217">
        <v>800.0</v>
      </c>
      <c r="X13" s="217">
        <v>800.0</v>
      </c>
      <c r="Y13" s="217">
        <v>800.0</v>
      </c>
      <c r="Z13" s="218">
        <v>800.0</v>
      </c>
    </row>
    <row r="14">
      <c r="A14" s="219" t="s">
        <v>44</v>
      </c>
      <c r="B14" s="199"/>
      <c r="C14" s="199"/>
      <c r="D14" s="199"/>
      <c r="E14" s="199"/>
      <c r="F14" s="199"/>
      <c r="G14" s="227"/>
      <c r="H14" s="228"/>
      <c r="I14" s="202"/>
      <c r="J14" s="203"/>
      <c r="K14" s="204"/>
      <c r="L14" s="203"/>
      <c r="M14" s="204"/>
      <c r="N14" s="203"/>
      <c r="O14" s="204"/>
      <c r="P14" s="203"/>
      <c r="Q14" s="204"/>
      <c r="R14" s="202"/>
      <c r="S14" s="202"/>
      <c r="T14" s="203"/>
      <c r="U14" s="207"/>
      <c r="V14" s="222"/>
      <c r="W14" s="222"/>
      <c r="X14" s="222"/>
      <c r="Y14" s="222"/>
      <c r="Z14" s="209"/>
    </row>
    <row r="15">
      <c r="A15" s="229">
        <v>21.0</v>
      </c>
      <c r="B15" s="132" t="s">
        <v>54</v>
      </c>
      <c r="C15" s="132" t="s">
        <v>569</v>
      </c>
      <c r="D15" s="50" t="s">
        <v>1263</v>
      </c>
      <c r="E15" s="132"/>
      <c r="F15" s="50" t="s">
        <v>1264</v>
      </c>
      <c r="G15" s="230">
        <v>1500.0</v>
      </c>
      <c r="H15" s="231">
        <v>0.0</v>
      </c>
      <c r="I15" s="188">
        <f>round(3%*G15,0)</f>
        <v>45</v>
      </c>
      <c r="J15" s="212">
        <f>sum(L15+N15+P15+R15)</f>
        <v>500</v>
      </c>
      <c r="K15" s="190" t="s">
        <v>38</v>
      </c>
      <c r="L15" s="212">
        <v>500.0</v>
      </c>
      <c r="M15" s="191"/>
      <c r="N15" s="192"/>
      <c r="O15" s="191"/>
      <c r="P15" s="192"/>
      <c r="Q15" s="191"/>
      <c r="R15" s="188"/>
      <c r="S15" s="193">
        <v>0.0</v>
      </c>
      <c r="T15" s="214">
        <f>G15-H15-I15-J15-S15</f>
        <v>955</v>
      </c>
      <c r="U15" s="216">
        <f>round(T15-V15-W15-X15-Y15-Z15,0)</f>
        <v>955</v>
      </c>
      <c r="V15" s="217">
        <v>0.0</v>
      </c>
      <c r="W15" s="217">
        <v>0.0</v>
      </c>
      <c r="X15" s="217">
        <v>0.0</v>
      </c>
      <c r="Y15" s="217">
        <v>0.0</v>
      </c>
      <c r="Z15" s="218">
        <v>0.0</v>
      </c>
    </row>
    <row r="16">
      <c r="A16" s="219" t="s">
        <v>47</v>
      </c>
      <c r="B16" s="199"/>
      <c r="C16" s="199"/>
      <c r="D16" s="199"/>
      <c r="E16" s="199"/>
      <c r="F16" s="199"/>
      <c r="G16" s="227"/>
      <c r="H16" s="228"/>
      <c r="I16" s="202"/>
      <c r="J16" s="203"/>
      <c r="K16" s="204"/>
      <c r="L16" s="203"/>
      <c r="M16" s="204"/>
      <c r="N16" s="203"/>
      <c r="O16" s="204"/>
      <c r="P16" s="203"/>
      <c r="Q16" s="204"/>
      <c r="R16" s="202"/>
      <c r="S16" s="202"/>
      <c r="T16" s="203"/>
      <c r="U16" s="207"/>
      <c r="V16" s="222"/>
      <c r="W16" s="222"/>
      <c r="X16" s="222"/>
      <c r="Y16" s="222"/>
      <c r="Z16" s="209"/>
    </row>
    <row r="17">
      <c r="A17" s="132">
        <v>4.0</v>
      </c>
      <c r="B17" s="132" t="s">
        <v>54</v>
      </c>
      <c r="C17" s="132" t="s">
        <v>569</v>
      </c>
      <c r="D17" s="50" t="s">
        <v>1265</v>
      </c>
      <c r="E17" s="132"/>
      <c r="F17" s="132" t="s">
        <v>81</v>
      </c>
      <c r="G17" s="230">
        <v>4000.0</v>
      </c>
      <c r="H17" s="231">
        <v>0.0</v>
      </c>
      <c r="I17" s="188">
        <f t="shared" ref="I17:I18" si="11">round(3%*G17,0)</f>
        <v>120</v>
      </c>
      <c r="J17" s="189">
        <f t="shared" ref="J17:J20" si="12">sum(L17+N17+P17+R17)</f>
        <v>1000</v>
      </c>
      <c r="K17" s="190" t="s">
        <v>38</v>
      </c>
      <c r="L17" s="189">
        <v>700.0</v>
      </c>
      <c r="M17" s="190" t="s">
        <v>1266</v>
      </c>
      <c r="N17" s="212">
        <v>300.0</v>
      </c>
      <c r="O17" s="191"/>
      <c r="P17" s="192"/>
      <c r="Q17" s="191"/>
      <c r="R17" s="188"/>
      <c r="S17" s="188">
        <f t="shared" ref="S17:S18" si="13">round(20%*(G17-I17-J17),0)</f>
        <v>576</v>
      </c>
      <c r="T17" s="214">
        <f t="shared" ref="T17:T20" si="14">G17-H17-I17-J17-S17</f>
        <v>2304</v>
      </c>
      <c r="U17" s="216">
        <f t="shared" ref="U17:U20" si="15">round(T17-V17-W17-X17-Y17-Z17,0)</f>
        <v>-196</v>
      </c>
      <c r="V17" s="220">
        <f>round(T17/5,-2)</f>
        <v>500</v>
      </c>
      <c r="W17" s="220">
        <f>round(T17/5,-2)</f>
        <v>500</v>
      </c>
      <c r="X17" s="220">
        <f>round(T17/5,-2)</f>
        <v>500</v>
      </c>
      <c r="Y17" s="220">
        <f>round(T17/5,-2)</f>
        <v>500</v>
      </c>
      <c r="Z17" s="221">
        <f>round(T17/5,-2)</f>
        <v>500</v>
      </c>
    </row>
    <row r="18">
      <c r="A18" s="132">
        <v>4.0</v>
      </c>
      <c r="B18" s="132" t="s">
        <v>34</v>
      </c>
      <c r="C18" s="132" t="s">
        <v>35</v>
      </c>
      <c r="D18" s="50" t="s">
        <v>1267</v>
      </c>
      <c r="E18" s="132" t="s">
        <v>1268</v>
      </c>
      <c r="F18" s="132"/>
      <c r="G18" s="230">
        <v>11680.0</v>
      </c>
      <c r="H18" s="231">
        <v>1430.0</v>
      </c>
      <c r="I18" s="188">
        <f t="shared" si="11"/>
        <v>350</v>
      </c>
      <c r="J18" s="189">
        <f t="shared" si="12"/>
        <v>950</v>
      </c>
      <c r="K18" s="190" t="s">
        <v>38</v>
      </c>
      <c r="L18" s="189">
        <v>950.0</v>
      </c>
      <c r="M18" s="191"/>
      <c r="N18" s="192"/>
      <c r="O18" s="191"/>
      <c r="P18" s="192"/>
      <c r="Q18" s="191"/>
      <c r="R18" s="188"/>
      <c r="S18" s="188">
        <f t="shared" si="13"/>
        <v>2076</v>
      </c>
      <c r="T18" s="214">
        <f t="shared" si="14"/>
        <v>6874</v>
      </c>
      <c r="U18" s="216">
        <f t="shared" si="15"/>
        <v>-1</v>
      </c>
      <c r="V18" s="233">
        <f t="shared" ref="V18:V19" si="16">round(T18/5,0)</f>
        <v>1375</v>
      </c>
      <c r="W18" s="220">
        <f t="shared" ref="W18:W19" si="17">round(T18/5,0)</f>
        <v>1375</v>
      </c>
      <c r="X18" s="220">
        <f t="shared" ref="X18:X19" si="18">round(T18/5,0)</f>
        <v>1375</v>
      </c>
      <c r="Y18" s="220">
        <f t="shared" ref="Y18:Y19" si="19">round(T18/5,0)</f>
        <v>1375</v>
      </c>
      <c r="Z18" s="221">
        <f t="shared" ref="Z18:Z19" si="20">round(T18/5,0)</f>
        <v>1375</v>
      </c>
    </row>
    <row r="19">
      <c r="A19" s="132">
        <v>12.0</v>
      </c>
      <c r="B19" s="132" t="s">
        <v>34</v>
      </c>
      <c r="C19" s="132" t="s">
        <v>1269</v>
      </c>
      <c r="D19" s="50" t="s">
        <v>1270</v>
      </c>
      <c r="E19" s="132"/>
      <c r="G19" s="230">
        <v>12100.0</v>
      </c>
      <c r="H19" s="231">
        <v>0.0</v>
      </c>
      <c r="I19" s="193"/>
      <c r="J19" s="189">
        <f t="shared" si="12"/>
        <v>3102</v>
      </c>
      <c r="K19" s="190" t="s">
        <v>285</v>
      </c>
      <c r="L19" s="189">
        <v>1650.0</v>
      </c>
      <c r="M19" s="191"/>
      <c r="N19" s="192"/>
      <c r="O19" s="190"/>
      <c r="P19" s="189"/>
      <c r="Q19" s="190" t="s">
        <v>1271</v>
      </c>
      <c r="R19" s="212">
        <v>1452.0</v>
      </c>
      <c r="S19" s="193">
        <v>0.0</v>
      </c>
      <c r="T19" s="214">
        <f t="shared" si="14"/>
        <v>8998</v>
      </c>
      <c r="U19" s="216">
        <f t="shared" si="15"/>
        <v>-2</v>
      </c>
      <c r="V19" s="233">
        <f t="shared" si="16"/>
        <v>1800</v>
      </c>
      <c r="W19" s="220">
        <f t="shared" si="17"/>
        <v>1800</v>
      </c>
      <c r="X19" s="220">
        <f t="shared" si="18"/>
        <v>1800</v>
      </c>
      <c r="Y19" s="220">
        <f t="shared" si="19"/>
        <v>1800</v>
      </c>
      <c r="Z19" s="221">
        <f t="shared" si="20"/>
        <v>1800</v>
      </c>
    </row>
    <row r="20">
      <c r="A20" s="132">
        <v>19.0</v>
      </c>
      <c r="B20" s="132" t="s">
        <v>34</v>
      </c>
      <c r="C20" s="132" t="s">
        <v>35</v>
      </c>
      <c r="D20" s="50" t="s">
        <v>1099</v>
      </c>
      <c r="E20" s="132" t="s">
        <v>1272</v>
      </c>
      <c r="G20" s="230">
        <v>9470.0</v>
      </c>
      <c r="H20" s="231">
        <v>1420.0</v>
      </c>
      <c r="I20" s="188">
        <f>round(3%*G20,0)</f>
        <v>284</v>
      </c>
      <c r="J20" s="189">
        <f t="shared" si="12"/>
        <v>1400</v>
      </c>
      <c r="K20" s="190" t="s">
        <v>38</v>
      </c>
      <c r="L20" s="189">
        <v>950.0</v>
      </c>
      <c r="M20" s="190" t="s">
        <v>1273</v>
      </c>
      <c r="N20" s="212">
        <v>300.0</v>
      </c>
      <c r="O20" s="190" t="s">
        <v>1067</v>
      </c>
      <c r="P20" s="212">
        <v>150.0</v>
      </c>
      <c r="Q20" s="191"/>
      <c r="R20" s="188"/>
      <c r="S20" s="188">
        <f>round(20%*(G20-I20-J20),0)</f>
        <v>1557</v>
      </c>
      <c r="T20" s="214">
        <f t="shared" si="14"/>
        <v>4809</v>
      </c>
      <c r="U20" s="216">
        <f t="shared" si="15"/>
        <v>-191</v>
      </c>
      <c r="V20" s="220">
        <f>round(T20/5,-2)</f>
        <v>1000</v>
      </c>
      <c r="W20" s="220">
        <f>round(T20/5,-2)</f>
        <v>1000</v>
      </c>
      <c r="X20" s="220">
        <f>round(T20/5,-2)</f>
        <v>1000</v>
      </c>
      <c r="Y20" s="220">
        <f>round(T20/5,-2)</f>
        <v>1000</v>
      </c>
      <c r="Z20" s="221">
        <f>round(T20/5,-2)</f>
        <v>1000</v>
      </c>
    </row>
    <row r="21">
      <c r="A21" s="219" t="s">
        <v>50</v>
      </c>
      <c r="B21" s="199"/>
      <c r="C21" s="199"/>
      <c r="D21" s="199"/>
      <c r="E21" s="199"/>
      <c r="F21" s="199"/>
      <c r="G21" s="227"/>
      <c r="H21" s="228"/>
      <c r="I21" s="202"/>
      <c r="J21" s="203"/>
      <c r="K21" s="204"/>
      <c r="L21" s="203"/>
      <c r="M21" s="204"/>
      <c r="N21" s="203"/>
      <c r="O21" s="204"/>
      <c r="P21" s="203"/>
      <c r="Q21" s="204"/>
      <c r="R21" s="202"/>
      <c r="S21" s="202"/>
      <c r="T21" s="203"/>
      <c r="U21" s="207"/>
      <c r="V21" s="208"/>
      <c r="W21" s="208"/>
      <c r="X21" s="208"/>
      <c r="Y21" s="208"/>
      <c r="Z21" s="209"/>
    </row>
    <row r="22">
      <c r="A22" s="219" t="s">
        <v>97</v>
      </c>
      <c r="B22" s="199"/>
      <c r="C22" s="199"/>
      <c r="D22" s="199"/>
      <c r="E22" s="199"/>
      <c r="F22" s="199"/>
      <c r="G22" s="227"/>
      <c r="H22" s="228"/>
      <c r="I22" s="202"/>
      <c r="J22" s="203"/>
      <c r="K22" s="204"/>
      <c r="L22" s="203"/>
      <c r="M22" s="204"/>
      <c r="N22" s="203"/>
      <c r="O22" s="204"/>
      <c r="P22" s="203"/>
      <c r="Q22" s="204"/>
      <c r="R22" s="202"/>
      <c r="S22" s="202"/>
      <c r="T22" s="203"/>
      <c r="U22" s="207"/>
      <c r="V22" s="208"/>
      <c r="W22" s="208"/>
      <c r="X22" s="208"/>
      <c r="Y22" s="208"/>
      <c r="Z22" s="209"/>
    </row>
    <row r="23">
      <c r="A23" s="132">
        <v>29.0</v>
      </c>
      <c r="B23" s="132" t="s">
        <v>54</v>
      </c>
      <c r="C23" s="132" t="s">
        <v>569</v>
      </c>
      <c r="D23" s="50" t="s">
        <v>1274</v>
      </c>
      <c r="E23" s="132"/>
      <c r="F23" s="50" t="s">
        <v>1275</v>
      </c>
      <c r="G23" s="230">
        <v>4600.0</v>
      </c>
      <c r="H23" s="231">
        <v>0.0</v>
      </c>
      <c r="I23" s="188">
        <f>round(3%*G23,0)</f>
        <v>138</v>
      </c>
      <c r="J23" s="212">
        <f>sum(L23+N23+P23+R23)</f>
        <v>800</v>
      </c>
      <c r="K23" s="190" t="s">
        <v>38</v>
      </c>
      <c r="L23" s="212">
        <v>0.0</v>
      </c>
      <c r="M23" s="190" t="s">
        <v>1273</v>
      </c>
      <c r="N23" s="212">
        <v>300.0</v>
      </c>
      <c r="O23" s="190"/>
      <c r="P23" s="189"/>
      <c r="Q23" s="190" t="s">
        <v>1276</v>
      </c>
      <c r="R23" s="218">
        <v>500.0</v>
      </c>
      <c r="S23" s="193">
        <v>0.0</v>
      </c>
      <c r="T23" s="214">
        <f>G23-H23-I23-J23-S23</f>
        <v>3662</v>
      </c>
      <c r="U23" s="216">
        <f>round(T23-V23-W23-X23-Y23-Z23,0)</f>
        <v>162</v>
      </c>
      <c r="V23" s="220">
        <f>round(T23/5,-2)</f>
        <v>700</v>
      </c>
      <c r="W23" s="220">
        <f>round(T23/5,-2)</f>
        <v>700</v>
      </c>
      <c r="X23" s="220">
        <f>round(T23/5,-2)</f>
        <v>700</v>
      </c>
      <c r="Y23" s="220">
        <f>round(T23/5,-2)</f>
        <v>700</v>
      </c>
      <c r="Z23" s="221">
        <f>round(T23/5,-2)</f>
        <v>700</v>
      </c>
    </row>
    <row r="24">
      <c r="A24" s="219" t="s">
        <v>52</v>
      </c>
      <c r="B24" s="199"/>
      <c r="C24" s="199"/>
      <c r="D24" s="199"/>
      <c r="E24" s="199"/>
      <c r="F24" s="199"/>
      <c r="G24" s="227"/>
      <c r="H24" s="228"/>
      <c r="I24" s="202"/>
      <c r="J24" s="203"/>
      <c r="K24" s="204"/>
      <c r="L24" s="203"/>
      <c r="M24" s="204"/>
      <c r="N24" s="203"/>
      <c r="O24" s="204"/>
      <c r="P24" s="203"/>
      <c r="Q24" s="204"/>
      <c r="R24" s="202"/>
      <c r="S24" s="202"/>
      <c r="T24" s="203"/>
      <c r="U24" s="207"/>
      <c r="V24" s="208"/>
      <c r="W24" s="208"/>
      <c r="X24" s="208"/>
      <c r="Y24" s="208"/>
      <c r="Z24" s="209"/>
    </row>
    <row r="30">
      <c r="D30" s="240" t="s">
        <v>1147</v>
      </c>
      <c r="E30" s="170"/>
      <c r="F30" s="170"/>
      <c r="G30" s="170"/>
      <c r="H30" s="184"/>
      <c r="K30" s="165" t="s">
        <v>1148</v>
      </c>
      <c r="L30" s="57"/>
    </row>
    <row r="31">
      <c r="D31" s="241" t="s">
        <v>5</v>
      </c>
      <c r="E31" s="242" t="s">
        <v>1149</v>
      </c>
      <c r="F31" s="241" t="s">
        <v>5</v>
      </c>
      <c r="G31" s="243" t="s">
        <v>154</v>
      </c>
      <c r="H31" s="242" t="s">
        <v>204</v>
      </c>
      <c r="K31" s="60"/>
      <c r="L31" s="142"/>
    </row>
    <row r="32">
      <c r="D32" s="244" t="s">
        <v>1150</v>
      </c>
      <c r="E32" s="245">
        <f>countif(B:B,"Public")</f>
        <v>7</v>
      </c>
      <c r="F32" s="244" t="s">
        <v>1151</v>
      </c>
      <c r="G32" s="246">
        <f>sum(G1:G31)</f>
        <v>50850</v>
      </c>
      <c r="H32" s="247">
        <f t="shared" ref="H32:H42" si="21">round(G32/4.7,0)</f>
        <v>10819</v>
      </c>
      <c r="K32" s="248"/>
      <c r="L32" s="249" t="s">
        <v>1152</v>
      </c>
    </row>
    <row r="33">
      <c r="D33" s="244" t="s">
        <v>1153</v>
      </c>
      <c r="E33" s="245">
        <f>countif(B:B,"Privat")</f>
        <v>3</v>
      </c>
      <c r="F33" s="244" t="s">
        <v>1154</v>
      </c>
      <c r="G33" s="246">
        <f>sum(T:T)</f>
        <v>33547</v>
      </c>
      <c r="H33" s="247">
        <f t="shared" si="21"/>
        <v>7138</v>
      </c>
      <c r="K33" s="60"/>
      <c r="L33" s="173" t="s">
        <v>1155</v>
      </c>
    </row>
    <row r="34">
      <c r="D34" s="250" t="s">
        <v>1156</v>
      </c>
      <c r="E34" s="251">
        <f>COUNTIF(C:C,"Corporate")</f>
        <v>0</v>
      </c>
      <c r="F34" s="250" t="s">
        <v>1157</v>
      </c>
      <c r="G34" s="252">
        <f>sum(V:V)</f>
        <v>6675</v>
      </c>
      <c r="H34" s="59">
        <f t="shared" si="21"/>
        <v>1420</v>
      </c>
    </row>
    <row r="35">
      <c r="D35" s="250" t="s">
        <v>1158</v>
      </c>
      <c r="E35" s="251">
        <f>countif(C:C,"Nunta") + COUNTIF(C:C,"Botez") + countif(C:C,"Aniversare")</f>
        <v>2</v>
      </c>
      <c r="F35" s="250" t="s">
        <v>1159</v>
      </c>
      <c r="G35" s="252">
        <f>sum(U:U)</f>
        <v>172</v>
      </c>
      <c r="H35" s="59">
        <f t="shared" si="21"/>
        <v>37</v>
      </c>
    </row>
    <row r="36">
      <c r="D36" s="250" t="s">
        <v>1160</v>
      </c>
      <c r="E36" s="251">
        <f>countif(C:C,"Absolvire")</f>
        <v>0</v>
      </c>
      <c r="F36" s="244" t="s">
        <v>1161</v>
      </c>
      <c r="G36" s="246">
        <f>round(sum(S:S),0)</f>
        <v>4209</v>
      </c>
      <c r="H36" s="247">
        <f t="shared" si="21"/>
        <v>896</v>
      </c>
    </row>
    <row r="37">
      <c r="D37" s="244" t="s">
        <v>1162</v>
      </c>
      <c r="E37" s="253">
        <f>E32+E33</f>
        <v>10</v>
      </c>
      <c r="F37" s="244" t="s">
        <v>1163</v>
      </c>
      <c r="G37" s="246">
        <f>round(3%*G32,0)</f>
        <v>1526</v>
      </c>
      <c r="H37" s="247">
        <f t="shared" si="21"/>
        <v>325</v>
      </c>
    </row>
    <row r="38">
      <c r="D38" s="254"/>
      <c r="E38" s="59"/>
      <c r="F38" s="244" t="s">
        <v>1164</v>
      </c>
      <c r="G38" s="246">
        <f>sum(J:J)</f>
        <v>9172</v>
      </c>
      <c r="H38" s="247">
        <f t="shared" si="21"/>
        <v>1951</v>
      </c>
    </row>
    <row r="39">
      <c r="D39" s="254"/>
      <c r="E39" s="59"/>
      <c r="F39" s="250" t="s">
        <v>1165</v>
      </c>
      <c r="G39" s="252">
        <f>sum(L:L)</f>
        <v>5950</v>
      </c>
      <c r="H39" s="59">
        <f t="shared" si="21"/>
        <v>1266</v>
      </c>
    </row>
    <row r="40">
      <c r="D40" s="254"/>
      <c r="E40" s="59"/>
      <c r="F40" s="250" t="s">
        <v>1166</v>
      </c>
      <c r="G40" s="252">
        <f>sum(N:N)</f>
        <v>900</v>
      </c>
      <c r="H40" s="59">
        <f t="shared" si="21"/>
        <v>191</v>
      </c>
    </row>
    <row r="41">
      <c r="D41" s="254"/>
      <c r="E41" s="59"/>
      <c r="F41" s="250" t="s">
        <v>1167</v>
      </c>
      <c r="G41" s="252">
        <f>sum(P:P)</f>
        <v>370</v>
      </c>
      <c r="H41" s="59">
        <f t="shared" si="21"/>
        <v>79</v>
      </c>
    </row>
    <row r="42">
      <c r="D42" s="60"/>
      <c r="E42" s="142"/>
      <c r="F42" s="255" t="s">
        <v>1168</v>
      </c>
      <c r="G42" s="256">
        <f>sum(R:R)</f>
        <v>1952</v>
      </c>
      <c r="H42" s="142">
        <f t="shared" si="21"/>
        <v>415</v>
      </c>
    </row>
    <row r="43">
      <c r="D43" s="240" t="s">
        <v>1169</v>
      </c>
      <c r="E43" s="170"/>
      <c r="F43" s="170"/>
      <c r="G43" s="170"/>
      <c r="H43" s="184"/>
    </row>
    <row r="44">
      <c r="F44" s="240" t="s">
        <v>1170</v>
      </c>
      <c r="G44" s="170"/>
      <c r="H44" s="184"/>
    </row>
    <row r="45">
      <c r="F45" s="58" t="s">
        <v>5</v>
      </c>
      <c r="G45" s="50" t="s">
        <v>154</v>
      </c>
      <c r="H45" s="257" t="s">
        <v>204</v>
      </c>
    </row>
    <row r="46">
      <c r="F46" s="244" t="s">
        <v>1171</v>
      </c>
      <c r="G46">
        <f>G33-G47</f>
        <v>21864</v>
      </c>
      <c r="H46" s="59">
        <f t="shared" ref="H46:H49" si="22">round(G46/4.7,0)</f>
        <v>4652</v>
      </c>
    </row>
    <row r="47">
      <c r="F47" s="244" t="s">
        <v>1172</v>
      </c>
      <c r="G47">
        <f>G48+G49</f>
        <v>11683</v>
      </c>
      <c r="H47" s="59">
        <f t="shared" si="22"/>
        <v>2486</v>
      </c>
    </row>
    <row r="48">
      <c r="F48" s="250" t="s">
        <v>1173</v>
      </c>
      <c r="G48">
        <f>SUMIF(C:C,"Corporate",G:G)</f>
        <v>0</v>
      </c>
      <c r="H48" s="59">
        <f t="shared" si="22"/>
        <v>0</v>
      </c>
    </row>
    <row r="49">
      <c r="F49" s="255" t="s">
        <v>1174</v>
      </c>
      <c r="G49" s="141">
        <f>SUMIF(C:C,"Nunta",T:T)+SUMIF(C:C,"Botez",T:T)+SUMIF(C:C,"Aniversare",T:T)</f>
        <v>11683</v>
      </c>
      <c r="H49" s="142">
        <f t="shared" si="22"/>
        <v>2486</v>
      </c>
    </row>
    <row r="50">
      <c r="F50" s="240" t="s">
        <v>1175</v>
      </c>
      <c r="G50" s="170"/>
      <c r="H50" s="184"/>
    </row>
    <row r="51">
      <c r="F51" s="244" t="s">
        <v>1171</v>
      </c>
      <c r="G51">
        <f>round(G46/5,0)</f>
        <v>4373</v>
      </c>
      <c r="H51" s="59">
        <f t="shared" ref="H51:H54" si="23">round(G51/4.7,0)</f>
        <v>930</v>
      </c>
    </row>
    <row r="52">
      <c r="E52" s="258"/>
      <c r="F52" s="244" t="s">
        <v>1172</v>
      </c>
      <c r="G52">
        <f>SUMIF(B:B,"Privat",Z:Z)</f>
        <v>4175</v>
      </c>
      <c r="H52" s="59">
        <f t="shared" si="23"/>
        <v>888</v>
      </c>
    </row>
    <row r="53">
      <c r="E53" s="252"/>
      <c r="F53" s="250" t="s">
        <v>1173</v>
      </c>
      <c r="G53">
        <f>sumif(B:B,"Corporate",Z:Z)</f>
        <v>0</v>
      </c>
      <c r="H53" s="59">
        <f t="shared" si="23"/>
        <v>0</v>
      </c>
    </row>
    <row r="54">
      <c r="E54" s="258"/>
      <c r="F54" s="255" t="s">
        <v>1174</v>
      </c>
      <c r="G54" s="141">
        <f>SUMIF(C:C,"Nunta",Z:Z)+SUMIF(C:C,"Botez",Z:Z)+SUMIF(C:C,"Aniversare",Z:Z)</f>
        <v>2375</v>
      </c>
      <c r="H54" s="142">
        <f t="shared" si="23"/>
        <v>505</v>
      </c>
    </row>
  </sheetData>
  <mergeCells count="15">
    <mergeCell ref="G1:H1"/>
    <mergeCell ref="J1:R1"/>
    <mergeCell ref="T1:Z1"/>
    <mergeCell ref="D30:H30"/>
    <mergeCell ref="K30:L31"/>
    <mergeCell ref="D43:H43"/>
    <mergeCell ref="F44:H44"/>
    <mergeCell ref="F50:H50"/>
    <mergeCell ref="A1:A2"/>
    <mergeCell ref="B1:B2"/>
    <mergeCell ref="C1:C2"/>
    <mergeCell ref="D1:D2"/>
    <mergeCell ref="E1:E2"/>
    <mergeCell ref="F1:F2"/>
    <mergeCell ref="I1:I2"/>
  </mergeCells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0.25"/>
    <col customWidth="1" min="4" max="5" width="12.63"/>
    <col customWidth="1" min="6" max="6" width="52.63"/>
    <col customWidth="1" min="7" max="10" width="12.63"/>
  </cols>
  <sheetData>
    <row r="1" ht="15.75" customHeight="1">
      <c r="A1" s="259" t="s">
        <v>863</v>
      </c>
      <c r="B1" s="138"/>
      <c r="C1" s="57"/>
      <c r="D1" s="259" t="s">
        <v>0</v>
      </c>
      <c r="E1" s="138"/>
      <c r="F1" s="57"/>
      <c r="G1" s="125"/>
      <c r="H1" s="125"/>
      <c r="I1" s="125"/>
    </row>
    <row r="2" ht="15.75" customHeight="1">
      <c r="A2" s="60"/>
      <c r="B2" s="141"/>
      <c r="C2" s="142"/>
      <c r="D2" s="60"/>
      <c r="E2" s="141"/>
      <c r="F2" s="142"/>
      <c r="G2" s="125"/>
      <c r="H2" s="125"/>
      <c r="I2" s="125"/>
    </row>
    <row r="3" ht="15.75" customHeight="1">
      <c r="A3" s="260" t="s">
        <v>154</v>
      </c>
      <c r="B3" s="260" t="s">
        <v>1</v>
      </c>
      <c r="C3" s="260" t="s">
        <v>5</v>
      </c>
      <c r="D3" s="260" t="s">
        <v>154</v>
      </c>
      <c r="E3" s="260" t="s">
        <v>1</v>
      </c>
      <c r="F3" s="260" t="s">
        <v>5</v>
      </c>
      <c r="G3" s="125"/>
      <c r="H3" s="125"/>
      <c r="I3" s="125"/>
    </row>
    <row r="4" ht="15.75" customHeight="1">
      <c r="A4" s="129">
        <v>20412.0</v>
      </c>
      <c r="B4" s="123" t="s">
        <v>1277</v>
      </c>
      <c r="C4" s="123" t="s">
        <v>1278</v>
      </c>
      <c r="D4" s="129">
        <v>220.0</v>
      </c>
      <c r="E4" s="50" t="s">
        <v>1279</v>
      </c>
      <c r="F4" s="50" t="s">
        <v>1280</v>
      </c>
      <c r="G4" s="125"/>
      <c r="H4" s="125" t="s">
        <v>867</v>
      </c>
      <c r="I4" s="126">
        <f>sum(D:D)</f>
        <v>10932</v>
      </c>
    </row>
    <row r="5" ht="15.75" customHeight="1">
      <c r="A5" s="261">
        <v>50.0</v>
      </c>
      <c r="B5" s="123" t="s">
        <v>1281</v>
      </c>
      <c r="C5" s="123" t="s">
        <v>1282</v>
      </c>
      <c r="D5" s="129">
        <v>1500.0</v>
      </c>
      <c r="F5" s="50" t="s">
        <v>1283</v>
      </c>
      <c r="G5" s="125"/>
      <c r="H5" s="125" t="s">
        <v>871</v>
      </c>
      <c r="I5" s="126">
        <f>sum(A:A)</f>
        <v>21912</v>
      </c>
    </row>
    <row r="6" ht="15.75" customHeight="1">
      <c r="A6" s="261">
        <v>1450.0</v>
      </c>
      <c r="B6" s="123"/>
      <c r="C6" s="123" t="s">
        <v>1284</v>
      </c>
      <c r="D6" s="129">
        <v>5100.0</v>
      </c>
      <c r="E6" s="130"/>
      <c r="F6" s="50" t="s">
        <v>1285</v>
      </c>
      <c r="G6" s="125"/>
      <c r="H6" s="125"/>
      <c r="I6" s="125"/>
    </row>
    <row r="7" ht="15.75" customHeight="1">
      <c r="A7" s="261"/>
      <c r="D7" s="129">
        <v>50.0</v>
      </c>
      <c r="E7" s="130"/>
      <c r="F7" s="50" t="s">
        <v>1286</v>
      </c>
      <c r="G7" s="125"/>
      <c r="H7" s="125" t="s">
        <v>877</v>
      </c>
      <c r="I7" s="126">
        <f>I5-I4</f>
        <v>10980</v>
      </c>
    </row>
    <row r="8" ht="15.75" customHeight="1">
      <c r="D8" s="129">
        <v>2922.0</v>
      </c>
      <c r="E8" s="130"/>
      <c r="F8" s="50" t="s">
        <v>1287</v>
      </c>
      <c r="G8" s="125"/>
      <c r="I8" s="125"/>
      <c r="J8" s="125"/>
    </row>
    <row r="9" ht="15.75" customHeight="1">
      <c r="A9" s="261"/>
      <c r="B9" s="123"/>
      <c r="C9" s="123"/>
      <c r="D9" s="129">
        <v>1140.0</v>
      </c>
      <c r="E9" s="130"/>
      <c r="F9" s="50" t="s">
        <v>1288</v>
      </c>
      <c r="G9" s="125"/>
    </row>
    <row r="10" ht="15.75" customHeight="1">
      <c r="A10" s="261"/>
      <c r="B10" s="123"/>
      <c r="C10" s="123"/>
      <c r="D10" s="264"/>
      <c r="E10" s="263"/>
      <c r="G10" s="125"/>
      <c r="I10" s="125"/>
      <c r="J10" s="126"/>
    </row>
    <row r="11" ht="15.75" customHeight="1">
      <c r="A11" s="261"/>
      <c r="C11" s="123"/>
      <c r="D11" s="261"/>
      <c r="E11" s="263"/>
      <c r="G11" s="125"/>
      <c r="H11" s="125"/>
      <c r="I11" s="125"/>
    </row>
    <row r="12" ht="15.75" customHeight="1">
      <c r="A12" s="261"/>
      <c r="B12" s="123"/>
      <c r="C12" s="123"/>
      <c r="D12" s="261"/>
      <c r="E12" s="263"/>
      <c r="F12" s="123"/>
      <c r="G12" s="125"/>
      <c r="H12" s="125"/>
      <c r="I12" s="125"/>
    </row>
    <row r="13" ht="15.75" customHeight="1">
      <c r="A13" s="261"/>
      <c r="B13" s="123"/>
      <c r="C13" s="123"/>
      <c r="D13" s="261"/>
      <c r="E13" s="263"/>
      <c r="F13" s="123"/>
      <c r="G13" s="125"/>
      <c r="H13" s="125"/>
      <c r="I13" s="125"/>
    </row>
    <row r="14" ht="15.75" customHeight="1">
      <c r="A14" s="261"/>
      <c r="B14" s="123"/>
      <c r="C14" s="123"/>
      <c r="D14" s="261"/>
      <c r="E14" s="263"/>
      <c r="F14" s="123"/>
      <c r="G14" s="125"/>
      <c r="H14" s="125"/>
      <c r="I14" s="125"/>
    </row>
    <row r="15" ht="15.75" customHeight="1">
      <c r="A15" s="264"/>
      <c r="B15" s="123"/>
      <c r="C15" s="123"/>
      <c r="D15" s="261"/>
      <c r="E15" s="263"/>
      <c r="F15" s="123"/>
      <c r="G15" s="125"/>
      <c r="H15" s="125"/>
      <c r="I15" s="125"/>
    </row>
    <row r="16" ht="15.75" customHeight="1">
      <c r="A16" s="264"/>
      <c r="B16" s="123"/>
      <c r="C16" s="123"/>
      <c r="D16" s="261"/>
      <c r="E16" s="263"/>
      <c r="F16" s="123"/>
      <c r="G16" s="125"/>
      <c r="H16" s="125"/>
      <c r="I16" s="125"/>
    </row>
    <row r="17" ht="15.75" customHeight="1">
      <c r="A17" s="261"/>
      <c r="D17" s="261"/>
      <c r="E17" s="263"/>
      <c r="F17" s="123"/>
      <c r="G17" s="125"/>
      <c r="H17" s="125"/>
      <c r="I17" s="125"/>
    </row>
    <row r="18" ht="15.75" customHeight="1">
      <c r="A18" s="261"/>
      <c r="B18" s="123"/>
      <c r="C18" s="123"/>
      <c r="D18" s="261"/>
      <c r="E18" s="263"/>
      <c r="F18" s="123"/>
      <c r="G18" s="125"/>
      <c r="H18" s="125"/>
      <c r="I18" s="125"/>
    </row>
    <row r="19" ht="15.75" customHeight="1">
      <c r="A19" s="261"/>
      <c r="B19" s="123"/>
      <c r="C19" s="123"/>
      <c r="D19" s="261"/>
      <c r="E19" s="263"/>
      <c r="F19" s="123"/>
      <c r="G19" s="125"/>
      <c r="H19" s="125"/>
      <c r="I19" s="125"/>
    </row>
    <row r="20" ht="15.75" customHeight="1">
      <c r="A20" s="261"/>
      <c r="B20" s="123"/>
      <c r="C20" s="123"/>
      <c r="D20" s="261"/>
      <c r="E20" s="263"/>
      <c r="F20" s="123"/>
      <c r="G20" s="125"/>
      <c r="H20" s="125"/>
      <c r="I20" s="125"/>
    </row>
    <row r="21" ht="15.75" customHeight="1">
      <c r="A21" s="261"/>
      <c r="B21" s="123"/>
      <c r="C21" s="123"/>
      <c r="D21" s="261"/>
      <c r="E21" s="263"/>
      <c r="F21" s="123"/>
      <c r="G21" s="125"/>
      <c r="H21" s="125"/>
      <c r="I21" s="125"/>
    </row>
    <row r="22" ht="15.75" customHeight="1">
      <c r="A22" s="261"/>
      <c r="B22" s="123"/>
      <c r="C22" s="123"/>
      <c r="D22" s="261"/>
      <c r="E22" s="263"/>
      <c r="F22" s="123"/>
      <c r="G22" s="125"/>
      <c r="H22" s="125"/>
      <c r="I22" s="125"/>
    </row>
    <row r="23" ht="15.75" customHeight="1">
      <c r="A23" s="261"/>
      <c r="B23" s="123"/>
      <c r="C23" s="123"/>
      <c r="D23" s="261"/>
      <c r="E23" s="263"/>
      <c r="F23" s="123"/>
      <c r="G23" s="125"/>
      <c r="H23" s="125"/>
      <c r="I23" s="125"/>
    </row>
    <row r="24" ht="15.75" customHeight="1">
      <c r="A24" s="261"/>
      <c r="B24" s="125"/>
      <c r="C24" s="123"/>
      <c r="D24" s="261"/>
      <c r="E24" s="130"/>
      <c r="F24" s="123"/>
      <c r="G24" s="125"/>
      <c r="H24" s="125"/>
      <c r="I24" s="125"/>
    </row>
    <row r="25" ht="15.75" customHeight="1">
      <c r="A25" s="261"/>
      <c r="B25" s="125"/>
      <c r="C25" s="123"/>
      <c r="D25" s="261"/>
      <c r="E25" s="263"/>
      <c r="F25" s="123"/>
      <c r="G25" s="125"/>
      <c r="H25" s="125"/>
      <c r="I25" s="125"/>
    </row>
    <row r="26" ht="15.75" customHeight="1">
      <c r="A26" s="261"/>
      <c r="B26" s="125"/>
      <c r="C26" s="123"/>
      <c r="D26" s="264"/>
      <c r="E26" s="263"/>
      <c r="F26" s="123"/>
      <c r="G26" s="125"/>
      <c r="H26" s="125"/>
      <c r="I26" s="125"/>
    </row>
    <row r="27" ht="15.75" customHeight="1">
      <c r="A27" s="261"/>
      <c r="B27" s="125"/>
      <c r="C27" s="123"/>
      <c r="D27" s="261"/>
      <c r="E27" s="263"/>
      <c r="F27" s="123"/>
      <c r="G27" s="125"/>
      <c r="H27" s="125"/>
      <c r="I27" s="125"/>
    </row>
    <row r="28" ht="15.75" customHeight="1">
      <c r="A28" s="261"/>
      <c r="B28" s="125"/>
      <c r="C28" s="123"/>
      <c r="D28" s="261"/>
      <c r="E28" s="263"/>
      <c r="F28" s="123"/>
      <c r="G28" s="125"/>
      <c r="H28" s="125"/>
      <c r="I28" s="125"/>
    </row>
    <row r="29" ht="15.75" customHeight="1">
      <c r="A29" s="261"/>
      <c r="B29" s="125"/>
      <c r="C29" s="123"/>
      <c r="D29" s="261"/>
      <c r="E29" s="263"/>
      <c r="F29" s="123"/>
      <c r="G29" s="125"/>
      <c r="H29" s="125"/>
      <c r="I29" s="125"/>
    </row>
    <row r="30" ht="15.75" customHeight="1">
      <c r="A30" s="261"/>
      <c r="B30" s="125"/>
      <c r="C30" s="123"/>
      <c r="D30" s="261"/>
      <c r="E30" s="264"/>
      <c r="F30" s="123"/>
      <c r="G30" s="125"/>
      <c r="H30" s="125"/>
      <c r="I30" s="125"/>
    </row>
    <row r="31" ht="15.75" customHeight="1">
      <c r="A31" s="261"/>
      <c r="B31" s="125"/>
      <c r="C31" s="123"/>
      <c r="D31" s="261"/>
      <c r="E31" s="263"/>
      <c r="F31" s="123"/>
      <c r="G31" s="125"/>
      <c r="H31" s="125"/>
      <c r="I31" s="125"/>
    </row>
    <row r="32" ht="15.75" customHeight="1">
      <c r="A32" s="265"/>
      <c r="B32" s="125"/>
      <c r="C32" s="125"/>
      <c r="D32" s="261"/>
      <c r="E32" s="263"/>
      <c r="F32" s="123"/>
      <c r="G32" s="125"/>
      <c r="H32" s="125"/>
      <c r="I32" s="125"/>
    </row>
    <row r="33" ht="15.75" customHeight="1">
      <c r="A33" s="125"/>
      <c r="B33" s="125"/>
      <c r="C33" s="125"/>
      <c r="D33" s="261"/>
      <c r="E33" s="263"/>
      <c r="F33" s="123"/>
      <c r="G33" s="125"/>
      <c r="H33" s="125"/>
      <c r="I33" s="125"/>
    </row>
    <row r="34" ht="15.75" customHeight="1">
      <c r="A34" s="125"/>
      <c r="B34" s="125"/>
      <c r="C34" s="125"/>
      <c r="D34" s="261"/>
      <c r="E34" s="263"/>
      <c r="F34" s="123"/>
      <c r="G34" s="125"/>
      <c r="H34" s="125"/>
      <c r="I34" s="125"/>
    </row>
    <row r="35" ht="15.75" customHeight="1">
      <c r="A35" s="125"/>
      <c r="B35" s="125"/>
      <c r="C35" s="125"/>
      <c r="D35" s="261"/>
      <c r="E35" s="263"/>
      <c r="F35" s="123"/>
      <c r="G35" s="125"/>
      <c r="H35" s="125"/>
      <c r="I35" s="125"/>
    </row>
    <row r="36" ht="15.75" customHeight="1">
      <c r="A36" s="125"/>
      <c r="B36" s="125"/>
      <c r="C36" s="125"/>
      <c r="D36" s="261"/>
      <c r="E36" s="263"/>
      <c r="F36" s="123"/>
      <c r="G36" s="125"/>
      <c r="H36" s="125"/>
      <c r="I36" s="125"/>
    </row>
    <row r="37" ht="15.75" customHeight="1">
      <c r="A37" s="261"/>
      <c r="B37" s="123"/>
      <c r="C37" s="123"/>
      <c r="D37" s="129"/>
      <c r="E37" s="130"/>
    </row>
    <row r="38" ht="15.75" customHeight="1">
      <c r="D38" s="129"/>
      <c r="E38" s="130"/>
      <c r="F38" s="123"/>
    </row>
    <row r="39" ht="15.75" customHeight="1">
      <c r="D39" s="261"/>
      <c r="E39" s="130"/>
      <c r="F39" s="123"/>
    </row>
    <row r="40" ht="15.75" customHeight="1">
      <c r="D40" s="261"/>
      <c r="E40" s="130"/>
      <c r="F40" s="123"/>
    </row>
    <row r="41" ht="15.75" customHeight="1">
      <c r="D41" s="129"/>
      <c r="E41" s="130"/>
    </row>
    <row r="42" ht="15.75" customHeight="1">
      <c r="D42" s="129"/>
      <c r="E42" s="130"/>
    </row>
    <row r="43" ht="15.75" customHeight="1">
      <c r="D43" s="129"/>
      <c r="E43" s="130"/>
    </row>
    <row r="44" ht="15.75" customHeight="1">
      <c r="D44" s="129"/>
      <c r="E44" s="130"/>
    </row>
    <row r="45" ht="15.75" customHeight="1">
      <c r="D45" s="129"/>
      <c r="E45" s="130"/>
    </row>
    <row r="46" ht="15.75" customHeight="1">
      <c r="D46" s="129"/>
      <c r="E46" s="130"/>
    </row>
    <row r="47" ht="15.75" customHeight="1">
      <c r="E47" s="130"/>
    </row>
    <row r="48" ht="15.75" customHeight="1">
      <c r="E48" s="130"/>
    </row>
    <row r="49" ht="15.75" customHeight="1">
      <c r="E49" s="130"/>
    </row>
    <row r="50" ht="15.75" customHeight="1">
      <c r="D50" s="129"/>
      <c r="E50" s="130"/>
    </row>
    <row r="51" ht="15.75" customHeight="1">
      <c r="E51" s="130"/>
    </row>
    <row r="52" ht="15.75" customHeight="1">
      <c r="E52" s="130"/>
    </row>
    <row r="53" ht="15.75" customHeight="1">
      <c r="E53" s="130"/>
    </row>
    <row r="54" ht="15.75" customHeight="1">
      <c r="E54" s="130"/>
    </row>
    <row r="55" ht="15.75" customHeight="1">
      <c r="E55" s="130"/>
    </row>
    <row r="56" ht="15.75" customHeight="1">
      <c r="E56" s="130"/>
    </row>
    <row r="57" ht="15.75" customHeight="1">
      <c r="E57" s="130"/>
    </row>
    <row r="58" ht="15.75" customHeight="1">
      <c r="E58" s="130"/>
    </row>
    <row r="59" ht="15.75" customHeight="1">
      <c r="E59" s="130"/>
    </row>
    <row r="60" ht="15.75" customHeight="1">
      <c r="E60" s="130"/>
    </row>
    <row r="61" ht="15.75" customHeight="1">
      <c r="E61" s="130"/>
    </row>
    <row r="62" ht="15.75" customHeight="1">
      <c r="E62" s="130"/>
    </row>
    <row r="63" ht="15.75" customHeight="1">
      <c r="E63" s="130"/>
    </row>
    <row r="64" ht="15.75" customHeight="1">
      <c r="E64" s="130"/>
    </row>
    <row r="65" ht="15.75" customHeight="1">
      <c r="E65" s="130"/>
    </row>
    <row r="66" ht="15.75" customHeight="1">
      <c r="E66" s="130"/>
    </row>
    <row r="67" ht="15.75" customHeight="1">
      <c r="E67" s="130"/>
    </row>
    <row r="68" ht="15.75" customHeight="1">
      <c r="E68" s="130"/>
    </row>
    <row r="69" ht="15.75" customHeight="1">
      <c r="E69" s="130"/>
    </row>
    <row r="70" ht="15.75" customHeight="1">
      <c r="E70" s="130"/>
    </row>
    <row r="71" ht="15.75" customHeight="1">
      <c r="E71" s="130"/>
    </row>
    <row r="72" ht="15.75" customHeight="1">
      <c r="E72" s="130"/>
    </row>
    <row r="73" ht="15.75" customHeight="1">
      <c r="E73" s="130"/>
    </row>
    <row r="74" ht="15.75" customHeight="1">
      <c r="E74" s="130"/>
    </row>
    <row r="75" ht="15.75" customHeight="1">
      <c r="E75" s="130"/>
    </row>
    <row r="76" ht="15.75" customHeight="1">
      <c r="E76" s="130"/>
    </row>
    <row r="77" ht="15.75" customHeight="1">
      <c r="E77" s="130"/>
    </row>
    <row r="78" ht="15.75" customHeight="1">
      <c r="E78" s="130"/>
    </row>
    <row r="79" ht="15.75" customHeight="1">
      <c r="E79" s="130"/>
    </row>
    <row r="80" ht="15.75" customHeight="1">
      <c r="E80" s="130"/>
    </row>
    <row r="81" ht="15.75" customHeight="1">
      <c r="E81" s="130"/>
    </row>
    <row r="82" ht="15.75" customHeight="1">
      <c r="E82" s="130"/>
    </row>
    <row r="83" ht="15.75" customHeight="1">
      <c r="E83" s="130"/>
    </row>
    <row r="84" ht="15.75" customHeight="1">
      <c r="E84" s="130"/>
    </row>
    <row r="85" ht="15.75" customHeight="1">
      <c r="E85" s="130"/>
    </row>
    <row r="86" ht="15.75" customHeight="1">
      <c r="E86" s="130"/>
    </row>
    <row r="87" ht="15.75" customHeight="1">
      <c r="E87" s="130"/>
    </row>
    <row r="88" ht="15.75" customHeight="1">
      <c r="E88" s="130"/>
    </row>
    <row r="89" ht="15.75" customHeight="1">
      <c r="E89" s="130"/>
    </row>
    <row r="90" ht="15.75" customHeight="1">
      <c r="E90" s="130"/>
    </row>
    <row r="91" ht="15.75" customHeight="1">
      <c r="E91" s="130"/>
    </row>
    <row r="92" ht="15.75" customHeight="1">
      <c r="E92" s="130"/>
    </row>
    <row r="93" ht="15.75" customHeight="1">
      <c r="E93" s="130"/>
    </row>
    <row r="94" ht="15.75" customHeight="1">
      <c r="E94" s="130"/>
    </row>
    <row r="95" ht="15.75" customHeight="1">
      <c r="E95" s="130"/>
    </row>
    <row r="96" ht="15.75" customHeight="1">
      <c r="E96" s="130"/>
    </row>
    <row r="97" ht="15.75" customHeight="1">
      <c r="E97" s="130"/>
    </row>
    <row r="98" ht="15.75" customHeight="1">
      <c r="E98" s="130"/>
    </row>
    <row r="99" ht="15.75" customHeight="1">
      <c r="E99" s="130"/>
    </row>
    <row r="100" ht="15.75" customHeight="1">
      <c r="E100" s="130"/>
    </row>
    <row r="101" ht="15.75" customHeight="1">
      <c r="E101" s="130"/>
    </row>
    <row r="102" ht="15.75" customHeight="1">
      <c r="E102" s="130"/>
    </row>
    <row r="103" ht="15.75" customHeight="1">
      <c r="E103" s="130"/>
    </row>
    <row r="104" ht="15.75" customHeight="1">
      <c r="E104" s="130"/>
    </row>
    <row r="105" ht="15.75" customHeight="1">
      <c r="E105" s="130"/>
    </row>
    <row r="106" ht="15.75" customHeight="1">
      <c r="E106" s="130"/>
    </row>
    <row r="107" ht="15.75" customHeight="1">
      <c r="E107" s="130"/>
    </row>
    <row r="108" ht="15.75" customHeight="1">
      <c r="E108" s="130"/>
    </row>
    <row r="109" ht="15.75" customHeight="1">
      <c r="E109" s="130"/>
    </row>
    <row r="110" ht="15.75" customHeight="1">
      <c r="E110" s="130"/>
    </row>
    <row r="111" ht="15.75" customHeight="1">
      <c r="E111" s="130"/>
    </row>
    <row r="112" ht="15.75" customHeight="1">
      <c r="E112" s="130"/>
    </row>
    <row r="113" ht="15.75" customHeight="1">
      <c r="E113" s="130"/>
    </row>
    <row r="114" ht="15.75" customHeight="1">
      <c r="E114" s="130"/>
    </row>
    <row r="115" ht="15.75" customHeight="1">
      <c r="E115" s="130"/>
    </row>
    <row r="116" ht="15.75" customHeight="1">
      <c r="E116" s="130"/>
    </row>
    <row r="117" ht="15.75" customHeight="1">
      <c r="E117" s="130"/>
    </row>
    <row r="118" ht="15.75" customHeight="1">
      <c r="E118" s="130"/>
    </row>
    <row r="119" ht="15.75" customHeight="1">
      <c r="E119" s="130"/>
    </row>
    <row r="120" ht="15.75" customHeight="1">
      <c r="E120" s="130"/>
    </row>
    <row r="121" ht="15.75" customHeight="1">
      <c r="E121" s="130"/>
    </row>
    <row r="122" ht="15.75" customHeight="1">
      <c r="E122" s="130"/>
    </row>
    <row r="123" ht="15.75" customHeight="1">
      <c r="E123" s="130"/>
    </row>
    <row r="124" ht="15.75" customHeight="1">
      <c r="E124" s="130"/>
    </row>
    <row r="125" ht="15.75" customHeight="1">
      <c r="E125" s="130"/>
    </row>
    <row r="126" ht="15.75" customHeight="1">
      <c r="E126" s="130"/>
    </row>
    <row r="127" ht="15.75" customHeight="1">
      <c r="E127" s="130"/>
    </row>
    <row r="128" ht="15.75" customHeight="1">
      <c r="E128" s="130"/>
    </row>
    <row r="129" ht="15.75" customHeight="1">
      <c r="E129" s="130"/>
    </row>
    <row r="130" ht="15.75" customHeight="1">
      <c r="E130" s="130"/>
    </row>
    <row r="131" ht="15.75" customHeight="1">
      <c r="E131" s="130"/>
    </row>
    <row r="132" ht="15.75" customHeight="1">
      <c r="E132" s="130"/>
    </row>
    <row r="133" ht="15.75" customHeight="1">
      <c r="E133" s="130"/>
    </row>
    <row r="134" ht="15.75" customHeight="1">
      <c r="E134" s="130"/>
    </row>
    <row r="135" ht="15.75" customHeight="1">
      <c r="E135" s="130"/>
    </row>
    <row r="136" ht="15.75" customHeight="1">
      <c r="E136" s="130"/>
    </row>
    <row r="137" ht="15.75" customHeight="1">
      <c r="E137" s="130"/>
    </row>
    <row r="138" ht="15.75" customHeight="1">
      <c r="E138" s="130"/>
    </row>
    <row r="139" ht="15.75" customHeight="1">
      <c r="E139" s="130"/>
    </row>
    <row r="140" ht="15.75" customHeight="1">
      <c r="E140" s="130"/>
    </row>
    <row r="141" ht="15.75" customHeight="1">
      <c r="E141" s="130"/>
    </row>
    <row r="142" ht="15.75" customHeight="1">
      <c r="E142" s="130"/>
    </row>
    <row r="143" ht="15.75" customHeight="1">
      <c r="E143" s="130"/>
    </row>
    <row r="144" ht="15.75" customHeight="1">
      <c r="E144" s="130"/>
    </row>
    <row r="145" ht="15.75" customHeight="1">
      <c r="E145" s="130"/>
    </row>
    <row r="146" ht="15.75" customHeight="1">
      <c r="E146" s="130"/>
    </row>
    <row r="147" ht="15.75" customHeight="1">
      <c r="E147" s="130"/>
    </row>
    <row r="148" ht="15.75" customHeight="1">
      <c r="E148" s="130"/>
    </row>
    <row r="149" ht="15.75" customHeight="1">
      <c r="E149" s="130"/>
    </row>
    <row r="150" ht="15.75" customHeight="1">
      <c r="E150" s="130"/>
    </row>
    <row r="151" ht="15.75" customHeight="1">
      <c r="E151" s="130"/>
    </row>
    <row r="152" ht="15.75" customHeight="1">
      <c r="E152" s="130"/>
    </row>
    <row r="153" ht="15.75" customHeight="1">
      <c r="E153" s="130"/>
    </row>
    <row r="154" ht="15.75" customHeight="1">
      <c r="E154" s="130"/>
    </row>
    <row r="155" ht="15.75" customHeight="1">
      <c r="E155" s="130"/>
    </row>
    <row r="156" ht="15.75" customHeight="1">
      <c r="E156" s="130"/>
    </row>
    <row r="157" ht="15.75" customHeight="1">
      <c r="E157" s="130"/>
    </row>
    <row r="158" ht="15.75" customHeight="1">
      <c r="E158" s="130"/>
    </row>
    <row r="159" ht="15.75" customHeight="1">
      <c r="E159" s="130"/>
    </row>
    <row r="160" ht="15.75" customHeight="1">
      <c r="E160" s="130"/>
    </row>
    <row r="161" ht="15.75" customHeight="1">
      <c r="E161" s="130"/>
    </row>
    <row r="162" ht="15.75" customHeight="1">
      <c r="E162" s="130"/>
    </row>
    <row r="163" ht="15.75" customHeight="1">
      <c r="E163" s="130"/>
    </row>
    <row r="164" ht="15.75" customHeight="1">
      <c r="E164" s="130"/>
    </row>
    <row r="165" ht="15.75" customHeight="1">
      <c r="E165" s="130"/>
    </row>
    <row r="166" ht="15.75" customHeight="1">
      <c r="E166" s="130"/>
    </row>
    <row r="167" ht="15.75" customHeight="1">
      <c r="E167" s="130"/>
    </row>
    <row r="168" ht="15.75" customHeight="1">
      <c r="E168" s="130"/>
    </row>
    <row r="169" ht="15.75" customHeight="1">
      <c r="E169" s="130"/>
    </row>
    <row r="170" ht="15.75" customHeight="1">
      <c r="E170" s="130"/>
    </row>
    <row r="171" ht="15.75" customHeight="1">
      <c r="E171" s="130"/>
    </row>
    <row r="172" ht="15.75" customHeight="1">
      <c r="E172" s="130"/>
    </row>
    <row r="173" ht="15.75" customHeight="1">
      <c r="E173" s="130"/>
    </row>
    <row r="174" ht="15.75" customHeight="1">
      <c r="E174" s="130"/>
    </row>
    <row r="175" ht="15.75" customHeight="1">
      <c r="E175" s="130"/>
    </row>
    <row r="176" ht="15.75" customHeight="1">
      <c r="E176" s="130"/>
    </row>
    <row r="177" ht="15.75" customHeight="1">
      <c r="E177" s="130"/>
    </row>
    <row r="178" ht="15.75" customHeight="1">
      <c r="E178" s="130"/>
    </row>
    <row r="179" ht="15.75" customHeight="1">
      <c r="E179" s="130"/>
    </row>
    <row r="180" ht="15.75" customHeight="1">
      <c r="E180" s="130"/>
    </row>
    <row r="181" ht="15.75" customHeight="1">
      <c r="E181" s="130"/>
    </row>
    <row r="182" ht="15.75" customHeight="1">
      <c r="E182" s="130"/>
    </row>
    <row r="183" ht="15.75" customHeight="1">
      <c r="E183" s="130"/>
    </row>
    <row r="184" ht="15.75" customHeight="1">
      <c r="E184" s="130"/>
    </row>
    <row r="185" ht="15.75" customHeight="1">
      <c r="E185" s="130"/>
    </row>
    <row r="186" ht="15.75" customHeight="1">
      <c r="E186" s="130"/>
    </row>
    <row r="187" ht="15.75" customHeight="1">
      <c r="E187" s="130"/>
    </row>
    <row r="188" ht="15.75" customHeight="1">
      <c r="E188" s="130"/>
    </row>
    <row r="189" ht="15.75" customHeight="1">
      <c r="E189" s="130"/>
    </row>
    <row r="190" ht="15.75" customHeight="1">
      <c r="E190" s="130"/>
    </row>
    <row r="191" ht="15.75" customHeight="1">
      <c r="E191" s="130"/>
    </row>
    <row r="192" ht="15.75" customHeight="1">
      <c r="E192" s="130"/>
    </row>
    <row r="193" ht="15.75" customHeight="1">
      <c r="E193" s="130"/>
    </row>
    <row r="194" ht="15.75" customHeight="1">
      <c r="E194" s="130"/>
    </row>
    <row r="195" ht="15.75" customHeight="1">
      <c r="E195" s="130"/>
    </row>
    <row r="196" ht="15.75" customHeight="1">
      <c r="E196" s="130"/>
    </row>
    <row r="197" ht="15.75" customHeight="1">
      <c r="E197" s="130"/>
    </row>
    <row r="198" ht="15.75" customHeight="1">
      <c r="E198" s="130"/>
    </row>
    <row r="199" ht="15.75" customHeight="1">
      <c r="E199" s="130"/>
    </row>
    <row r="200" ht="15.75" customHeight="1">
      <c r="E200" s="130"/>
    </row>
    <row r="201" ht="15.75" customHeight="1">
      <c r="E201" s="130"/>
    </row>
    <row r="202" ht="15.75" customHeight="1">
      <c r="E202" s="130"/>
    </row>
    <row r="203" ht="15.75" customHeight="1">
      <c r="E203" s="130"/>
    </row>
    <row r="204" ht="15.75" customHeight="1">
      <c r="E204" s="130"/>
    </row>
    <row r="205" ht="15.75" customHeight="1">
      <c r="E205" s="130"/>
    </row>
    <row r="206" ht="15.75" customHeight="1">
      <c r="E206" s="130"/>
    </row>
    <row r="207" ht="15.75" customHeight="1">
      <c r="E207" s="130"/>
    </row>
    <row r="208" ht="15.75" customHeight="1">
      <c r="E208" s="130"/>
    </row>
    <row r="209" ht="15.75" customHeight="1">
      <c r="E209" s="130"/>
    </row>
    <row r="210" ht="15.75" customHeight="1">
      <c r="E210" s="130"/>
    </row>
    <row r="211" ht="15.75" customHeight="1">
      <c r="E211" s="130"/>
    </row>
    <row r="212" ht="15.75" customHeight="1">
      <c r="E212" s="130"/>
    </row>
    <row r="213" ht="15.75" customHeight="1">
      <c r="E213" s="130"/>
    </row>
    <row r="214" ht="15.75" customHeight="1">
      <c r="E214" s="130"/>
    </row>
    <row r="215" ht="15.75" customHeight="1">
      <c r="E215" s="130"/>
    </row>
    <row r="216" ht="15.75" customHeight="1">
      <c r="E216" s="130"/>
    </row>
    <row r="217" ht="15.75" customHeight="1">
      <c r="E217" s="130"/>
    </row>
    <row r="218" ht="15.75" customHeight="1">
      <c r="E218" s="130"/>
    </row>
    <row r="219" ht="15.75" customHeight="1">
      <c r="E219" s="130"/>
    </row>
    <row r="220" ht="15.75" customHeight="1">
      <c r="E220" s="130"/>
    </row>
    <row r="221" ht="15.75" customHeight="1">
      <c r="E221" s="130"/>
    </row>
    <row r="222" ht="15.75" customHeight="1">
      <c r="E222" s="130"/>
    </row>
    <row r="223" ht="15.75" customHeight="1">
      <c r="E223" s="130"/>
    </row>
    <row r="224" ht="15.75" customHeight="1">
      <c r="E224" s="130"/>
    </row>
    <row r="225" ht="15.75" customHeight="1">
      <c r="E225" s="130"/>
    </row>
    <row r="226" ht="15.75" customHeight="1">
      <c r="E226" s="130"/>
    </row>
    <row r="227" ht="15.75" customHeight="1">
      <c r="E227" s="130"/>
    </row>
    <row r="228" ht="15.75" customHeight="1">
      <c r="E228" s="130"/>
    </row>
    <row r="229" ht="15.75" customHeight="1">
      <c r="E229" s="130"/>
    </row>
    <row r="230" ht="15.75" customHeight="1">
      <c r="E230" s="130"/>
    </row>
    <row r="231" ht="15.75" customHeight="1">
      <c r="E231" s="130"/>
    </row>
    <row r="232" ht="15.75" customHeight="1">
      <c r="E232" s="130"/>
    </row>
    <row r="233" ht="15.75" customHeight="1">
      <c r="E233" s="130"/>
    </row>
    <row r="234" ht="15.75" customHeight="1">
      <c r="E234" s="130"/>
    </row>
    <row r="235" ht="15.75" customHeight="1">
      <c r="E235" s="130"/>
    </row>
    <row r="236" ht="15.75" customHeight="1">
      <c r="E236" s="130"/>
    </row>
    <row r="237" ht="15.75" customHeight="1">
      <c r="E237" s="130"/>
    </row>
    <row r="238" ht="15.75" customHeight="1">
      <c r="E238" s="130"/>
    </row>
    <row r="239" ht="15.75" customHeight="1">
      <c r="E239" s="130"/>
    </row>
    <row r="240" ht="15.75" customHeight="1">
      <c r="E240" s="130"/>
    </row>
    <row r="241" ht="15.75" customHeight="1">
      <c r="E241" s="130"/>
    </row>
    <row r="242" ht="15.75" customHeight="1">
      <c r="E242" s="130"/>
    </row>
    <row r="243" ht="15.75" customHeight="1">
      <c r="E243" s="130"/>
    </row>
    <row r="244" ht="15.75" customHeight="1">
      <c r="E244" s="130"/>
    </row>
    <row r="245" ht="15.75" customHeight="1">
      <c r="E245" s="130"/>
    </row>
    <row r="246" ht="15.75" customHeight="1">
      <c r="E246" s="130"/>
    </row>
    <row r="247" ht="15.75" customHeight="1">
      <c r="E247" s="130"/>
    </row>
    <row r="248" ht="15.75" customHeight="1">
      <c r="E248" s="130"/>
    </row>
    <row r="249" ht="15.75" customHeight="1">
      <c r="E249" s="130"/>
    </row>
    <row r="250" ht="15.75" customHeight="1">
      <c r="E250" s="130"/>
    </row>
    <row r="251" ht="15.75" customHeight="1">
      <c r="E251" s="130"/>
    </row>
    <row r="252" ht="15.75" customHeight="1">
      <c r="E252" s="130"/>
    </row>
    <row r="253" ht="15.75" customHeight="1">
      <c r="E253" s="130"/>
    </row>
    <row r="254" ht="15.75" customHeight="1">
      <c r="E254" s="130"/>
    </row>
    <row r="255" ht="15.75" customHeight="1">
      <c r="E255" s="130"/>
    </row>
    <row r="256" ht="15.75" customHeight="1">
      <c r="E256" s="130"/>
    </row>
    <row r="257" ht="15.75" customHeight="1">
      <c r="E257" s="130"/>
    </row>
    <row r="258" ht="15.75" customHeight="1">
      <c r="E258" s="130"/>
    </row>
    <row r="259" ht="15.75" customHeight="1">
      <c r="E259" s="130"/>
    </row>
    <row r="260" ht="15.75" customHeight="1">
      <c r="E260" s="130"/>
    </row>
    <row r="261" ht="15.75" customHeight="1">
      <c r="E261" s="130"/>
    </row>
    <row r="262" ht="15.75" customHeight="1">
      <c r="E262" s="130"/>
    </row>
    <row r="263" ht="15.75" customHeight="1">
      <c r="E263" s="130"/>
    </row>
    <row r="264" ht="15.75" customHeight="1">
      <c r="E264" s="130"/>
    </row>
    <row r="265" ht="15.75" customHeight="1">
      <c r="E265" s="130"/>
    </row>
    <row r="266" ht="15.75" customHeight="1">
      <c r="E266" s="130"/>
    </row>
    <row r="267" ht="15.75" customHeight="1">
      <c r="E267" s="130"/>
    </row>
    <row r="268" ht="15.75" customHeight="1">
      <c r="E268" s="130"/>
    </row>
    <row r="269" ht="15.75" customHeight="1">
      <c r="E269" s="130"/>
    </row>
    <row r="270" ht="15.75" customHeight="1">
      <c r="E270" s="130"/>
    </row>
    <row r="271" ht="15.75" customHeight="1">
      <c r="E271" s="130"/>
    </row>
    <row r="272" ht="15.75" customHeight="1">
      <c r="E272" s="130"/>
    </row>
    <row r="273" ht="15.75" customHeight="1">
      <c r="E273" s="130"/>
    </row>
    <row r="274" ht="15.75" customHeight="1">
      <c r="E274" s="130"/>
    </row>
    <row r="275" ht="15.75" customHeight="1">
      <c r="E275" s="130"/>
    </row>
    <row r="276" ht="15.75" customHeight="1">
      <c r="E276" s="130"/>
    </row>
    <row r="277" ht="15.75" customHeight="1">
      <c r="E277" s="130"/>
    </row>
    <row r="278" ht="15.75" customHeight="1">
      <c r="E278" s="130"/>
    </row>
    <row r="279" ht="15.75" customHeight="1">
      <c r="E279" s="130"/>
    </row>
    <row r="280" ht="15.75" customHeight="1">
      <c r="E280" s="130"/>
    </row>
    <row r="281" ht="15.75" customHeight="1">
      <c r="E281" s="130"/>
    </row>
    <row r="282" ht="15.75" customHeight="1">
      <c r="E282" s="130"/>
    </row>
    <row r="283" ht="15.75" customHeight="1">
      <c r="E283" s="130"/>
    </row>
    <row r="284" ht="15.75" customHeight="1">
      <c r="E284" s="130"/>
    </row>
    <row r="285" ht="15.75" customHeight="1">
      <c r="E285" s="130"/>
    </row>
    <row r="286" ht="15.75" customHeight="1">
      <c r="E286" s="130"/>
    </row>
    <row r="287" ht="15.75" customHeight="1">
      <c r="E287" s="130"/>
    </row>
    <row r="288" ht="15.75" customHeight="1">
      <c r="E288" s="130"/>
    </row>
    <row r="289" ht="15.75" customHeight="1">
      <c r="E289" s="130"/>
    </row>
    <row r="290" ht="15.75" customHeight="1">
      <c r="E290" s="130"/>
    </row>
    <row r="291" ht="15.75" customHeight="1">
      <c r="E291" s="130"/>
    </row>
    <row r="292" ht="15.75" customHeight="1">
      <c r="E292" s="130"/>
    </row>
    <row r="293" ht="15.75" customHeight="1">
      <c r="E293" s="130"/>
    </row>
    <row r="294" ht="15.75" customHeight="1">
      <c r="E294" s="130"/>
    </row>
    <row r="295" ht="15.75" customHeight="1">
      <c r="E295" s="130"/>
    </row>
    <row r="296" ht="15.75" customHeight="1">
      <c r="E296" s="130"/>
    </row>
    <row r="297" ht="15.75" customHeight="1">
      <c r="E297" s="130"/>
    </row>
    <row r="298" ht="15.75" customHeight="1">
      <c r="E298" s="130"/>
    </row>
    <row r="299" ht="15.75" customHeight="1">
      <c r="E299" s="130"/>
    </row>
    <row r="300" ht="15.75" customHeight="1">
      <c r="E300" s="130"/>
    </row>
    <row r="301" ht="15.75" customHeight="1">
      <c r="E301" s="130"/>
    </row>
    <row r="302" ht="15.75" customHeight="1">
      <c r="E302" s="130"/>
    </row>
    <row r="303" ht="15.75" customHeight="1">
      <c r="E303" s="130"/>
    </row>
    <row r="304" ht="15.75" customHeight="1">
      <c r="E304" s="130"/>
    </row>
    <row r="305" ht="15.75" customHeight="1">
      <c r="E305" s="130"/>
    </row>
    <row r="306" ht="15.75" customHeight="1">
      <c r="E306" s="130"/>
    </row>
    <row r="307" ht="15.75" customHeight="1">
      <c r="E307" s="130"/>
    </row>
    <row r="308" ht="15.75" customHeight="1">
      <c r="E308" s="130"/>
    </row>
    <row r="309" ht="15.75" customHeight="1">
      <c r="E309" s="130"/>
    </row>
    <row r="310" ht="15.75" customHeight="1">
      <c r="E310" s="130"/>
    </row>
    <row r="311" ht="15.75" customHeight="1">
      <c r="E311" s="130"/>
    </row>
    <row r="312" ht="15.75" customHeight="1">
      <c r="E312" s="130"/>
    </row>
    <row r="313" ht="15.75" customHeight="1">
      <c r="E313" s="130"/>
    </row>
    <row r="314" ht="15.75" customHeight="1">
      <c r="E314" s="130"/>
    </row>
    <row r="315" ht="15.75" customHeight="1">
      <c r="E315" s="130"/>
    </row>
    <row r="316" ht="15.75" customHeight="1">
      <c r="E316" s="130"/>
    </row>
    <row r="317" ht="15.75" customHeight="1">
      <c r="E317" s="130"/>
    </row>
    <row r="318" ht="15.75" customHeight="1">
      <c r="E318" s="130"/>
    </row>
    <row r="319" ht="15.75" customHeight="1">
      <c r="E319" s="130"/>
    </row>
    <row r="320" ht="15.75" customHeight="1">
      <c r="E320" s="130"/>
    </row>
    <row r="321" ht="15.75" customHeight="1">
      <c r="E321" s="130"/>
    </row>
    <row r="322" ht="15.75" customHeight="1">
      <c r="E322" s="130"/>
    </row>
    <row r="323" ht="15.75" customHeight="1">
      <c r="E323" s="130"/>
    </row>
    <row r="324" ht="15.75" customHeight="1">
      <c r="E324" s="130"/>
    </row>
    <row r="325" ht="15.75" customHeight="1">
      <c r="E325" s="130"/>
    </row>
    <row r="326" ht="15.75" customHeight="1">
      <c r="E326" s="130"/>
    </row>
    <row r="327" ht="15.75" customHeight="1">
      <c r="E327" s="130"/>
    </row>
    <row r="328" ht="15.75" customHeight="1">
      <c r="E328" s="130"/>
    </row>
    <row r="329" ht="15.75" customHeight="1">
      <c r="E329" s="130"/>
    </row>
    <row r="330" ht="15.75" customHeight="1">
      <c r="E330" s="130"/>
    </row>
    <row r="331" ht="15.75" customHeight="1">
      <c r="E331" s="130"/>
    </row>
    <row r="332" ht="15.75" customHeight="1">
      <c r="E332" s="130"/>
    </row>
    <row r="333" ht="15.75" customHeight="1">
      <c r="E333" s="130"/>
    </row>
    <row r="334" ht="15.75" customHeight="1">
      <c r="E334" s="130"/>
    </row>
    <row r="335" ht="15.75" customHeight="1">
      <c r="E335" s="130"/>
    </row>
    <row r="336" ht="15.75" customHeight="1">
      <c r="E336" s="130"/>
    </row>
    <row r="337" ht="15.75" customHeight="1">
      <c r="E337" s="130"/>
    </row>
    <row r="338" ht="15.75" customHeight="1">
      <c r="E338" s="130"/>
    </row>
    <row r="339" ht="15.75" customHeight="1">
      <c r="E339" s="130"/>
    </row>
    <row r="340" ht="15.75" customHeight="1">
      <c r="E340" s="130"/>
    </row>
    <row r="341" ht="15.75" customHeight="1">
      <c r="E341" s="130"/>
    </row>
    <row r="342" ht="15.75" customHeight="1">
      <c r="E342" s="130"/>
    </row>
    <row r="343" ht="15.75" customHeight="1">
      <c r="E343" s="130"/>
    </row>
    <row r="344" ht="15.75" customHeight="1">
      <c r="E344" s="130"/>
    </row>
    <row r="345" ht="15.75" customHeight="1">
      <c r="E345" s="130"/>
    </row>
    <row r="346" ht="15.75" customHeight="1">
      <c r="E346" s="130"/>
    </row>
    <row r="347" ht="15.75" customHeight="1">
      <c r="E347" s="130"/>
    </row>
    <row r="348" ht="15.75" customHeight="1">
      <c r="E348" s="130"/>
    </row>
    <row r="349" ht="15.75" customHeight="1">
      <c r="E349" s="130"/>
    </row>
    <row r="350" ht="15.75" customHeight="1">
      <c r="E350" s="130"/>
    </row>
    <row r="351" ht="15.75" customHeight="1">
      <c r="E351" s="130"/>
    </row>
    <row r="352" ht="15.75" customHeight="1">
      <c r="E352" s="130"/>
    </row>
    <row r="353" ht="15.75" customHeight="1">
      <c r="E353" s="130"/>
    </row>
    <row r="354" ht="15.75" customHeight="1">
      <c r="E354" s="130"/>
    </row>
    <row r="355" ht="15.75" customHeight="1">
      <c r="E355" s="130"/>
    </row>
    <row r="356" ht="15.75" customHeight="1">
      <c r="E356" s="130"/>
    </row>
    <row r="357" ht="15.75" customHeight="1">
      <c r="E357" s="130"/>
    </row>
    <row r="358" ht="15.75" customHeight="1">
      <c r="E358" s="130"/>
    </row>
    <row r="359" ht="15.75" customHeight="1">
      <c r="E359" s="130"/>
    </row>
    <row r="360" ht="15.75" customHeight="1">
      <c r="E360" s="130"/>
    </row>
    <row r="361" ht="15.75" customHeight="1">
      <c r="E361" s="130"/>
    </row>
    <row r="362" ht="15.75" customHeight="1">
      <c r="E362" s="130"/>
    </row>
    <row r="363" ht="15.75" customHeight="1">
      <c r="E363" s="130"/>
    </row>
    <row r="364" ht="15.75" customHeight="1">
      <c r="E364" s="130"/>
    </row>
    <row r="365" ht="15.75" customHeight="1">
      <c r="E365" s="130"/>
    </row>
    <row r="366" ht="15.75" customHeight="1">
      <c r="E366" s="130"/>
    </row>
    <row r="367" ht="15.75" customHeight="1">
      <c r="E367" s="130"/>
    </row>
    <row r="368" ht="15.75" customHeight="1">
      <c r="E368" s="130"/>
    </row>
    <row r="369" ht="15.75" customHeight="1">
      <c r="E369" s="130"/>
    </row>
    <row r="370" ht="15.75" customHeight="1">
      <c r="E370" s="130"/>
    </row>
    <row r="371" ht="15.75" customHeight="1">
      <c r="E371" s="130"/>
    </row>
    <row r="372" ht="15.75" customHeight="1">
      <c r="E372" s="130"/>
    </row>
    <row r="373" ht="15.75" customHeight="1">
      <c r="E373" s="130"/>
    </row>
    <row r="374" ht="15.75" customHeight="1">
      <c r="E374" s="130"/>
    </row>
    <row r="375" ht="15.75" customHeight="1">
      <c r="E375" s="130"/>
    </row>
    <row r="376" ht="15.75" customHeight="1">
      <c r="E376" s="130"/>
    </row>
    <row r="377" ht="15.75" customHeight="1">
      <c r="E377" s="130"/>
    </row>
    <row r="378" ht="15.75" customHeight="1">
      <c r="E378" s="130"/>
    </row>
    <row r="379" ht="15.75" customHeight="1">
      <c r="E379" s="130"/>
    </row>
    <row r="380" ht="15.75" customHeight="1">
      <c r="E380" s="130"/>
    </row>
    <row r="381" ht="15.75" customHeight="1">
      <c r="E381" s="130"/>
    </row>
    <row r="382" ht="15.75" customHeight="1">
      <c r="E382" s="130"/>
    </row>
    <row r="383" ht="15.75" customHeight="1">
      <c r="E383" s="130"/>
    </row>
    <row r="384" ht="15.75" customHeight="1">
      <c r="E384" s="130"/>
    </row>
    <row r="385" ht="15.75" customHeight="1">
      <c r="E385" s="130"/>
    </row>
    <row r="386" ht="15.75" customHeight="1">
      <c r="E386" s="130"/>
    </row>
    <row r="387" ht="15.75" customHeight="1">
      <c r="E387" s="130"/>
    </row>
    <row r="388" ht="15.75" customHeight="1">
      <c r="E388" s="130"/>
    </row>
    <row r="389" ht="15.75" customHeight="1">
      <c r="E389" s="130"/>
    </row>
    <row r="390" ht="15.75" customHeight="1">
      <c r="E390" s="130"/>
    </row>
    <row r="391" ht="15.75" customHeight="1">
      <c r="E391" s="130"/>
    </row>
    <row r="392" ht="15.75" customHeight="1">
      <c r="E392" s="130"/>
    </row>
    <row r="393" ht="15.75" customHeight="1">
      <c r="E393" s="130"/>
    </row>
    <row r="394" ht="15.75" customHeight="1">
      <c r="E394" s="130"/>
    </row>
    <row r="395" ht="15.75" customHeight="1">
      <c r="E395" s="130"/>
    </row>
    <row r="396" ht="15.75" customHeight="1">
      <c r="E396" s="130"/>
    </row>
    <row r="397" ht="15.75" customHeight="1">
      <c r="E397" s="130"/>
    </row>
    <row r="398" ht="15.75" customHeight="1">
      <c r="E398" s="130"/>
    </row>
    <row r="399" ht="15.75" customHeight="1">
      <c r="E399" s="130"/>
    </row>
    <row r="400" ht="15.75" customHeight="1">
      <c r="E400" s="130"/>
    </row>
    <row r="401" ht="15.75" customHeight="1">
      <c r="E401" s="130"/>
    </row>
    <row r="402" ht="15.75" customHeight="1">
      <c r="E402" s="130"/>
    </row>
    <row r="403" ht="15.75" customHeight="1">
      <c r="E403" s="130"/>
    </row>
    <row r="404" ht="15.75" customHeight="1">
      <c r="E404" s="130"/>
    </row>
    <row r="405" ht="15.75" customHeight="1">
      <c r="E405" s="130"/>
    </row>
    <row r="406" ht="15.75" customHeight="1">
      <c r="E406" s="130"/>
    </row>
    <row r="407" ht="15.75" customHeight="1">
      <c r="E407" s="130"/>
    </row>
    <row r="408" ht="15.75" customHeight="1">
      <c r="E408" s="130"/>
    </row>
    <row r="409" ht="15.75" customHeight="1">
      <c r="E409" s="130"/>
    </row>
    <row r="410" ht="15.75" customHeight="1">
      <c r="E410" s="130"/>
    </row>
    <row r="411" ht="15.75" customHeight="1">
      <c r="E411" s="130"/>
    </row>
    <row r="412" ht="15.75" customHeight="1">
      <c r="E412" s="130"/>
    </row>
    <row r="413" ht="15.75" customHeight="1">
      <c r="E413" s="130"/>
    </row>
    <row r="414" ht="15.75" customHeight="1">
      <c r="E414" s="130"/>
    </row>
    <row r="415" ht="15.75" customHeight="1">
      <c r="E415" s="130"/>
    </row>
    <row r="416" ht="15.75" customHeight="1">
      <c r="E416" s="130"/>
    </row>
    <row r="417" ht="15.75" customHeight="1">
      <c r="E417" s="130"/>
    </row>
    <row r="418" ht="15.75" customHeight="1">
      <c r="E418" s="130"/>
    </row>
    <row r="419" ht="15.75" customHeight="1">
      <c r="E419" s="130"/>
    </row>
    <row r="420" ht="15.75" customHeight="1">
      <c r="E420" s="130"/>
    </row>
    <row r="421" ht="15.75" customHeight="1">
      <c r="E421" s="130"/>
    </row>
    <row r="422" ht="15.75" customHeight="1">
      <c r="E422" s="130"/>
    </row>
    <row r="423" ht="15.75" customHeight="1">
      <c r="E423" s="130"/>
    </row>
    <row r="424" ht="15.75" customHeight="1">
      <c r="E424" s="130"/>
    </row>
    <row r="425" ht="15.75" customHeight="1">
      <c r="E425" s="130"/>
    </row>
    <row r="426" ht="15.75" customHeight="1">
      <c r="E426" s="130"/>
    </row>
    <row r="427" ht="15.75" customHeight="1">
      <c r="E427" s="130"/>
    </row>
    <row r="428" ht="15.75" customHeight="1">
      <c r="E428" s="130"/>
    </row>
    <row r="429" ht="15.75" customHeight="1">
      <c r="E429" s="130"/>
    </row>
    <row r="430" ht="15.75" customHeight="1">
      <c r="E430" s="130"/>
    </row>
    <row r="431" ht="15.75" customHeight="1">
      <c r="E431" s="130"/>
    </row>
    <row r="432" ht="15.75" customHeight="1">
      <c r="E432" s="130"/>
    </row>
    <row r="433" ht="15.75" customHeight="1">
      <c r="E433" s="130"/>
    </row>
    <row r="434" ht="15.75" customHeight="1">
      <c r="E434" s="130"/>
    </row>
    <row r="435" ht="15.75" customHeight="1">
      <c r="E435" s="130"/>
    </row>
    <row r="436" ht="15.75" customHeight="1">
      <c r="E436" s="130"/>
    </row>
    <row r="437" ht="15.75" customHeight="1">
      <c r="E437" s="130"/>
    </row>
    <row r="438" ht="15.75" customHeight="1">
      <c r="E438" s="130"/>
    </row>
    <row r="439" ht="15.75" customHeight="1">
      <c r="E439" s="130"/>
    </row>
    <row r="440" ht="15.75" customHeight="1">
      <c r="E440" s="130"/>
    </row>
    <row r="441" ht="15.75" customHeight="1">
      <c r="E441" s="130"/>
    </row>
    <row r="442" ht="15.75" customHeight="1">
      <c r="E442" s="130"/>
    </row>
    <row r="443" ht="15.75" customHeight="1">
      <c r="E443" s="130"/>
    </row>
    <row r="444" ht="15.75" customHeight="1">
      <c r="E444" s="130"/>
    </row>
    <row r="445" ht="15.75" customHeight="1">
      <c r="E445" s="130"/>
    </row>
    <row r="446" ht="15.75" customHeight="1">
      <c r="E446" s="130"/>
    </row>
    <row r="447" ht="15.75" customHeight="1">
      <c r="E447" s="130"/>
    </row>
    <row r="448" ht="15.75" customHeight="1">
      <c r="E448" s="130"/>
    </row>
    <row r="449" ht="15.75" customHeight="1">
      <c r="E449" s="130"/>
    </row>
    <row r="450" ht="15.75" customHeight="1">
      <c r="E450" s="130"/>
    </row>
    <row r="451" ht="15.75" customHeight="1">
      <c r="E451" s="130"/>
    </row>
    <row r="452" ht="15.75" customHeight="1">
      <c r="E452" s="130"/>
    </row>
    <row r="453" ht="15.75" customHeight="1">
      <c r="E453" s="130"/>
    </row>
    <row r="454" ht="15.75" customHeight="1">
      <c r="E454" s="130"/>
    </row>
    <row r="455" ht="15.75" customHeight="1">
      <c r="E455" s="130"/>
    </row>
    <row r="456" ht="15.75" customHeight="1">
      <c r="E456" s="130"/>
    </row>
    <row r="457" ht="15.75" customHeight="1">
      <c r="E457" s="130"/>
    </row>
    <row r="458" ht="15.75" customHeight="1">
      <c r="E458" s="130"/>
    </row>
    <row r="459" ht="15.75" customHeight="1">
      <c r="E459" s="130"/>
    </row>
    <row r="460" ht="15.75" customHeight="1">
      <c r="E460" s="130"/>
    </row>
    <row r="461" ht="15.75" customHeight="1">
      <c r="E461" s="130"/>
    </row>
    <row r="462" ht="15.75" customHeight="1">
      <c r="E462" s="130"/>
    </row>
    <row r="463" ht="15.75" customHeight="1">
      <c r="E463" s="130"/>
    </row>
    <row r="464" ht="15.75" customHeight="1">
      <c r="E464" s="130"/>
    </row>
    <row r="465" ht="15.75" customHeight="1">
      <c r="E465" s="130"/>
    </row>
    <row r="466" ht="15.75" customHeight="1">
      <c r="E466" s="130"/>
    </row>
    <row r="467" ht="15.75" customHeight="1">
      <c r="E467" s="130"/>
    </row>
    <row r="468" ht="15.75" customHeight="1">
      <c r="E468" s="130"/>
    </row>
    <row r="469" ht="15.75" customHeight="1">
      <c r="E469" s="130"/>
    </row>
    <row r="470" ht="15.75" customHeight="1">
      <c r="E470" s="130"/>
    </row>
    <row r="471" ht="15.75" customHeight="1">
      <c r="E471" s="130"/>
    </row>
    <row r="472" ht="15.75" customHeight="1">
      <c r="E472" s="130"/>
    </row>
    <row r="473" ht="15.75" customHeight="1">
      <c r="E473" s="130"/>
    </row>
    <row r="474" ht="15.75" customHeight="1">
      <c r="E474" s="130"/>
    </row>
    <row r="475" ht="15.75" customHeight="1">
      <c r="E475" s="130"/>
    </row>
    <row r="476" ht="15.75" customHeight="1">
      <c r="E476" s="130"/>
    </row>
    <row r="477" ht="15.75" customHeight="1">
      <c r="E477" s="130"/>
    </row>
    <row r="478" ht="15.75" customHeight="1">
      <c r="E478" s="130"/>
    </row>
    <row r="479" ht="15.75" customHeight="1">
      <c r="E479" s="130"/>
    </row>
    <row r="480" ht="15.75" customHeight="1">
      <c r="E480" s="130"/>
    </row>
    <row r="481" ht="15.75" customHeight="1">
      <c r="E481" s="130"/>
    </row>
    <row r="482" ht="15.75" customHeight="1">
      <c r="E482" s="130"/>
    </row>
    <row r="483" ht="15.75" customHeight="1">
      <c r="E483" s="130"/>
    </row>
    <row r="484" ht="15.75" customHeight="1">
      <c r="E484" s="130"/>
    </row>
    <row r="485" ht="15.75" customHeight="1">
      <c r="E485" s="130"/>
    </row>
    <row r="486" ht="15.75" customHeight="1">
      <c r="E486" s="130"/>
    </row>
    <row r="487" ht="15.75" customHeight="1">
      <c r="E487" s="130"/>
    </row>
    <row r="488" ht="15.75" customHeight="1">
      <c r="E488" s="130"/>
    </row>
    <row r="489" ht="15.75" customHeight="1">
      <c r="E489" s="130"/>
    </row>
    <row r="490" ht="15.75" customHeight="1">
      <c r="E490" s="130"/>
    </row>
    <row r="491" ht="15.75" customHeight="1">
      <c r="E491" s="130"/>
    </row>
    <row r="492" ht="15.75" customHeight="1">
      <c r="E492" s="130"/>
    </row>
    <row r="493" ht="15.75" customHeight="1">
      <c r="E493" s="130"/>
    </row>
    <row r="494" ht="15.75" customHeight="1">
      <c r="E494" s="130"/>
    </row>
    <row r="495" ht="15.75" customHeight="1">
      <c r="E495" s="130"/>
    </row>
    <row r="496" ht="15.75" customHeight="1">
      <c r="E496" s="130"/>
    </row>
    <row r="497" ht="15.75" customHeight="1">
      <c r="E497" s="130"/>
    </row>
    <row r="498" ht="15.75" customHeight="1">
      <c r="E498" s="130"/>
    </row>
    <row r="499" ht="15.75" customHeight="1">
      <c r="E499" s="130"/>
    </row>
    <row r="500" ht="15.75" customHeight="1">
      <c r="E500" s="130"/>
    </row>
    <row r="501" ht="15.75" customHeight="1">
      <c r="E501" s="130"/>
    </row>
    <row r="502" ht="15.75" customHeight="1">
      <c r="E502" s="130"/>
    </row>
    <row r="503" ht="15.75" customHeight="1">
      <c r="E503" s="130"/>
    </row>
    <row r="504" ht="15.75" customHeight="1">
      <c r="E504" s="130"/>
    </row>
    <row r="505" ht="15.75" customHeight="1">
      <c r="E505" s="130"/>
    </row>
    <row r="506" ht="15.75" customHeight="1">
      <c r="E506" s="130"/>
    </row>
    <row r="507" ht="15.75" customHeight="1">
      <c r="E507" s="130"/>
    </row>
    <row r="508" ht="15.75" customHeight="1">
      <c r="E508" s="130"/>
    </row>
    <row r="509" ht="15.75" customHeight="1">
      <c r="E509" s="130"/>
    </row>
    <row r="510" ht="15.75" customHeight="1">
      <c r="E510" s="130"/>
    </row>
    <row r="511" ht="15.75" customHeight="1">
      <c r="E511" s="130"/>
    </row>
    <row r="512" ht="15.75" customHeight="1">
      <c r="E512" s="130"/>
    </row>
    <row r="513" ht="15.75" customHeight="1">
      <c r="E513" s="130"/>
    </row>
    <row r="514" ht="15.75" customHeight="1">
      <c r="E514" s="130"/>
    </row>
    <row r="515" ht="15.75" customHeight="1">
      <c r="E515" s="130"/>
    </row>
    <row r="516" ht="15.75" customHeight="1">
      <c r="E516" s="130"/>
    </row>
    <row r="517" ht="15.75" customHeight="1">
      <c r="E517" s="130"/>
    </row>
    <row r="518" ht="15.75" customHeight="1">
      <c r="E518" s="130"/>
    </row>
    <row r="519" ht="15.75" customHeight="1">
      <c r="E519" s="130"/>
    </row>
    <row r="520" ht="15.75" customHeight="1">
      <c r="E520" s="130"/>
    </row>
    <row r="521" ht="15.75" customHeight="1">
      <c r="E521" s="130"/>
    </row>
    <row r="522" ht="15.75" customHeight="1">
      <c r="E522" s="130"/>
    </row>
    <row r="523" ht="15.75" customHeight="1">
      <c r="E523" s="130"/>
    </row>
    <row r="524" ht="15.75" customHeight="1">
      <c r="E524" s="130"/>
    </row>
    <row r="525" ht="15.75" customHeight="1">
      <c r="E525" s="130"/>
    </row>
    <row r="526" ht="15.75" customHeight="1">
      <c r="E526" s="130"/>
    </row>
    <row r="527" ht="15.75" customHeight="1">
      <c r="E527" s="130"/>
    </row>
    <row r="528" ht="15.75" customHeight="1">
      <c r="E528" s="130"/>
    </row>
    <row r="529" ht="15.75" customHeight="1">
      <c r="E529" s="130"/>
    </row>
    <row r="530" ht="15.75" customHeight="1">
      <c r="E530" s="130"/>
    </row>
    <row r="531" ht="15.75" customHeight="1">
      <c r="E531" s="130"/>
    </row>
    <row r="532" ht="15.75" customHeight="1">
      <c r="E532" s="130"/>
    </row>
    <row r="533" ht="15.75" customHeight="1">
      <c r="E533" s="130"/>
    </row>
    <row r="534" ht="15.75" customHeight="1">
      <c r="E534" s="130"/>
    </row>
    <row r="535" ht="15.75" customHeight="1">
      <c r="E535" s="130"/>
    </row>
    <row r="536" ht="15.75" customHeight="1">
      <c r="E536" s="130"/>
    </row>
    <row r="537" ht="15.75" customHeight="1">
      <c r="E537" s="130"/>
    </row>
    <row r="538" ht="15.75" customHeight="1">
      <c r="E538" s="130"/>
    </row>
    <row r="539" ht="15.75" customHeight="1">
      <c r="E539" s="130"/>
    </row>
    <row r="540" ht="15.75" customHeight="1">
      <c r="E540" s="130"/>
    </row>
    <row r="541" ht="15.75" customHeight="1">
      <c r="E541" s="130"/>
    </row>
    <row r="542" ht="15.75" customHeight="1">
      <c r="E542" s="130"/>
    </row>
    <row r="543" ht="15.75" customHeight="1">
      <c r="E543" s="130"/>
    </row>
    <row r="544" ht="15.75" customHeight="1">
      <c r="E544" s="130"/>
    </row>
    <row r="545" ht="15.75" customHeight="1">
      <c r="E545" s="130"/>
    </row>
    <row r="546" ht="15.75" customHeight="1">
      <c r="E546" s="130"/>
    </row>
    <row r="547" ht="15.75" customHeight="1">
      <c r="E547" s="130"/>
    </row>
    <row r="548" ht="15.75" customHeight="1">
      <c r="E548" s="130"/>
    </row>
    <row r="549" ht="15.75" customHeight="1">
      <c r="E549" s="130"/>
    </row>
    <row r="550" ht="15.75" customHeight="1">
      <c r="E550" s="130"/>
    </row>
    <row r="551" ht="15.75" customHeight="1">
      <c r="E551" s="130"/>
    </row>
    <row r="552" ht="15.75" customHeight="1">
      <c r="E552" s="130"/>
    </row>
    <row r="553" ht="15.75" customHeight="1">
      <c r="E553" s="130"/>
    </row>
    <row r="554" ht="15.75" customHeight="1">
      <c r="E554" s="130"/>
    </row>
    <row r="555" ht="15.75" customHeight="1">
      <c r="E555" s="130"/>
    </row>
    <row r="556" ht="15.75" customHeight="1">
      <c r="E556" s="130"/>
    </row>
    <row r="557" ht="15.75" customHeight="1">
      <c r="E557" s="130"/>
    </row>
    <row r="558" ht="15.75" customHeight="1">
      <c r="E558" s="130"/>
    </row>
    <row r="559" ht="15.75" customHeight="1">
      <c r="E559" s="130"/>
    </row>
    <row r="560" ht="15.75" customHeight="1">
      <c r="E560" s="130"/>
    </row>
    <row r="561" ht="15.75" customHeight="1">
      <c r="E561" s="130"/>
    </row>
    <row r="562" ht="15.75" customHeight="1">
      <c r="E562" s="130"/>
    </row>
    <row r="563" ht="15.75" customHeight="1">
      <c r="E563" s="130"/>
    </row>
    <row r="564" ht="15.75" customHeight="1">
      <c r="E564" s="130"/>
    </row>
    <row r="565" ht="15.75" customHeight="1">
      <c r="E565" s="130"/>
    </row>
    <row r="566" ht="15.75" customHeight="1">
      <c r="E566" s="130"/>
    </row>
    <row r="567" ht="15.75" customHeight="1">
      <c r="E567" s="130"/>
    </row>
    <row r="568" ht="15.75" customHeight="1">
      <c r="E568" s="130"/>
    </row>
    <row r="569" ht="15.75" customHeight="1">
      <c r="E569" s="130"/>
    </row>
    <row r="570" ht="15.75" customHeight="1">
      <c r="E570" s="130"/>
    </row>
    <row r="571" ht="15.75" customHeight="1">
      <c r="E571" s="130"/>
    </row>
    <row r="572" ht="15.75" customHeight="1">
      <c r="E572" s="130"/>
    </row>
    <row r="573" ht="15.75" customHeight="1">
      <c r="E573" s="130"/>
    </row>
    <row r="574" ht="15.75" customHeight="1">
      <c r="E574" s="130"/>
    </row>
    <row r="575" ht="15.75" customHeight="1">
      <c r="E575" s="130"/>
    </row>
    <row r="576" ht="15.75" customHeight="1">
      <c r="E576" s="130"/>
    </row>
    <row r="577" ht="15.75" customHeight="1">
      <c r="E577" s="130"/>
    </row>
    <row r="578" ht="15.75" customHeight="1">
      <c r="E578" s="130"/>
    </row>
    <row r="579" ht="15.75" customHeight="1">
      <c r="E579" s="130"/>
    </row>
    <row r="580" ht="15.75" customHeight="1">
      <c r="E580" s="130"/>
    </row>
    <row r="581" ht="15.75" customHeight="1">
      <c r="E581" s="130"/>
    </row>
    <row r="582" ht="15.75" customHeight="1">
      <c r="E582" s="130"/>
    </row>
    <row r="583" ht="15.75" customHeight="1">
      <c r="E583" s="130"/>
    </row>
    <row r="584" ht="15.75" customHeight="1">
      <c r="E584" s="130"/>
    </row>
    <row r="585" ht="15.75" customHeight="1">
      <c r="E585" s="130"/>
    </row>
    <row r="586" ht="15.75" customHeight="1">
      <c r="E586" s="130"/>
    </row>
    <row r="587" ht="15.75" customHeight="1">
      <c r="E587" s="130"/>
    </row>
    <row r="588" ht="15.75" customHeight="1">
      <c r="E588" s="130"/>
    </row>
    <row r="589" ht="15.75" customHeight="1">
      <c r="E589" s="130"/>
    </row>
    <row r="590" ht="15.75" customHeight="1">
      <c r="E590" s="130"/>
    </row>
    <row r="591" ht="15.75" customHeight="1">
      <c r="E591" s="130"/>
    </row>
    <row r="592" ht="15.75" customHeight="1">
      <c r="E592" s="130"/>
    </row>
    <row r="593" ht="15.75" customHeight="1">
      <c r="E593" s="130"/>
    </row>
    <row r="594" ht="15.75" customHeight="1">
      <c r="E594" s="130"/>
    </row>
    <row r="595" ht="15.75" customHeight="1">
      <c r="E595" s="130"/>
    </row>
    <row r="596" ht="15.75" customHeight="1">
      <c r="E596" s="130"/>
    </row>
    <row r="597" ht="15.75" customHeight="1">
      <c r="E597" s="130"/>
    </row>
    <row r="598" ht="15.75" customHeight="1">
      <c r="E598" s="130"/>
    </row>
    <row r="599" ht="15.75" customHeight="1">
      <c r="E599" s="130"/>
    </row>
    <row r="600" ht="15.75" customHeight="1">
      <c r="E600" s="130"/>
    </row>
    <row r="601" ht="15.75" customHeight="1">
      <c r="E601" s="130"/>
    </row>
    <row r="602" ht="15.75" customHeight="1">
      <c r="E602" s="130"/>
    </row>
    <row r="603" ht="15.75" customHeight="1">
      <c r="E603" s="130"/>
    </row>
    <row r="604" ht="15.75" customHeight="1">
      <c r="E604" s="130"/>
    </row>
    <row r="605" ht="15.75" customHeight="1">
      <c r="E605" s="130"/>
    </row>
    <row r="606" ht="15.75" customHeight="1">
      <c r="E606" s="130"/>
    </row>
    <row r="607" ht="15.75" customHeight="1">
      <c r="E607" s="130"/>
    </row>
    <row r="608" ht="15.75" customHeight="1">
      <c r="E608" s="130"/>
    </row>
    <row r="609" ht="15.75" customHeight="1">
      <c r="E609" s="130"/>
    </row>
    <row r="610" ht="15.75" customHeight="1">
      <c r="E610" s="130"/>
    </row>
    <row r="611" ht="15.75" customHeight="1">
      <c r="E611" s="130"/>
    </row>
    <row r="612" ht="15.75" customHeight="1">
      <c r="E612" s="130"/>
    </row>
    <row r="613" ht="15.75" customHeight="1">
      <c r="E613" s="130"/>
    </row>
    <row r="614" ht="15.75" customHeight="1">
      <c r="E614" s="130"/>
    </row>
    <row r="615" ht="15.75" customHeight="1">
      <c r="E615" s="130"/>
    </row>
    <row r="616" ht="15.75" customHeight="1">
      <c r="E616" s="130"/>
    </row>
    <row r="617" ht="15.75" customHeight="1">
      <c r="E617" s="130"/>
    </row>
    <row r="618" ht="15.75" customHeight="1">
      <c r="E618" s="130"/>
    </row>
    <row r="619" ht="15.75" customHeight="1">
      <c r="E619" s="130"/>
    </row>
    <row r="620" ht="15.75" customHeight="1">
      <c r="E620" s="130"/>
    </row>
    <row r="621" ht="15.75" customHeight="1">
      <c r="E621" s="130"/>
    </row>
    <row r="622" ht="15.75" customHeight="1">
      <c r="E622" s="130"/>
    </row>
    <row r="623" ht="15.75" customHeight="1">
      <c r="E623" s="130"/>
    </row>
    <row r="624" ht="15.75" customHeight="1">
      <c r="E624" s="130"/>
    </row>
    <row r="625" ht="15.75" customHeight="1">
      <c r="E625" s="130"/>
    </row>
    <row r="626" ht="15.75" customHeight="1">
      <c r="E626" s="130"/>
    </row>
    <row r="627" ht="15.75" customHeight="1">
      <c r="E627" s="130"/>
    </row>
    <row r="628" ht="15.75" customHeight="1">
      <c r="E628" s="130"/>
    </row>
    <row r="629" ht="15.75" customHeight="1">
      <c r="E629" s="130"/>
    </row>
    <row r="630" ht="15.75" customHeight="1">
      <c r="E630" s="130"/>
    </row>
    <row r="631" ht="15.75" customHeight="1">
      <c r="E631" s="130"/>
    </row>
    <row r="632" ht="15.75" customHeight="1">
      <c r="E632" s="130"/>
    </row>
    <row r="633" ht="15.75" customHeight="1">
      <c r="E633" s="130"/>
    </row>
    <row r="634" ht="15.75" customHeight="1">
      <c r="E634" s="130"/>
    </row>
    <row r="635" ht="15.75" customHeight="1">
      <c r="E635" s="130"/>
    </row>
    <row r="636" ht="15.75" customHeight="1">
      <c r="E636" s="130"/>
    </row>
    <row r="637" ht="15.75" customHeight="1">
      <c r="E637" s="130"/>
    </row>
    <row r="638" ht="15.75" customHeight="1">
      <c r="E638" s="130"/>
    </row>
    <row r="639" ht="15.75" customHeight="1">
      <c r="E639" s="130"/>
    </row>
    <row r="640" ht="15.75" customHeight="1">
      <c r="E640" s="130"/>
    </row>
    <row r="641" ht="15.75" customHeight="1">
      <c r="E641" s="130"/>
    </row>
    <row r="642" ht="15.75" customHeight="1">
      <c r="E642" s="130"/>
    </row>
    <row r="643" ht="15.75" customHeight="1">
      <c r="E643" s="130"/>
    </row>
    <row r="644" ht="15.75" customHeight="1">
      <c r="E644" s="130"/>
    </row>
    <row r="645" ht="15.75" customHeight="1">
      <c r="E645" s="130"/>
    </row>
    <row r="646" ht="15.75" customHeight="1">
      <c r="E646" s="130"/>
    </row>
    <row r="647" ht="15.75" customHeight="1">
      <c r="E647" s="130"/>
    </row>
    <row r="648" ht="15.75" customHeight="1">
      <c r="E648" s="130"/>
    </row>
    <row r="649" ht="15.75" customHeight="1">
      <c r="E649" s="130"/>
    </row>
    <row r="650" ht="15.75" customHeight="1">
      <c r="E650" s="130"/>
    </row>
    <row r="651" ht="15.75" customHeight="1">
      <c r="E651" s="130"/>
    </row>
    <row r="652" ht="15.75" customHeight="1">
      <c r="E652" s="130"/>
    </row>
    <row r="653" ht="15.75" customHeight="1">
      <c r="E653" s="130"/>
    </row>
    <row r="654" ht="15.75" customHeight="1">
      <c r="E654" s="130"/>
    </row>
    <row r="655" ht="15.75" customHeight="1">
      <c r="E655" s="130"/>
    </row>
    <row r="656" ht="15.75" customHeight="1">
      <c r="E656" s="130"/>
    </row>
    <row r="657" ht="15.75" customHeight="1">
      <c r="E657" s="130"/>
    </row>
    <row r="658" ht="15.75" customHeight="1">
      <c r="E658" s="130"/>
    </row>
    <row r="659" ht="15.75" customHeight="1">
      <c r="E659" s="130"/>
    </row>
    <row r="660" ht="15.75" customHeight="1">
      <c r="E660" s="130"/>
    </row>
    <row r="661" ht="15.75" customHeight="1">
      <c r="E661" s="130"/>
    </row>
    <row r="662" ht="15.75" customHeight="1">
      <c r="E662" s="130"/>
    </row>
    <row r="663" ht="15.75" customHeight="1">
      <c r="E663" s="130"/>
    </row>
    <row r="664" ht="15.75" customHeight="1">
      <c r="E664" s="130"/>
    </row>
    <row r="665" ht="15.75" customHeight="1">
      <c r="E665" s="130"/>
    </row>
    <row r="666" ht="15.75" customHeight="1">
      <c r="E666" s="130"/>
    </row>
    <row r="667" ht="15.75" customHeight="1">
      <c r="E667" s="130"/>
    </row>
    <row r="668" ht="15.75" customHeight="1">
      <c r="E668" s="130"/>
    </row>
    <row r="669" ht="15.75" customHeight="1">
      <c r="E669" s="130"/>
    </row>
    <row r="670" ht="15.75" customHeight="1">
      <c r="E670" s="130"/>
    </row>
    <row r="671" ht="15.75" customHeight="1">
      <c r="E671" s="130"/>
    </row>
    <row r="672" ht="15.75" customHeight="1">
      <c r="E672" s="130"/>
    </row>
    <row r="673" ht="15.75" customHeight="1">
      <c r="E673" s="130"/>
    </row>
    <row r="674" ht="15.75" customHeight="1">
      <c r="E674" s="130"/>
    </row>
    <row r="675" ht="15.75" customHeight="1">
      <c r="E675" s="130"/>
    </row>
    <row r="676" ht="15.75" customHeight="1">
      <c r="E676" s="130"/>
    </row>
    <row r="677" ht="15.75" customHeight="1">
      <c r="E677" s="130"/>
    </row>
    <row r="678" ht="15.75" customHeight="1">
      <c r="E678" s="130"/>
    </row>
    <row r="679" ht="15.75" customHeight="1">
      <c r="E679" s="130"/>
    </row>
    <row r="680" ht="15.75" customHeight="1">
      <c r="E680" s="130"/>
    </row>
    <row r="681" ht="15.75" customHeight="1">
      <c r="E681" s="130"/>
    </row>
    <row r="682" ht="15.75" customHeight="1">
      <c r="E682" s="130"/>
    </row>
    <row r="683" ht="15.75" customHeight="1">
      <c r="E683" s="130"/>
    </row>
    <row r="684" ht="15.75" customHeight="1">
      <c r="E684" s="130"/>
    </row>
    <row r="685" ht="15.75" customHeight="1">
      <c r="E685" s="130"/>
    </row>
    <row r="686" ht="15.75" customHeight="1">
      <c r="E686" s="130"/>
    </row>
    <row r="687" ht="15.75" customHeight="1">
      <c r="E687" s="130"/>
    </row>
    <row r="688" ht="15.75" customHeight="1">
      <c r="E688" s="130"/>
    </row>
    <row r="689" ht="15.75" customHeight="1">
      <c r="E689" s="130"/>
    </row>
    <row r="690" ht="15.75" customHeight="1">
      <c r="E690" s="130"/>
    </row>
    <row r="691" ht="15.75" customHeight="1">
      <c r="E691" s="130"/>
    </row>
    <row r="692" ht="15.75" customHeight="1">
      <c r="E692" s="130"/>
    </row>
    <row r="693" ht="15.75" customHeight="1">
      <c r="E693" s="130"/>
    </row>
    <row r="694" ht="15.75" customHeight="1">
      <c r="E694" s="130"/>
    </row>
    <row r="695" ht="15.75" customHeight="1">
      <c r="E695" s="130"/>
    </row>
    <row r="696" ht="15.75" customHeight="1">
      <c r="E696" s="130"/>
    </row>
    <row r="697" ht="15.75" customHeight="1">
      <c r="E697" s="130"/>
    </row>
    <row r="698" ht="15.75" customHeight="1">
      <c r="E698" s="130"/>
    </row>
    <row r="699" ht="15.75" customHeight="1">
      <c r="E699" s="130"/>
    </row>
    <row r="700" ht="15.75" customHeight="1">
      <c r="E700" s="130"/>
    </row>
    <row r="701" ht="15.75" customHeight="1">
      <c r="E701" s="130"/>
    </row>
    <row r="702" ht="15.75" customHeight="1">
      <c r="E702" s="130"/>
    </row>
    <row r="703" ht="15.75" customHeight="1">
      <c r="E703" s="130"/>
    </row>
    <row r="704" ht="15.75" customHeight="1">
      <c r="E704" s="130"/>
    </row>
    <row r="705" ht="15.75" customHeight="1">
      <c r="E705" s="130"/>
    </row>
    <row r="706" ht="15.75" customHeight="1">
      <c r="E706" s="130"/>
    </row>
    <row r="707" ht="15.75" customHeight="1">
      <c r="E707" s="130"/>
    </row>
    <row r="708" ht="15.75" customHeight="1">
      <c r="E708" s="130"/>
    </row>
    <row r="709" ht="15.75" customHeight="1">
      <c r="E709" s="130"/>
    </row>
    <row r="710" ht="15.75" customHeight="1">
      <c r="E710" s="130"/>
    </row>
    <row r="711" ht="15.75" customHeight="1">
      <c r="E711" s="130"/>
    </row>
    <row r="712" ht="15.75" customHeight="1">
      <c r="E712" s="130"/>
    </row>
    <row r="713" ht="15.75" customHeight="1">
      <c r="E713" s="130"/>
    </row>
    <row r="714" ht="15.75" customHeight="1">
      <c r="E714" s="130"/>
    </row>
    <row r="715" ht="15.75" customHeight="1">
      <c r="E715" s="130"/>
    </row>
    <row r="716" ht="15.75" customHeight="1">
      <c r="E716" s="130"/>
    </row>
    <row r="717" ht="15.75" customHeight="1">
      <c r="E717" s="130"/>
    </row>
    <row r="718" ht="15.75" customHeight="1">
      <c r="E718" s="130"/>
    </row>
    <row r="719" ht="15.75" customHeight="1">
      <c r="E719" s="130"/>
    </row>
    <row r="720" ht="15.75" customHeight="1">
      <c r="E720" s="130"/>
    </row>
    <row r="721" ht="15.75" customHeight="1">
      <c r="E721" s="130"/>
    </row>
    <row r="722" ht="15.75" customHeight="1">
      <c r="E722" s="130"/>
    </row>
    <row r="723" ht="15.75" customHeight="1">
      <c r="E723" s="130"/>
    </row>
    <row r="724" ht="15.75" customHeight="1">
      <c r="E724" s="130"/>
    </row>
    <row r="725" ht="15.75" customHeight="1">
      <c r="E725" s="130"/>
    </row>
    <row r="726" ht="15.75" customHeight="1">
      <c r="E726" s="130"/>
    </row>
    <row r="727" ht="15.75" customHeight="1">
      <c r="E727" s="130"/>
    </row>
    <row r="728" ht="15.75" customHeight="1">
      <c r="E728" s="130"/>
    </row>
    <row r="729" ht="15.75" customHeight="1">
      <c r="E729" s="130"/>
    </row>
    <row r="730" ht="15.75" customHeight="1">
      <c r="E730" s="130"/>
    </row>
    <row r="731" ht="15.75" customHeight="1">
      <c r="E731" s="130"/>
    </row>
    <row r="732" ht="15.75" customHeight="1">
      <c r="E732" s="130"/>
    </row>
    <row r="733" ht="15.75" customHeight="1">
      <c r="E733" s="130"/>
    </row>
    <row r="734" ht="15.75" customHeight="1">
      <c r="E734" s="130"/>
    </row>
    <row r="735" ht="15.75" customHeight="1">
      <c r="E735" s="130"/>
    </row>
    <row r="736" ht="15.75" customHeight="1">
      <c r="E736" s="130"/>
    </row>
    <row r="737" ht="15.75" customHeight="1">
      <c r="E737" s="130"/>
    </row>
    <row r="738" ht="15.75" customHeight="1">
      <c r="E738" s="130"/>
    </row>
    <row r="739" ht="15.75" customHeight="1">
      <c r="E739" s="130"/>
    </row>
    <row r="740" ht="15.75" customHeight="1">
      <c r="E740" s="130"/>
    </row>
    <row r="741" ht="15.75" customHeight="1">
      <c r="E741" s="130"/>
    </row>
    <row r="742" ht="15.75" customHeight="1">
      <c r="E742" s="130"/>
    </row>
    <row r="743" ht="15.75" customHeight="1">
      <c r="E743" s="130"/>
    </row>
    <row r="744" ht="15.75" customHeight="1">
      <c r="E744" s="130"/>
    </row>
    <row r="745" ht="15.75" customHeight="1">
      <c r="E745" s="130"/>
    </row>
    <row r="746" ht="15.75" customHeight="1">
      <c r="E746" s="130"/>
    </row>
    <row r="747" ht="15.75" customHeight="1">
      <c r="E747" s="130"/>
    </row>
    <row r="748" ht="15.75" customHeight="1">
      <c r="E748" s="130"/>
    </row>
    <row r="749" ht="15.75" customHeight="1">
      <c r="E749" s="130"/>
    </row>
    <row r="750" ht="15.75" customHeight="1">
      <c r="E750" s="130"/>
    </row>
    <row r="751" ht="15.75" customHeight="1">
      <c r="E751" s="130"/>
    </row>
    <row r="752" ht="15.75" customHeight="1">
      <c r="E752" s="130"/>
    </row>
    <row r="753" ht="15.75" customHeight="1">
      <c r="E753" s="130"/>
    </row>
    <row r="754" ht="15.75" customHeight="1">
      <c r="E754" s="130"/>
    </row>
    <row r="755" ht="15.75" customHeight="1">
      <c r="E755" s="130"/>
    </row>
    <row r="756" ht="15.75" customHeight="1">
      <c r="E756" s="130"/>
    </row>
    <row r="757" ht="15.75" customHeight="1">
      <c r="E757" s="130"/>
    </row>
    <row r="758" ht="15.75" customHeight="1">
      <c r="E758" s="130"/>
    </row>
    <row r="759" ht="15.75" customHeight="1">
      <c r="E759" s="130"/>
    </row>
    <row r="760" ht="15.75" customHeight="1">
      <c r="E760" s="130"/>
    </row>
    <row r="761" ht="15.75" customHeight="1">
      <c r="E761" s="130"/>
    </row>
    <row r="762" ht="15.75" customHeight="1">
      <c r="E762" s="130"/>
    </row>
    <row r="763" ht="15.75" customHeight="1">
      <c r="E763" s="130"/>
    </row>
    <row r="764" ht="15.75" customHeight="1">
      <c r="E764" s="130"/>
    </row>
    <row r="765" ht="15.75" customHeight="1">
      <c r="E765" s="130"/>
    </row>
    <row r="766" ht="15.75" customHeight="1">
      <c r="E766" s="130"/>
    </row>
    <row r="767" ht="15.75" customHeight="1">
      <c r="E767" s="130"/>
    </row>
    <row r="768" ht="15.75" customHeight="1">
      <c r="E768" s="130"/>
    </row>
    <row r="769" ht="15.75" customHeight="1">
      <c r="E769" s="130"/>
    </row>
    <row r="770" ht="15.75" customHeight="1">
      <c r="E770" s="130"/>
    </row>
    <row r="771" ht="15.75" customHeight="1">
      <c r="E771" s="130"/>
    </row>
    <row r="772" ht="15.75" customHeight="1">
      <c r="E772" s="130"/>
    </row>
    <row r="773" ht="15.75" customHeight="1">
      <c r="E773" s="130"/>
    </row>
    <row r="774" ht="15.75" customHeight="1">
      <c r="E774" s="130"/>
    </row>
    <row r="775" ht="15.75" customHeight="1">
      <c r="E775" s="130"/>
    </row>
    <row r="776" ht="15.75" customHeight="1">
      <c r="E776" s="130"/>
    </row>
    <row r="777" ht="15.75" customHeight="1">
      <c r="E777" s="130"/>
    </row>
    <row r="778" ht="15.75" customHeight="1">
      <c r="E778" s="130"/>
    </row>
    <row r="779" ht="15.75" customHeight="1">
      <c r="E779" s="130"/>
    </row>
    <row r="780" ht="15.75" customHeight="1">
      <c r="E780" s="130"/>
    </row>
    <row r="781" ht="15.75" customHeight="1">
      <c r="E781" s="130"/>
    </row>
    <row r="782" ht="15.75" customHeight="1">
      <c r="E782" s="130"/>
    </row>
    <row r="783" ht="15.75" customHeight="1">
      <c r="E783" s="130"/>
    </row>
    <row r="784" ht="15.75" customHeight="1">
      <c r="E784" s="130"/>
    </row>
    <row r="785" ht="15.75" customHeight="1">
      <c r="E785" s="130"/>
    </row>
    <row r="786" ht="15.75" customHeight="1">
      <c r="E786" s="130"/>
    </row>
    <row r="787" ht="15.75" customHeight="1">
      <c r="E787" s="130"/>
    </row>
    <row r="788" ht="15.75" customHeight="1">
      <c r="E788" s="130"/>
    </row>
    <row r="789" ht="15.75" customHeight="1">
      <c r="E789" s="130"/>
    </row>
    <row r="790" ht="15.75" customHeight="1">
      <c r="E790" s="130"/>
    </row>
    <row r="791" ht="15.75" customHeight="1">
      <c r="E791" s="130"/>
    </row>
    <row r="792" ht="15.75" customHeight="1">
      <c r="E792" s="130"/>
    </row>
    <row r="793" ht="15.75" customHeight="1">
      <c r="E793" s="130"/>
    </row>
    <row r="794" ht="15.75" customHeight="1">
      <c r="E794" s="130"/>
    </row>
    <row r="795" ht="15.75" customHeight="1">
      <c r="E795" s="130"/>
    </row>
    <row r="796" ht="15.75" customHeight="1">
      <c r="E796" s="130"/>
    </row>
    <row r="797" ht="15.75" customHeight="1">
      <c r="E797" s="130"/>
    </row>
    <row r="798" ht="15.75" customHeight="1">
      <c r="E798" s="130"/>
    </row>
    <row r="799" ht="15.75" customHeight="1">
      <c r="E799" s="130"/>
    </row>
    <row r="800" ht="15.75" customHeight="1">
      <c r="E800" s="130"/>
    </row>
    <row r="801" ht="15.75" customHeight="1">
      <c r="E801" s="130"/>
    </row>
    <row r="802" ht="15.75" customHeight="1">
      <c r="E802" s="130"/>
    </row>
    <row r="803" ht="15.75" customHeight="1">
      <c r="E803" s="130"/>
    </row>
    <row r="804" ht="15.75" customHeight="1">
      <c r="E804" s="130"/>
    </row>
    <row r="805" ht="15.75" customHeight="1">
      <c r="E805" s="130"/>
    </row>
    <row r="806" ht="15.75" customHeight="1">
      <c r="E806" s="130"/>
    </row>
    <row r="807" ht="15.75" customHeight="1">
      <c r="E807" s="130"/>
    </row>
    <row r="808" ht="15.75" customHeight="1">
      <c r="E808" s="130"/>
    </row>
    <row r="809" ht="15.75" customHeight="1">
      <c r="E809" s="130"/>
    </row>
    <row r="810" ht="15.75" customHeight="1">
      <c r="E810" s="130"/>
    </row>
    <row r="811" ht="15.75" customHeight="1">
      <c r="E811" s="130"/>
    </row>
    <row r="812" ht="15.75" customHeight="1">
      <c r="E812" s="130"/>
    </row>
    <row r="813" ht="15.75" customHeight="1">
      <c r="E813" s="130"/>
    </row>
    <row r="814" ht="15.75" customHeight="1">
      <c r="E814" s="130"/>
    </row>
    <row r="815" ht="15.75" customHeight="1">
      <c r="E815" s="130"/>
    </row>
    <row r="816" ht="15.75" customHeight="1">
      <c r="E816" s="130"/>
    </row>
    <row r="817" ht="15.75" customHeight="1">
      <c r="E817" s="130"/>
    </row>
    <row r="818" ht="15.75" customHeight="1">
      <c r="E818" s="130"/>
    </row>
    <row r="819" ht="15.75" customHeight="1">
      <c r="E819" s="130"/>
    </row>
    <row r="820" ht="15.75" customHeight="1">
      <c r="E820" s="130"/>
    </row>
    <row r="821" ht="15.75" customHeight="1">
      <c r="E821" s="130"/>
    </row>
    <row r="822" ht="15.75" customHeight="1">
      <c r="E822" s="130"/>
    </row>
    <row r="823" ht="15.75" customHeight="1">
      <c r="E823" s="130"/>
    </row>
    <row r="824" ht="15.75" customHeight="1">
      <c r="E824" s="130"/>
    </row>
    <row r="825" ht="15.75" customHeight="1">
      <c r="E825" s="130"/>
    </row>
    <row r="826" ht="15.75" customHeight="1">
      <c r="E826" s="130"/>
    </row>
    <row r="827" ht="15.75" customHeight="1">
      <c r="E827" s="130"/>
    </row>
    <row r="828" ht="15.75" customHeight="1">
      <c r="E828" s="130"/>
    </row>
    <row r="829" ht="15.75" customHeight="1">
      <c r="E829" s="130"/>
    </row>
    <row r="830" ht="15.75" customHeight="1">
      <c r="E830" s="130"/>
    </row>
    <row r="831" ht="15.75" customHeight="1">
      <c r="E831" s="130"/>
    </row>
    <row r="832" ht="15.75" customHeight="1">
      <c r="E832" s="130"/>
    </row>
    <row r="833" ht="15.75" customHeight="1">
      <c r="E833" s="130"/>
    </row>
    <row r="834" ht="15.75" customHeight="1">
      <c r="E834" s="130"/>
    </row>
    <row r="835" ht="15.75" customHeight="1">
      <c r="E835" s="130"/>
    </row>
    <row r="836" ht="15.75" customHeight="1">
      <c r="E836" s="130"/>
    </row>
    <row r="837" ht="15.75" customHeight="1">
      <c r="E837" s="130"/>
    </row>
    <row r="838" ht="15.75" customHeight="1">
      <c r="E838" s="130"/>
    </row>
    <row r="839" ht="15.75" customHeight="1">
      <c r="E839" s="130"/>
    </row>
    <row r="840" ht="15.75" customHeight="1">
      <c r="E840" s="130"/>
    </row>
    <row r="841" ht="15.75" customHeight="1">
      <c r="E841" s="130"/>
    </row>
    <row r="842" ht="15.75" customHeight="1">
      <c r="E842" s="130"/>
    </row>
    <row r="843" ht="15.75" customHeight="1">
      <c r="E843" s="130"/>
    </row>
    <row r="844" ht="15.75" customHeight="1">
      <c r="E844" s="130"/>
    </row>
    <row r="845" ht="15.75" customHeight="1">
      <c r="E845" s="130"/>
    </row>
    <row r="846" ht="15.75" customHeight="1">
      <c r="E846" s="130"/>
    </row>
    <row r="847" ht="15.75" customHeight="1">
      <c r="E847" s="130"/>
    </row>
    <row r="848" ht="15.75" customHeight="1">
      <c r="E848" s="130"/>
    </row>
    <row r="849" ht="15.75" customHeight="1">
      <c r="E849" s="130"/>
    </row>
    <row r="850" ht="15.75" customHeight="1">
      <c r="E850" s="130"/>
    </row>
    <row r="851" ht="15.75" customHeight="1">
      <c r="E851" s="130"/>
    </row>
    <row r="852" ht="15.75" customHeight="1">
      <c r="E852" s="130"/>
    </row>
    <row r="853" ht="15.75" customHeight="1">
      <c r="E853" s="130"/>
    </row>
    <row r="854" ht="15.75" customHeight="1">
      <c r="E854" s="130"/>
    </row>
    <row r="855" ht="15.75" customHeight="1">
      <c r="E855" s="130"/>
    </row>
    <row r="856" ht="15.75" customHeight="1">
      <c r="E856" s="130"/>
    </row>
    <row r="857" ht="15.75" customHeight="1">
      <c r="E857" s="130"/>
    </row>
    <row r="858" ht="15.75" customHeight="1">
      <c r="E858" s="130"/>
    </row>
    <row r="859" ht="15.75" customHeight="1">
      <c r="E859" s="130"/>
    </row>
    <row r="860" ht="15.75" customHeight="1">
      <c r="E860" s="130"/>
    </row>
    <row r="861" ht="15.75" customHeight="1">
      <c r="E861" s="130"/>
    </row>
    <row r="862" ht="15.75" customHeight="1">
      <c r="E862" s="130"/>
    </row>
    <row r="863" ht="15.75" customHeight="1">
      <c r="E863" s="130"/>
    </row>
    <row r="864" ht="15.75" customHeight="1">
      <c r="E864" s="130"/>
    </row>
    <row r="865" ht="15.75" customHeight="1">
      <c r="E865" s="130"/>
    </row>
    <row r="866" ht="15.75" customHeight="1">
      <c r="E866" s="130"/>
    </row>
    <row r="867" ht="15.75" customHeight="1">
      <c r="E867" s="130"/>
    </row>
    <row r="868" ht="15.75" customHeight="1">
      <c r="E868" s="130"/>
    </row>
    <row r="869" ht="15.75" customHeight="1">
      <c r="E869" s="130"/>
    </row>
    <row r="870" ht="15.75" customHeight="1">
      <c r="E870" s="130"/>
    </row>
    <row r="871" ht="15.75" customHeight="1">
      <c r="E871" s="130"/>
    </row>
    <row r="872" ht="15.75" customHeight="1">
      <c r="E872" s="130"/>
    </row>
    <row r="873" ht="15.75" customHeight="1">
      <c r="E873" s="130"/>
    </row>
    <row r="874" ht="15.75" customHeight="1">
      <c r="E874" s="130"/>
    </row>
    <row r="875" ht="15.75" customHeight="1">
      <c r="E875" s="130"/>
    </row>
    <row r="876" ht="15.75" customHeight="1">
      <c r="E876" s="130"/>
    </row>
    <row r="877" ht="15.75" customHeight="1">
      <c r="E877" s="130"/>
    </row>
    <row r="878" ht="15.75" customHeight="1">
      <c r="E878" s="130"/>
    </row>
    <row r="879" ht="15.75" customHeight="1">
      <c r="E879" s="130"/>
    </row>
    <row r="880" ht="15.75" customHeight="1">
      <c r="E880" s="130"/>
    </row>
    <row r="881" ht="15.75" customHeight="1">
      <c r="E881" s="130"/>
    </row>
    <row r="882" ht="15.75" customHeight="1">
      <c r="E882" s="130"/>
    </row>
    <row r="883" ht="15.75" customHeight="1">
      <c r="E883" s="130"/>
    </row>
    <row r="884" ht="15.75" customHeight="1">
      <c r="E884" s="130"/>
    </row>
    <row r="885" ht="15.75" customHeight="1">
      <c r="E885" s="130"/>
    </row>
    <row r="886" ht="15.75" customHeight="1">
      <c r="E886" s="130"/>
    </row>
    <row r="887" ht="15.75" customHeight="1">
      <c r="E887" s="130"/>
    </row>
    <row r="888" ht="15.75" customHeight="1">
      <c r="E888" s="130"/>
    </row>
    <row r="889" ht="15.75" customHeight="1">
      <c r="E889" s="130"/>
    </row>
    <row r="890" ht="15.75" customHeight="1">
      <c r="E890" s="130"/>
    </row>
    <row r="891" ht="15.75" customHeight="1">
      <c r="E891" s="130"/>
    </row>
    <row r="892" ht="15.75" customHeight="1">
      <c r="E892" s="130"/>
    </row>
    <row r="893" ht="15.75" customHeight="1">
      <c r="E893" s="130"/>
    </row>
    <row r="894" ht="15.75" customHeight="1">
      <c r="E894" s="130"/>
    </row>
    <row r="895" ht="15.75" customHeight="1">
      <c r="E895" s="130"/>
    </row>
    <row r="896" ht="15.75" customHeight="1">
      <c r="E896" s="130"/>
    </row>
    <row r="897" ht="15.75" customHeight="1">
      <c r="E897" s="130"/>
    </row>
    <row r="898" ht="15.75" customHeight="1">
      <c r="E898" s="130"/>
    </row>
    <row r="899" ht="15.75" customHeight="1">
      <c r="E899" s="130"/>
    </row>
    <row r="900" ht="15.75" customHeight="1">
      <c r="E900" s="130"/>
    </row>
    <row r="901" ht="15.75" customHeight="1">
      <c r="E901" s="130"/>
    </row>
    <row r="902" ht="15.75" customHeight="1">
      <c r="E902" s="130"/>
    </row>
    <row r="903" ht="15.75" customHeight="1">
      <c r="E903" s="130"/>
    </row>
    <row r="904" ht="15.75" customHeight="1">
      <c r="E904" s="130"/>
    </row>
    <row r="905" ht="15.75" customHeight="1">
      <c r="E905" s="130"/>
    </row>
    <row r="906" ht="15.75" customHeight="1">
      <c r="E906" s="130"/>
    </row>
    <row r="907" ht="15.75" customHeight="1">
      <c r="E907" s="130"/>
    </row>
    <row r="908" ht="15.75" customHeight="1">
      <c r="E908" s="130"/>
    </row>
    <row r="909" ht="15.75" customHeight="1">
      <c r="E909" s="130"/>
    </row>
    <row r="910" ht="15.75" customHeight="1">
      <c r="E910" s="130"/>
    </row>
    <row r="911" ht="15.75" customHeight="1">
      <c r="E911" s="130"/>
    </row>
    <row r="912" ht="15.75" customHeight="1">
      <c r="E912" s="130"/>
    </row>
    <row r="913" ht="15.75" customHeight="1">
      <c r="E913" s="130"/>
    </row>
    <row r="914" ht="15.75" customHeight="1">
      <c r="E914" s="130"/>
    </row>
    <row r="915" ht="15.75" customHeight="1">
      <c r="E915" s="130"/>
    </row>
    <row r="916" ht="15.75" customHeight="1">
      <c r="E916" s="130"/>
    </row>
    <row r="917" ht="15.75" customHeight="1">
      <c r="E917" s="130"/>
    </row>
    <row r="918" ht="15.75" customHeight="1">
      <c r="E918" s="130"/>
    </row>
    <row r="919" ht="15.75" customHeight="1">
      <c r="E919" s="130"/>
    </row>
    <row r="920" ht="15.75" customHeight="1">
      <c r="E920" s="130"/>
    </row>
    <row r="921" ht="15.75" customHeight="1">
      <c r="E921" s="130"/>
    </row>
    <row r="922" ht="15.75" customHeight="1">
      <c r="E922" s="130"/>
    </row>
    <row r="923" ht="15.75" customHeight="1">
      <c r="E923" s="130"/>
    </row>
    <row r="924" ht="15.75" customHeight="1">
      <c r="E924" s="130"/>
    </row>
    <row r="925" ht="15.75" customHeight="1">
      <c r="E925" s="130"/>
    </row>
    <row r="926" ht="15.75" customHeight="1">
      <c r="E926" s="130"/>
    </row>
    <row r="927" ht="15.75" customHeight="1">
      <c r="E927" s="130"/>
    </row>
    <row r="928" ht="15.75" customHeight="1">
      <c r="E928" s="130"/>
    </row>
    <row r="929" ht="15.75" customHeight="1">
      <c r="E929" s="130"/>
    </row>
    <row r="930" ht="15.75" customHeight="1">
      <c r="E930" s="130"/>
    </row>
    <row r="931" ht="15.75" customHeight="1">
      <c r="E931" s="130"/>
    </row>
    <row r="932" ht="15.75" customHeight="1">
      <c r="E932" s="130"/>
    </row>
    <row r="933" ht="15.75" customHeight="1">
      <c r="E933" s="130"/>
    </row>
    <row r="934" ht="15.75" customHeight="1">
      <c r="E934" s="130"/>
    </row>
    <row r="935" ht="15.75" customHeight="1">
      <c r="E935" s="130"/>
    </row>
    <row r="936" ht="15.75" customHeight="1">
      <c r="E936" s="130"/>
    </row>
    <row r="937" ht="15.75" customHeight="1">
      <c r="E937" s="130"/>
    </row>
    <row r="938" ht="15.75" customHeight="1">
      <c r="E938" s="130"/>
    </row>
    <row r="939" ht="15.75" customHeight="1">
      <c r="E939" s="130"/>
    </row>
    <row r="940" ht="15.75" customHeight="1">
      <c r="E940" s="130"/>
    </row>
    <row r="941" ht="15.75" customHeight="1">
      <c r="E941" s="130"/>
    </row>
    <row r="942" ht="15.75" customHeight="1">
      <c r="E942" s="130"/>
    </row>
    <row r="943" ht="15.75" customHeight="1">
      <c r="E943" s="130"/>
    </row>
    <row r="944" ht="15.75" customHeight="1">
      <c r="E944" s="130"/>
    </row>
    <row r="945" ht="15.75" customHeight="1">
      <c r="E945" s="130"/>
    </row>
    <row r="946" ht="15.75" customHeight="1">
      <c r="E946" s="130"/>
    </row>
    <row r="947" ht="15.75" customHeight="1">
      <c r="E947" s="130"/>
    </row>
    <row r="948" ht="15.75" customHeight="1">
      <c r="E948" s="130"/>
    </row>
    <row r="949" ht="15.75" customHeight="1">
      <c r="E949" s="130"/>
    </row>
    <row r="950" ht="15.75" customHeight="1">
      <c r="E950" s="130"/>
    </row>
    <row r="951" ht="15.75" customHeight="1">
      <c r="E951" s="130"/>
    </row>
    <row r="952" ht="15.75" customHeight="1">
      <c r="E952" s="130"/>
    </row>
    <row r="953" ht="15.75" customHeight="1">
      <c r="E953" s="130"/>
    </row>
    <row r="954" ht="15.75" customHeight="1">
      <c r="E954" s="130"/>
    </row>
    <row r="955" ht="15.75" customHeight="1">
      <c r="E955" s="130"/>
    </row>
    <row r="956" ht="15.75" customHeight="1">
      <c r="E956" s="130"/>
    </row>
    <row r="957" ht="15.75" customHeight="1">
      <c r="E957" s="130"/>
    </row>
    <row r="958" ht="15.75" customHeight="1">
      <c r="E958" s="130"/>
    </row>
    <row r="959" ht="15.75" customHeight="1">
      <c r="E959" s="130"/>
    </row>
    <row r="960" ht="15.75" customHeight="1">
      <c r="E960" s="130"/>
    </row>
    <row r="961" ht="15.75" customHeight="1">
      <c r="E961" s="130"/>
    </row>
    <row r="962" ht="15.75" customHeight="1">
      <c r="E962" s="130"/>
    </row>
    <row r="963" ht="15.75" customHeight="1">
      <c r="E963" s="130"/>
    </row>
    <row r="964" ht="15.75" customHeight="1">
      <c r="E964" s="130"/>
    </row>
    <row r="965" ht="15.75" customHeight="1">
      <c r="E965" s="130"/>
    </row>
    <row r="966" ht="15.75" customHeight="1">
      <c r="E966" s="130"/>
    </row>
    <row r="967" ht="15.75" customHeight="1">
      <c r="E967" s="130"/>
    </row>
    <row r="968" ht="15.75" customHeight="1">
      <c r="E968" s="130"/>
    </row>
    <row r="969" ht="15.75" customHeight="1">
      <c r="E969" s="130"/>
    </row>
    <row r="970" ht="15.75" customHeight="1">
      <c r="E970" s="130"/>
    </row>
    <row r="971" ht="15.75" customHeight="1">
      <c r="E971" s="130"/>
    </row>
    <row r="972" ht="15.75" customHeight="1">
      <c r="E972" s="130"/>
    </row>
    <row r="973" ht="15.75" customHeight="1">
      <c r="E973" s="130"/>
    </row>
    <row r="974" ht="15.75" customHeight="1">
      <c r="E974" s="130"/>
    </row>
    <row r="975" ht="15.75" customHeight="1">
      <c r="E975" s="130"/>
    </row>
    <row r="976" ht="15.75" customHeight="1">
      <c r="E976" s="130"/>
    </row>
    <row r="977" ht="15.75" customHeight="1">
      <c r="E977" s="130"/>
    </row>
    <row r="978" ht="15.75" customHeight="1">
      <c r="E978" s="130"/>
    </row>
    <row r="979" ht="15.75" customHeight="1">
      <c r="E979" s="130"/>
    </row>
    <row r="980" ht="15.75" customHeight="1">
      <c r="E980" s="130"/>
    </row>
    <row r="981" ht="15.75" customHeight="1">
      <c r="E981" s="130"/>
    </row>
    <row r="982" ht="15.75" customHeight="1">
      <c r="E982" s="130"/>
    </row>
    <row r="983" ht="15.75" customHeight="1">
      <c r="E983" s="130"/>
    </row>
    <row r="984" ht="15.75" customHeight="1">
      <c r="E984" s="130"/>
    </row>
    <row r="985" ht="15.75" customHeight="1">
      <c r="E985" s="130"/>
    </row>
    <row r="986" ht="15.75" customHeight="1">
      <c r="E986" s="130"/>
    </row>
    <row r="987" ht="15.75" customHeight="1">
      <c r="E987" s="130"/>
    </row>
    <row r="988" ht="15.75" customHeight="1">
      <c r="E988" s="130"/>
    </row>
    <row r="989" ht="15.75" customHeight="1">
      <c r="E989" s="130"/>
    </row>
    <row r="990" ht="15.75" customHeight="1">
      <c r="E990" s="130"/>
    </row>
    <row r="991" ht="15.75" customHeight="1">
      <c r="E991" s="130"/>
    </row>
    <row r="992" ht="15.75" customHeight="1">
      <c r="E992" s="130"/>
    </row>
    <row r="993" ht="15.75" customHeight="1">
      <c r="E993" s="130"/>
    </row>
    <row r="994" ht="15.75" customHeight="1">
      <c r="E994" s="130"/>
    </row>
    <row r="995" ht="15.75" customHeight="1">
      <c r="E995" s="130"/>
    </row>
    <row r="996" ht="15.75" customHeight="1">
      <c r="E996" s="130"/>
    </row>
    <row r="997" ht="15.75" customHeight="1">
      <c r="E997" s="130"/>
    </row>
    <row r="998" ht="15.75" customHeight="1">
      <c r="E998" s="130"/>
    </row>
    <row r="999" ht="15.75" customHeight="1">
      <c r="E999" s="130"/>
    </row>
  </sheetData>
  <mergeCells count="2">
    <mergeCell ref="A1:C2"/>
    <mergeCell ref="D1:F2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8.0"/>
    <col customWidth="1" min="3" max="3" width="8.75"/>
    <col customWidth="1" min="4" max="4" width="40.0"/>
    <col customWidth="1" min="5" max="5" width="13.88"/>
    <col customWidth="1" min="6" max="6" width="25.5"/>
    <col customWidth="1" min="7" max="7" width="7.25"/>
    <col customWidth="1" min="8" max="8" width="6.0"/>
    <col customWidth="1" min="9" max="9" width="4.13"/>
    <col customWidth="1" min="10" max="10" width="4.88"/>
    <col customWidth="1" min="11" max="11" width="11.63"/>
    <col customWidth="1" min="12" max="12" width="9.88"/>
    <col customWidth="1" min="13" max="13" width="11.13"/>
    <col customWidth="1" min="14" max="14" width="7.63"/>
    <col customWidth="1" min="15" max="15" width="10.25"/>
    <col customWidth="1" min="16" max="16" width="6.38"/>
    <col customWidth="1" min="17" max="17" width="4.75"/>
    <col customWidth="1" min="18" max="18" width="7.63"/>
    <col customWidth="1" min="19" max="19" width="6.25"/>
    <col customWidth="1" min="20" max="20" width="7.0"/>
    <col customWidth="1" min="21" max="26" width="12.63"/>
  </cols>
  <sheetData>
    <row r="1" ht="15.75" customHeight="1">
      <c r="A1" s="164" t="s">
        <v>1289</v>
      </c>
      <c r="B1" s="163" t="s">
        <v>2</v>
      </c>
      <c r="C1" s="163" t="s">
        <v>2</v>
      </c>
      <c r="D1" s="163" t="s">
        <v>4</v>
      </c>
      <c r="E1" s="163" t="s">
        <v>1290</v>
      </c>
      <c r="F1" s="165" t="s">
        <v>1055</v>
      </c>
      <c r="G1" s="166" t="s">
        <v>1090</v>
      </c>
      <c r="H1" s="183"/>
      <c r="I1" s="168">
        <v>0.03</v>
      </c>
      <c r="J1" s="269" t="s">
        <v>1291</v>
      </c>
      <c r="K1" s="170"/>
      <c r="L1" s="170"/>
      <c r="M1" s="170"/>
      <c r="N1" s="170"/>
      <c r="O1" s="170"/>
      <c r="P1" s="184"/>
      <c r="Q1" s="270" t="s">
        <v>1292</v>
      </c>
      <c r="R1" s="167" t="s">
        <v>17</v>
      </c>
      <c r="S1" s="170"/>
      <c r="T1" s="171"/>
    </row>
    <row r="2" ht="15.75" customHeight="1">
      <c r="A2" s="173"/>
      <c r="B2" s="173"/>
      <c r="C2" s="173"/>
      <c r="D2" s="173"/>
      <c r="E2" s="173"/>
      <c r="F2" s="60"/>
      <c r="G2" s="225" t="s">
        <v>7</v>
      </c>
      <c r="H2" s="175" t="s">
        <v>9</v>
      </c>
      <c r="I2" s="176"/>
      <c r="J2" s="177" t="s">
        <v>10</v>
      </c>
      <c r="K2" s="178" t="s">
        <v>1057</v>
      </c>
      <c r="L2" s="177" t="s">
        <v>23</v>
      </c>
      <c r="M2" s="271" t="s">
        <v>24</v>
      </c>
      <c r="N2" s="272" t="s">
        <v>23</v>
      </c>
      <c r="O2" s="271" t="s">
        <v>28</v>
      </c>
      <c r="P2" s="273" t="s">
        <v>23</v>
      </c>
      <c r="Q2" s="274">
        <v>0.2</v>
      </c>
      <c r="R2" s="226" t="s">
        <v>1059</v>
      </c>
      <c r="S2" s="184" t="s">
        <v>1060</v>
      </c>
      <c r="T2" s="186" t="s">
        <v>1293</v>
      </c>
    </row>
    <row r="3" ht="15.75" customHeight="1">
      <c r="A3" s="199" t="s">
        <v>29</v>
      </c>
      <c r="B3" s="199"/>
      <c r="C3" s="199"/>
      <c r="D3" s="199"/>
      <c r="E3" s="199"/>
      <c r="F3" s="199"/>
      <c r="G3" s="227"/>
      <c r="H3" s="228"/>
      <c r="I3" s="202"/>
      <c r="J3" s="203"/>
      <c r="K3" s="204"/>
      <c r="L3" s="203"/>
      <c r="M3" s="204"/>
      <c r="N3" s="203"/>
      <c r="O3" s="204"/>
      <c r="P3" s="275"/>
      <c r="Q3" s="276"/>
      <c r="R3" s="228"/>
      <c r="S3" s="199"/>
      <c r="T3" s="202"/>
      <c r="U3" s="277"/>
      <c r="V3" s="277"/>
      <c r="W3" s="277"/>
      <c r="X3" s="277"/>
      <c r="Y3" s="277"/>
      <c r="Z3" s="277"/>
    </row>
    <row r="4" ht="15.75" customHeight="1">
      <c r="A4" s="199" t="s">
        <v>30</v>
      </c>
      <c r="B4" s="199"/>
      <c r="C4" s="199"/>
      <c r="D4" s="199"/>
      <c r="E4" s="199"/>
      <c r="F4" s="199"/>
      <c r="G4" s="227"/>
      <c r="H4" s="228"/>
      <c r="I4" s="202"/>
      <c r="J4" s="203"/>
      <c r="K4" s="204"/>
      <c r="L4" s="203"/>
      <c r="M4" s="278"/>
      <c r="N4" s="279"/>
      <c r="O4" s="278"/>
      <c r="P4" s="280"/>
      <c r="Q4" s="276"/>
      <c r="R4" s="228"/>
      <c r="S4" s="199"/>
      <c r="T4" s="202"/>
    </row>
    <row r="5" ht="15.75" customHeight="1">
      <c r="A5" s="50">
        <v>9.0</v>
      </c>
      <c r="B5" s="50" t="s">
        <v>34</v>
      </c>
      <c r="C5" s="50" t="s">
        <v>35</v>
      </c>
      <c r="D5" s="50" t="s">
        <v>1294</v>
      </c>
      <c r="E5" s="281" t="s">
        <v>1295</v>
      </c>
      <c r="G5" s="282">
        <v>11184.0</v>
      </c>
      <c r="H5" s="283">
        <v>0.0</v>
      </c>
      <c r="I5" s="284">
        <f t="shared" ref="I5:I6" si="1">round(G5*3%,0)</f>
        <v>336</v>
      </c>
      <c r="J5" s="285">
        <f t="shared" ref="J5:J6" si="2">sum(L5+N5+P5)</f>
        <v>950</v>
      </c>
      <c r="K5" s="286" t="s">
        <v>1296</v>
      </c>
      <c r="L5" s="287">
        <v>700.0</v>
      </c>
      <c r="M5" s="288" t="s">
        <v>1266</v>
      </c>
      <c r="N5" s="285">
        <v>250.0</v>
      </c>
      <c r="O5" s="289"/>
      <c r="P5" s="290"/>
      <c r="Q5" s="291">
        <f t="shared" ref="Q5:Q6" si="3">round((G5-I5-J5)*20%,0)</f>
        <v>1980</v>
      </c>
      <c r="R5" s="292">
        <f t="shared" ref="R5:R6" si="4">round(sum(G5-I5-J5-Q5-H5),0)</f>
        <v>7918</v>
      </c>
      <c r="S5" s="252">
        <f t="shared" ref="S5:S6" si="5">5*(R5/5-T5)</f>
        <v>418</v>
      </c>
      <c r="T5" s="293">
        <v>1500.0</v>
      </c>
    </row>
    <row r="6" ht="15.75" customHeight="1">
      <c r="A6" s="50">
        <v>14.0</v>
      </c>
      <c r="B6" s="50" t="s">
        <v>54</v>
      </c>
      <c r="C6" s="50" t="s">
        <v>569</v>
      </c>
      <c r="D6" s="50" t="s">
        <v>1297</v>
      </c>
      <c r="E6" s="281" t="s">
        <v>1298</v>
      </c>
      <c r="F6" s="50" t="s">
        <v>1299</v>
      </c>
      <c r="G6" s="282">
        <v>0.0</v>
      </c>
      <c r="H6" s="283">
        <v>0.0</v>
      </c>
      <c r="I6" s="284">
        <f t="shared" si="1"/>
        <v>0</v>
      </c>
      <c r="J6" s="285">
        <f t="shared" si="2"/>
        <v>0</v>
      </c>
      <c r="K6" s="286" t="s">
        <v>38</v>
      </c>
      <c r="L6" s="287">
        <v>0.0</v>
      </c>
      <c r="M6" s="289"/>
      <c r="N6" s="294"/>
      <c r="O6" s="289"/>
      <c r="P6" s="290"/>
      <c r="Q6" s="291">
        <f t="shared" si="3"/>
        <v>0</v>
      </c>
      <c r="R6" s="292">
        <f t="shared" si="4"/>
        <v>0</v>
      </c>
      <c r="S6" s="252">
        <f t="shared" si="5"/>
        <v>0</v>
      </c>
      <c r="T6" s="295">
        <f>round(R6/5,-2)</f>
        <v>0</v>
      </c>
    </row>
    <row r="7" ht="15.75" customHeight="1">
      <c r="A7" s="199" t="s">
        <v>31</v>
      </c>
      <c r="B7" s="199"/>
      <c r="C7" s="199"/>
      <c r="D7" s="199"/>
      <c r="E7" s="199"/>
      <c r="F7" s="199"/>
      <c r="G7" s="227"/>
      <c r="H7" s="228"/>
      <c r="I7" s="202"/>
      <c r="J7" s="296"/>
      <c r="K7" s="297"/>
      <c r="L7" s="298"/>
      <c r="M7" s="299"/>
      <c r="N7" s="300"/>
      <c r="O7" s="299"/>
      <c r="P7" s="301"/>
      <c r="Q7" s="276"/>
      <c r="R7" s="228"/>
      <c r="S7" s="199"/>
      <c r="T7" s="202"/>
    </row>
    <row r="8" ht="15.75" customHeight="1">
      <c r="A8" s="50">
        <v>1.0</v>
      </c>
      <c r="B8" s="50" t="s">
        <v>34</v>
      </c>
      <c r="C8" s="50" t="s">
        <v>70</v>
      </c>
      <c r="D8" s="50" t="s">
        <v>1300</v>
      </c>
      <c r="E8" s="281" t="s">
        <v>1301</v>
      </c>
      <c r="G8" s="282">
        <v>17279.0</v>
      </c>
      <c r="H8" s="283">
        <v>0.0</v>
      </c>
      <c r="I8" s="284">
        <f>round(G8*3%,0)</f>
        <v>518</v>
      </c>
      <c r="J8" s="285">
        <f>sum(L8+N8+P8)</f>
        <v>4670</v>
      </c>
      <c r="K8" s="286" t="s">
        <v>1302</v>
      </c>
      <c r="L8" s="287">
        <v>1870.0</v>
      </c>
      <c r="M8" s="289"/>
      <c r="N8" s="294"/>
      <c r="O8" s="288" t="s">
        <v>1303</v>
      </c>
      <c r="P8" s="302">
        <v>2800.0</v>
      </c>
      <c r="Q8" s="291">
        <f>round((G8-I8-J8)*20%,0)</f>
        <v>2418</v>
      </c>
      <c r="R8" s="292">
        <f>round(sum(G8-I8-J8-Q8-H8),0)</f>
        <v>9673</v>
      </c>
      <c r="S8" s="252">
        <f>5*(R8/5-T8)</f>
        <v>173</v>
      </c>
      <c r="T8" s="293">
        <v>1900.0</v>
      </c>
    </row>
    <row r="9" ht="15.75" customHeight="1">
      <c r="A9" s="199" t="s">
        <v>32</v>
      </c>
      <c r="B9" s="199"/>
      <c r="C9" s="199"/>
      <c r="D9" s="199"/>
      <c r="E9" s="199"/>
      <c r="F9" s="199"/>
      <c r="G9" s="227"/>
      <c r="H9" s="228"/>
      <c r="I9" s="202"/>
      <c r="J9" s="296"/>
      <c r="K9" s="297"/>
      <c r="L9" s="298"/>
      <c r="M9" s="299"/>
      <c r="N9" s="300"/>
      <c r="O9" s="299"/>
      <c r="P9" s="301"/>
      <c r="Q9" s="276"/>
      <c r="R9" s="228"/>
      <c r="S9" s="199"/>
      <c r="T9" s="202"/>
    </row>
    <row r="10" ht="15.75" customHeight="1">
      <c r="A10" s="50">
        <v>4.0</v>
      </c>
      <c r="B10" s="50" t="s">
        <v>34</v>
      </c>
      <c r="C10" s="50" t="s">
        <v>78</v>
      </c>
      <c r="D10" s="50" t="s">
        <v>1304</v>
      </c>
      <c r="E10" s="281" t="s">
        <v>1305</v>
      </c>
      <c r="F10" s="50" t="s">
        <v>1306</v>
      </c>
      <c r="G10" s="282">
        <v>7125.0</v>
      </c>
      <c r="H10" s="283">
        <v>0.0</v>
      </c>
      <c r="I10" s="284">
        <f>round(G10*3%,0)</f>
        <v>214</v>
      </c>
      <c r="J10" s="285">
        <f>sum(L10+N10+P10)</f>
        <v>1200</v>
      </c>
      <c r="K10" s="286" t="s">
        <v>1307</v>
      </c>
      <c r="L10" s="287">
        <v>950.0</v>
      </c>
      <c r="M10" s="288" t="s">
        <v>113</v>
      </c>
      <c r="N10" s="285">
        <v>250.0</v>
      </c>
      <c r="O10" s="289"/>
      <c r="P10" s="290"/>
      <c r="Q10" s="291">
        <f>round((G10-I10-J10)*20%,0)</f>
        <v>1142</v>
      </c>
      <c r="R10" s="292">
        <f>round(sum(G10-I10-J10-Q10-H10),0)</f>
        <v>4569</v>
      </c>
      <c r="S10" s="252">
        <f>5*(R10/5-T10)</f>
        <v>-431</v>
      </c>
      <c r="T10" s="293">
        <v>1000.0</v>
      </c>
    </row>
    <row r="11" ht="15.75" customHeight="1">
      <c r="A11" s="199" t="s">
        <v>33</v>
      </c>
      <c r="B11" s="199"/>
      <c r="C11" s="199"/>
      <c r="D11" s="199"/>
      <c r="E11" s="199"/>
      <c r="F11" s="199"/>
      <c r="G11" s="227"/>
      <c r="H11" s="228"/>
      <c r="I11" s="202"/>
      <c r="J11" s="296"/>
      <c r="K11" s="297"/>
      <c r="L11" s="298"/>
      <c r="M11" s="299"/>
      <c r="N11" s="300"/>
      <c r="O11" s="299"/>
      <c r="P11" s="301"/>
      <c r="Q11" s="276"/>
      <c r="R11" s="228"/>
      <c r="S11" s="199"/>
      <c r="T11" s="202"/>
    </row>
    <row r="12" ht="15.75" customHeight="1">
      <c r="A12" s="50">
        <v>11.0</v>
      </c>
      <c r="B12" s="50" t="s">
        <v>34</v>
      </c>
      <c r="C12" s="50" t="s">
        <v>35</v>
      </c>
      <c r="D12" s="50" t="s">
        <v>1308</v>
      </c>
      <c r="E12" s="281" t="s">
        <v>1309</v>
      </c>
      <c r="G12" s="282">
        <v>12528.0</v>
      </c>
      <c r="H12" s="283">
        <v>1392.0</v>
      </c>
      <c r="I12" s="284">
        <f>round(H12*3%,0)</f>
        <v>42</v>
      </c>
      <c r="J12" s="285">
        <f t="shared" ref="J12:J15" si="6">sum(L12+N12+P12)</f>
        <v>1180</v>
      </c>
      <c r="K12" s="286" t="s">
        <v>38</v>
      </c>
      <c r="L12" s="285">
        <v>930.0</v>
      </c>
      <c r="M12" s="288" t="s">
        <v>113</v>
      </c>
      <c r="N12" s="285">
        <v>250.0</v>
      </c>
      <c r="O12" s="289"/>
      <c r="P12" s="290"/>
      <c r="Q12" s="303">
        <v>0.0</v>
      </c>
      <c r="R12" s="292">
        <f t="shared" ref="R12:R15" si="7">round(sum(G12-I12-J12-Q12-H12),0)</f>
        <v>9914</v>
      </c>
      <c r="S12" s="252">
        <f t="shared" ref="S12:S15" si="8">5*(R12/5-T12)</f>
        <v>2414</v>
      </c>
      <c r="T12" s="293">
        <v>1500.0</v>
      </c>
    </row>
    <row r="13" ht="15.75" customHeight="1">
      <c r="A13" s="50">
        <v>18.0</v>
      </c>
      <c r="B13" s="50" t="s">
        <v>54</v>
      </c>
      <c r="C13" s="50" t="s">
        <v>569</v>
      </c>
      <c r="D13" s="50" t="s">
        <v>1310</v>
      </c>
      <c r="E13" s="281" t="s">
        <v>1311</v>
      </c>
      <c r="F13" s="50" t="s">
        <v>1312</v>
      </c>
      <c r="G13" s="282">
        <v>4500.0</v>
      </c>
      <c r="H13" s="283">
        <v>0.0</v>
      </c>
      <c r="I13" s="284">
        <f>round(G13*3%,0)</f>
        <v>135</v>
      </c>
      <c r="J13" s="285">
        <f t="shared" si="6"/>
        <v>1000</v>
      </c>
      <c r="K13" s="286" t="s">
        <v>38</v>
      </c>
      <c r="L13" s="285">
        <v>600.0</v>
      </c>
      <c r="M13" s="288" t="s">
        <v>1266</v>
      </c>
      <c r="N13" s="285">
        <v>300.0</v>
      </c>
      <c r="O13" s="288" t="s">
        <v>25</v>
      </c>
      <c r="P13" s="285">
        <v>100.0</v>
      </c>
      <c r="Q13" s="291">
        <f t="shared" ref="Q13:Q14" si="9">round((G13-I13-J13)*20%,0)</f>
        <v>673</v>
      </c>
      <c r="R13" s="292">
        <f t="shared" si="7"/>
        <v>2692</v>
      </c>
      <c r="S13" s="252">
        <f t="shared" si="8"/>
        <v>192</v>
      </c>
      <c r="T13" s="293">
        <v>500.0</v>
      </c>
    </row>
    <row r="14" ht="15.75" customHeight="1">
      <c r="A14" s="50">
        <v>23.0</v>
      </c>
      <c r="B14" s="50" t="s">
        <v>54</v>
      </c>
      <c r="C14" s="50" t="s">
        <v>569</v>
      </c>
      <c r="D14" s="50" t="s">
        <v>1313</v>
      </c>
      <c r="E14" s="281"/>
      <c r="G14" s="282">
        <v>800.0</v>
      </c>
      <c r="H14" s="283"/>
      <c r="I14" s="304">
        <v>0.0</v>
      </c>
      <c r="J14" s="285">
        <f t="shared" si="6"/>
        <v>1100</v>
      </c>
      <c r="K14" s="286" t="s">
        <v>1302</v>
      </c>
      <c r="L14" s="285">
        <v>500.0</v>
      </c>
      <c r="M14" s="288" t="s">
        <v>1314</v>
      </c>
      <c r="N14" s="285">
        <v>500.0</v>
      </c>
      <c r="O14" s="288" t="s">
        <v>85</v>
      </c>
      <c r="P14" s="302">
        <v>100.0</v>
      </c>
      <c r="Q14" s="291">
        <f t="shared" si="9"/>
        <v>-60</v>
      </c>
      <c r="R14" s="292">
        <f t="shared" si="7"/>
        <v>-240</v>
      </c>
      <c r="S14" s="252">
        <f t="shared" si="8"/>
        <v>-240</v>
      </c>
      <c r="T14" s="293">
        <v>0.0</v>
      </c>
    </row>
    <row r="15" ht="15.75" customHeight="1">
      <c r="A15" s="50">
        <v>25.0</v>
      </c>
      <c r="B15" s="50" t="s">
        <v>34</v>
      </c>
      <c r="C15" s="50" t="s">
        <v>35</v>
      </c>
      <c r="D15" s="50" t="s">
        <v>1300</v>
      </c>
      <c r="E15" s="281" t="s">
        <v>1315</v>
      </c>
      <c r="G15" s="282">
        <v>13048.0</v>
      </c>
      <c r="H15" s="283">
        <v>1398.0</v>
      </c>
      <c r="I15" s="284">
        <f>round(H15*3%,0)</f>
        <v>42</v>
      </c>
      <c r="J15" s="285">
        <f t="shared" si="6"/>
        <v>1230</v>
      </c>
      <c r="K15" s="286" t="s">
        <v>38</v>
      </c>
      <c r="L15" s="285">
        <v>930.0</v>
      </c>
      <c r="M15" s="288" t="s">
        <v>1316</v>
      </c>
      <c r="N15" s="285">
        <v>300.0</v>
      </c>
      <c r="O15" s="289"/>
      <c r="P15" s="290"/>
      <c r="Q15" s="303">
        <v>0.0</v>
      </c>
      <c r="R15" s="292">
        <f t="shared" si="7"/>
        <v>10378</v>
      </c>
      <c r="S15" s="252">
        <f t="shared" si="8"/>
        <v>-122</v>
      </c>
      <c r="T15" s="295">
        <f>round(R15/5,-2)</f>
        <v>2100</v>
      </c>
    </row>
    <row r="16" ht="15.75" customHeight="1">
      <c r="A16" s="199" t="s">
        <v>39</v>
      </c>
      <c r="B16" s="199"/>
      <c r="C16" s="199"/>
      <c r="D16" s="199"/>
      <c r="E16" s="199"/>
      <c r="F16" s="199"/>
      <c r="G16" s="227"/>
      <c r="H16" s="228"/>
      <c r="I16" s="202"/>
      <c r="J16" s="296"/>
      <c r="K16" s="297"/>
      <c r="L16" s="298"/>
      <c r="M16" s="299"/>
      <c r="N16" s="300"/>
      <c r="O16" s="299"/>
      <c r="P16" s="301"/>
      <c r="Q16" s="276"/>
      <c r="R16" s="228"/>
      <c r="S16" s="199"/>
      <c r="T16" s="202"/>
    </row>
    <row r="17" ht="15.75" customHeight="1">
      <c r="A17">
        <v>1.0</v>
      </c>
      <c r="B17" s="50" t="s">
        <v>34</v>
      </c>
      <c r="C17" s="50" t="s">
        <v>35</v>
      </c>
      <c r="D17" s="50" t="s">
        <v>87</v>
      </c>
      <c r="E17" s="281" t="s">
        <v>1317</v>
      </c>
      <c r="G17" s="282">
        <v>13058.0</v>
      </c>
      <c r="H17" s="283">
        <v>1400.0</v>
      </c>
      <c r="I17" s="284">
        <f>round(G17*3%,0)</f>
        <v>392</v>
      </c>
      <c r="J17" s="285">
        <f t="shared" ref="J17:J22" si="10">sum(L17+N17+P17)</f>
        <v>930</v>
      </c>
      <c r="K17" s="286" t="s">
        <v>38</v>
      </c>
      <c r="L17" s="285">
        <v>930.0</v>
      </c>
      <c r="M17" s="289"/>
      <c r="N17" s="294"/>
      <c r="O17" s="289"/>
      <c r="P17" s="290"/>
      <c r="Q17" s="291">
        <f>round((G17-I17-J17)*20%,0)</f>
        <v>2347</v>
      </c>
      <c r="R17" s="292">
        <f t="shared" ref="R17:R22" si="11">round(sum(G17-I17-J17-Q17-H17),0)</f>
        <v>7989</v>
      </c>
      <c r="S17" s="252">
        <f t="shared" ref="S17:S22" si="12">5*(R17/5-T17)</f>
        <v>-11</v>
      </c>
      <c r="T17" s="295">
        <f t="shared" ref="T17:T20" si="13">round(R17/5,-2)</f>
        <v>1600</v>
      </c>
    </row>
    <row r="18" ht="15.75" customHeight="1">
      <c r="A18" s="50">
        <v>15.0</v>
      </c>
      <c r="B18" s="50" t="s">
        <v>34</v>
      </c>
      <c r="C18" s="50" t="s">
        <v>35</v>
      </c>
      <c r="D18" s="50" t="s">
        <v>1318</v>
      </c>
      <c r="E18" s="281" t="s">
        <v>1319</v>
      </c>
      <c r="G18" s="282">
        <v>13048.0</v>
      </c>
      <c r="H18" s="283">
        <v>1398.0</v>
      </c>
      <c r="I18" s="284">
        <f>round(H18*3%,0)</f>
        <v>42</v>
      </c>
      <c r="J18" s="285">
        <f t="shared" si="10"/>
        <v>930</v>
      </c>
      <c r="K18" s="286" t="s">
        <v>38</v>
      </c>
      <c r="L18" s="285">
        <v>930.0</v>
      </c>
      <c r="M18" s="289"/>
      <c r="N18" s="294"/>
      <c r="O18" s="289"/>
      <c r="P18" s="290"/>
      <c r="Q18" s="303">
        <v>0.0</v>
      </c>
      <c r="R18" s="305">
        <f t="shared" si="11"/>
        <v>10678</v>
      </c>
      <c r="S18" s="252">
        <f t="shared" si="12"/>
        <v>178</v>
      </c>
      <c r="T18" s="295">
        <f t="shared" si="13"/>
        <v>2100</v>
      </c>
    </row>
    <row r="19" ht="15.75" customHeight="1">
      <c r="A19" s="50">
        <v>15.0</v>
      </c>
      <c r="B19" s="50" t="s">
        <v>34</v>
      </c>
      <c r="C19" s="50" t="s">
        <v>35</v>
      </c>
      <c r="D19" s="50" t="s">
        <v>1304</v>
      </c>
      <c r="E19" s="281"/>
      <c r="G19" s="282">
        <v>11637.0</v>
      </c>
      <c r="H19" s="283">
        <v>0.0</v>
      </c>
      <c r="I19" s="284">
        <f t="shared" ref="I19:I21" si="14">round(G19*3%,0)</f>
        <v>349</v>
      </c>
      <c r="J19" s="285">
        <f t="shared" si="10"/>
        <v>1600</v>
      </c>
      <c r="K19" s="286" t="s">
        <v>1302</v>
      </c>
      <c r="L19" s="287">
        <v>1600.0</v>
      </c>
      <c r="M19" s="289"/>
      <c r="N19" s="294"/>
      <c r="O19" s="289"/>
      <c r="P19" s="290"/>
      <c r="Q19" s="291">
        <f t="shared" ref="Q19:Q21" si="15">round((G19-I19-J19)*20%,0)</f>
        <v>1938</v>
      </c>
      <c r="R19" s="305">
        <f t="shared" si="11"/>
        <v>7750</v>
      </c>
      <c r="S19" s="252">
        <f t="shared" si="12"/>
        <v>-250</v>
      </c>
      <c r="T19" s="295">
        <f t="shared" si="13"/>
        <v>1600</v>
      </c>
    </row>
    <row r="20" ht="15.75" customHeight="1">
      <c r="A20" s="50">
        <v>16.0</v>
      </c>
      <c r="B20" s="50" t="s">
        <v>34</v>
      </c>
      <c r="C20" s="50" t="s">
        <v>35</v>
      </c>
      <c r="D20" s="50" t="s">
        <v>1308</v>
      </c>
      <c r="E20" s="281" t="s">
        <v>1320</v>
      </c>
      <c r="G20" s="282">
        <v>9243.0</v>
      </c>
      <c r="H20" s="283">
        <v>1430.0</v>
      </c>
      <c r="I20" s="284">
        <f t="shared" si="14"/>
        <v>277</v>
      </c>
      <c r="J20" s="285">
        <f t="shared" si="10"/>
        <v>930</v>
      </c>
      <c r="K20" s="286" t="s">
        <v>38</v>
      </c>
      <c r="L20" s="287">
        <v>930.0</v>
      </c>
      <c r="M20" s="289"/>
      <c r="N20" s="294"/>
      <c r="O20" s="289"/>
      <c r="P20" s="290"/>
      <c r="Q20" s="291">
        <f t="shared" si="15"/>
        <v>1607</v>
      </c>
      <c r="R20" s="305">
        <f t="shared" si="11"/>
        <v>4999</v>
      </c>
      <c r="S20" s="252">
        <f t="shared" si="12"/>
        <v>-1</v>
      </c>
      <c r="T20" s="295">
        <f t="shared" si="13"/>
        <v>1000</v>
      </c>
    </row>
    <row r="21" ht="15.75" customHeight="1">
      <c r="A21" s="50">
        <v>22.0</v>
      </c>
      <c r="B21" s="50" t="s">
        <v>34</v>
      </c>
      <c r="C21" s="50" t="s">
        <v>35</v>
      </c>
      <c r="D21" s="50" t="s">
        <v>1321</v>
      </c>
      <c r="E21" s="281" t="s">
        <v>1322</v>
      </c>
      <c r="G21" s="282">
        <v>13526.0</v>
      </c>
      <c r="H21" s="283">
        <v>1398.0</v>
      </c>
      <c r="I21" s="284">
        <f t="shared" si="14"/>
        <v>406</v>
      </c>
      <c r="J21" s="285">
        <f t="shared" si="10"/>
        <v>1600</v>
      </c>
      <c r="K21" s="286" t="s">
        <v>38</v>
      </c>
      <c r="L21" s="287">
        <v>1600.0</v>
      </c>
      <c r="M21" s="289"/>
      <c r="N21" s="294"/>
      <c r="O21" s="289"/>
      <c r="P21" s="290"/>
      <c r="Q21" s="291">
        <f t="shared" si="15"/>
        <v>2304</v>
      </c>
      <c r="R21" s="305">
        <f t="shared" si="11"/>
        <v>7818</v>
      </c>
      <c r="S21" s="252">
        <f t="shared" si="12"/>
        <v>-182</v>
      </c>
      <c r="T21" s="293">
        <v>1600.0</v>
      </c>
    </row>
    <row r="22" ht="15.75" customHeight="1">
      <c r="A22" s="50">
        <v>29.0</v>
      </c>
      <c r="B22" s="50" t="s">
        <v>34</v>
      </c>
      <c r="C22" s="50" t="s">
        <v>35</v>
      </c>
      <c r="D22" s="50" t="s">
        <v>1321</v>
      </c>
      <c r="E22" s="281" t="s">
        <v>1323</v>
      </c>
      <c r="G22" s="282">
        <v>12582.0</v>
      </c>
      <c r="H22" s="283">
        <v>1395.0</v>
      </c>
      <c r="I22" s="284">
        <f>round(H22*3%,0)</f>
        <v>42</v>
      </c>
      <c r="J22" s="285">
        <f t="shared" si="10"/>
        <v>930</v>
      </c>
      <c r="K22" s="286" t="s">
        <v>38</v>
      </c>
      <c r="L22" s="287">
        <v>930.0</v>
      </c>
      <c r="M22" s="289"/>
      <c r="N22" s="294"/>
      <c r="O22" s="289"/>
      <c r="P22" s="290"/>
      <c r="Q22" s="303">
        <v>0.0</v>
      </c>
      <c r="R22" s="305">
        <f t="shared" si="11"/>
        <v>10215</v>
      </c>
      <c r="S22" s="252">
        <f t="shared" si="12"/>
        <v>215</v>
      </c>
      <c r="T22" s="295">
        <f>round(R22/5,-2)</f>
        <v>2000</v>
      </c>
    </row>
    <row r="23" ht="15.75" customHeight="1">
      <c r="A23" s="199" t="s">
        <v>42</v>
      </c>
      <c r="B23" s="199"/>
      <c r="C23" s="199"/>
      <c r="D23" s="199"/>
      <c r="E23" s="199"/>
      <c r="F23" s="199"/>
      <c r="G23" s="227"/>
      <c r="H23" s="228"/>
      <c r="I23" s="202"/>
      <c r="J23" s="296"/>
      <c r="K23" s="297"/>
      <c r="L23" s="298"/>
      <c r="M23" s="299"/>
      <c r="N23" s="300"/>
      <c r="O23" s="299"/>
      <c r="P23" s="301"/>
      <c r="Q23" s="276"/>
      <c r="R23" s="228"/>
      <c r="S23" s="199"/>
      <c r="T23" s="202"/>
      <c r="U23" s="277"/>
      <c r="V23" s="277"/>
      <c r="W23" s="277"/>
      <c r="X23" s="277"/>
      <c r="Y23" s="277"/>
      <c r="Z23" s="277"/>
    </row>
    <row r="24" ht="15.75" customHeight="1">
      <c r="A24" s="50">
        <v>3.0</v>
      </c>
      <c r="B24" s="50" t="s">
        <v>54</v>
      </c>
      <c r="C24" s="50" t="s">
        <v>569</v>
      </c>
      <c r="D24" s="50" t="s">
        <v>1324</v>
      </c>
      <c r="E24" s="281"/>
      <c r="G24" s="282">
        <v>0.0</v>
      </c>
      <c r="H24" s="283">
        <v>0.0</v>
      </c>
      <c r="I24" s="284">
        <f t="shared" ref="I24:I26" si="16">round(G24*3%,0)</f>
        <v>0</v>
      </c>
      <c r="J24" s="285">
        <f t="shared" ref="J24:J32" si="17">sum(L24+N24+P24)</f>
        <v>0</v>
      </c>
      <c r="K24" s="286" t="s">
        <v>38</v>
      </c>
      <c r="L24" s="287">
        <v>0.0</v>
      </c>
      <c r="M24" s="289"/>
      <c r="N24" s="294"/>
      <c r="O24" s="288"/>
      <c r="P24" s="306"/>
      <c r="Q24" s="291">
        <f t="shared" ref="Q24:Q26" si="18">round((G24-I24-J24)*20%,0)</f>
        <v>0</v>
      </c>
      <c r="R24" s="305">
        <f t="shared" ref="R24:R32" si="19">round(sum(G24-I24-J24-Q24-H24),0)</f>
        <v>0</v>
      </c>
      <c r="S24" s="252">
        <f t="shared" ref="S24:S32" si="20">5*(R24/5-T24)</f>
        <v>0</v>
      </c>
      <c r="T24" s="295">
        <f t="shared" ref="T24:T30" si="21">round(R24/5,-2)</f>
        <v>0</v>
      </c>
    </row>
    <row r="25" ht="15.75" customHeight="1">
      <c r="A25" s="50">
        <v>4.0</v>
      </c>
      <c r="B25" s="50" t="s">
        <v>54</v>
      </c>
      <c r="C25" s="50" t="s">
        <v>569</v>
      </c>
      <c r="D25" s="50" t="s">
        <v>1325</v>
      </c>
      <c r="E25" s="281"/>
      <c r="G25" s="282">
        <v>0.0</v>
      </c>
      <c r="H25" s="283">
        <v>0.0</v>
      </c>
      <c r="I25" s="284">
        <f t="shared" si="16"/>
        <v>0</v>
      </c>
      <c r="J25" s="285">
        <f t="shared" si="17"/>
        <v>0</v>
      </c>
      <c r="K25" s="286" t="s">
        <v>38</v>
      </c>
      <c r="L25" s="287">
        <v>0.0</v>
      </c>
      <c r="M25" s="289"/>
      <c r="N25" s="294"/>
      <c r="O25" s="288"/>
      <c r="P25" s="306"/>
      <c r="Q25" s="291">
        <f t="shared" si="18"/>
        <v>0</v>
      </c>
      <c r="R25" s="305">
        <f t="shared" si="19"/>
        <v>0</v>
      </c>
      <c r="S25" s="252">
        <f t="shared" si="20"/>
        <v>0</v>
      </c>
      <c r="T25" s="295">
        <f t="shared" si="21"/>
        <v>0</v>
      </c>
    </row>
    <row r="26" ht="15.75" customHeight="1">
      <c r="A26" s="50">
        <v>5.0</v>
      </c>
      <c r="B26" s="50" t="s">
        <v>54</v>
      </c>
      <c r="C26" s="50" t="s">
        <v>569</v>
      </c>
      <c r="D26" s="50" t="s">
        <v>1326</v>
      </c>
      <c r="E26" s="281"/>
      <c r="F26" s="50" t="s">
        <v>1327</v>
      </c>
      <c r="G26" s="282">
        <v>0.0</v>
      </c>
      <c r="H26" s="283">
        <v>0.0</v>
      </c>
      <c r="I26" s="284">
        <f t="shared" si="16"/>
        <v>0</v>
      </c>
      <c r="J26" s="285">
        <f t="shared" si="17"/>
        <v>0</v>
      </c>
      <c r="K26" s="286" t="s">
        <v>38</v>
      </c>
      <c r="L26" s="287">
        <v>0.0</v>
      </c>
      <c r="M26" s="289"/>
      <c r="N26" s="294"/>
      <c r="O26" s="288"/>
      <c r="P26" s="306"/>
      <c r="Q26" s="291">
        <f t="shared" si="18"/>
        <v>0</v>
      </c>
      <c r="R26" s="305">
        <f t="shared" si="19"/>
        <v>0</v>
      </c>
      <c r="S26" s="252">
        <f t="shared" si="20"/>
        <v>0</v>
      </c>
      <c r="T26" s="295">
        <f t="shared" si="21"/>
        <v>0</v>
      </c>
    </row>
    <row r="27" ht="15.75" customHeight="1">
      <c r="A27" s="50">
        <v>6.0</v>
      </c>
      <c r="B27" s="50" t="s">
        <v>34</v>
      </c>
      <c r="C27" s="50" t="s">
        <v>35</v>
      </c>
      <c r="D27" s="50" t="s">
        <v>1328</v>
      </c>
      <c r="E27" s="281" t="s">
        <v>1329</v>
      </c>
      <c r="G27" s="282">
        <v>12555.0</v>
      </c>
      <c r="H27" s="283">
        <v>1395.0</v>
      </c>
      <c r="I27" s="284">
        <f>round(H27*3%,0)</f>
        <v>42</v>
      </c>
      <c r="J27" s="285">
        <f t="shared" si="17"/>
        <v>1130</v>
      </c>
      <c r="K27" s="286" t="s">
        <v>38</v>
      </c>
      <c r="L27" s="287">
        <v>930.0</v>
      </c>
      <c r="M27" s="288" t="s">
        <v>1330</v>
      </c>
      <c r="N27" s="285">
        <v>200.0</v>
      </c>
      <c r="O27" s="289"/>
      <c r="P27" s="290"/>
      <c r="Q27" s="303">
        <v>0.0</v>
      </c>
      <c r="R27" s="305">
        <f t="shared" si="19"/>
        <v>9988</v>
      </c>
      <c r="S27" s="252">
        <f t="shared" si="20"/>
        <v>-12</v>
      </c>
      <c r="T27" s="295">
        <f t="shared" si="21"/>
        <v>2000</v>
      </c>
    </row>
    <row r="28" ht="15.75" customHeight="1">
      <c r="A28" s="50">
        <v>13.0</v>
      </c>
      <c r="B28" s="50" t="s">
        <v>34</v>
      </c>
      <c r="C28" s="50" t="s">
        <v>35</v>
      </c>
      <c r="D28" s="50" t="s">
        <v>1300</v>
      </c>
      <c r="E28" s="281" t="s">
        <v>1331</v>
      </c>
      <c r="G28" s="282">
        <v>13514.0</v>
      </c>
      <c r="H28" s="283">
        <v>1398.0</v>
      </c>
      <c r="I28" s="284">
        <f t="shared" ref="I28:I31" si="22">round(G28*3%,0)</f>
        <v>405</v>
      </c>
      <c r="J28" s="285">
        <f t="shared" si="17"/>
        <v>1660</v>
      </c>
      <c r="K28" s="286" t="s">
        <v>1302</v>
      </c>
      <c r="L28" s="287">
        <v>1660.0</v>
      </c>
      <c r="M28" s="289"/>
      <c r="N28" s="294"/>
      <c r="O28" s="289"/>
      <c r="P28" s="290"/>
      <c r="Q28" s="291">
        <f t="shared" ref="Q28:Q31" si="23">round((G28-I28-J28)*20%,0)</f>
        <v>2290</v>
      </c>
      <c r="R28" s="305">
        <f t="shared" si="19"/>
        <v>7761</v>
      </c>
      <c r="S28" s="252">
        <f t="shared" si="20"/>
        <v>-239</v>
      </c>
      <c r="T28" s="295">
        <f t="shared" si="21"/>
        <v>1600</v>
      </c>
    </row>
    <row r="29" ht="15.75" customHeight="1">
      <c r="A29" s="50">
        <v>19.0</v>
      </c>
      <c r="B29" s="50" t="s">
        <v>34</v>
      </c>
      <c r="C29" s="50" t="s">
        <v>35</v>
      </c>
      <c r="D29" s="50" t="s">
        <v>1078</v>
      </c>
      <c r="E29" s="281" t="s">
        <v>1332</v>
      </c>
      <c r="G29" s="282">
        <v>9975.0</v>
      </c>
      <c r="H29" s="283">
        <v>1425.0</v>
      </c>
      <c r="I29" s="284">
        <f t="shared" si="22"/>
        <v>299</v>
      </c>
      <c r="J29" s="285">
        <f t="shared" si="17"/>
        <v>900</v>
      </c>
      <c r="K29" s="286" t="s">
        <v>38</v>
      </c>
      <c r="L29" s="287">
        <v>900.0</v>
      </c>
      <c r="M29" s="289"/>
      <c r="N29" s="294"/>
      <c r="O29" s="289"/>
      <c r="P29" s="290"/>
      <c r="Q29" s="291">
        <f t="shared" si="23"/>
        <v>1755</v>
      </c>
      <c r="R29" s="305">
        <f t="shared" si="19"/>
        <v>5596</v>
      </c>
      <c r="S29" s="252">
        <f t="shared" si="20"/>
        <v>96</v>
      </c>
      <c r="T29" s="295">
        <f t="shared" si="21"/>
        <v>1100</v>
      </c>
    </row>
    <row r="30" ht="15.75" customHeight="1">
      <c r="A30" s="50">
        <v>20.0</v>
      </c>
      <c r="B30" s="50" t="s">
        <v>34</v>
      </c>
      <c r="C30" s="50" t="s">
        <v>35</v>
      </c>
      <c r="D30" s="50" t="s">
        <v>1333</v>
      </c>
      <c r="E30" s="281" t="s">
        <v>1334</v>
      </c>
      <c r="G30" s="282">
        <v>13804.0</v>
      </c>
      <c r="H30" s="283">
        <v>1428.0</v>
      </c>
      <c r="I30" s="284">
        <f t="shared" si="22"/>
        <v>414</v>
      </c>
      <c r="J30" s="285">
        <f t="shared" si="17"/>
        <v>1600</v>
      </c>
      <c r="K30" s="286" t="s">
        <v>1302</v>
      </c>
      <c r="L30" s="287">
        <v>1600.0</v>
      </c>
      <c r="M30" s="289"/>
      <c r="N30" s="294"/>
      <c r="O30" s="289"/>
      <c r="P30" s="290"/>
      <c r="Q30" s="291">
        <f t="shared" si="23"/>
        <v>2358</v>
      </c>
      <c r="R30" s="305">
        <f t="shared" si="19"/>
        <v>8004</v>
      </c>
      <c r="S30" s="252">
        <f t="shared" si="20"/>
        <v>4</v>
      </c>
      <c r="T30" s="295">
        <f t="shared" si="21"/>
        <v>1600</v>
      </c>
    </row>
    <row r="31" ht="15.75" customHeight="1">
      <c r="A31" s="50">
        <v>27.0</v>
      </c>
      <c r="B31" s="50" t="s">
        <v>34</v>
      </c>
      <c r="C31" s="50" t="s">
        <v>35</v>
      </c>
      <c r="D31" s="50" t="s">
        <v>1335</v>
      </c>
      <c r="E31" s="281" t="s">
        <v>1336</v>
      </c>
      <c r="G31" s="282">
        <v>12582.0</v>
      </c>
      <c r="H31" s="283">
        <v>1400.0</v>
      </c>
      <c r="I31" s="284">
        <f t="shared" si="22"/>
        <v>377</v>
      </c>
      <c r="J31" s="285">
        <f t="shared" si="17"/>
        <v>900</v>
      </c>
      <c r="K31" s="286" t="s">
        <v>38</v>
      </c>
      <c r="L31" s="287">
        <v>900.0</v>
      </c>
      <c r="M31" s="289"/>
      <c r="N31" s="294"/>
      <c r="O31" s="289"/>
      <c r="P31" s="290"/>
      <c r="Q31" s="291">
        <f t="shared" si="23"/>
        <v>2261</v>
      </c>
      <c r="R31" s="305">
        <f t="shared" si="19"/>
        <v>7644</v>
      </c>
      <c r="S31" s="252">
        <f t="shared" si="20"/>
        <v>-356</v>
      </c>
      <c r="T31" s="293">
        <v>1600.0</v>
      </c>
    </row>
    <row r="32" ht="15.75" customHeight="1">
      <c r="A32" s="50">
        <v>28.0</v>
      </c>
      <c r="B32" s="50" t="s">
        <v>34</v>
      </c>
      <c r="C32" s="50" t="s">
        <v>70</v>
      </c>
      <c r="D32" s="50" t="s">
        <v>1308</v>
      </c>
      <c r="E32" s="281"/>
      <c r="G32" s="282">
        <v>11515.0</v>
      </c>
      <c r="H32" s="283">
        <v>0.0</v>
      </c>
      <c r="I32" s="304">
        <v>0.0</v>
      </c>
      <c r="J32" s="285">
        <f t="shared" si="17"/>
        <v>900</v>
      </c>
      <c r="K32" s="286" t="s">
        <v>38</v>
      </c>
      <c r="L32" s="287">
        <v>900.0</v>
      </c>
      <c r="M32" s="289"/>
      <c r="N32" s="294"/>
      <c r="O32" s="289"/>
      <c r="P32" s="290"/>
      <c r="Q32" s="303">
        <v>0.0</v>
      </c>
      <c r="R32" s="305">
        <f t="shared" si="19"/>
        <v>10615</v>
      </c>
      <c r="S32" s="252">
        <f t="shared" si="20"/>
        <v>115</v>
      </c>
      <c r="T32" s="295">
        <f>round(R32/5,-2)</f>
        <v>2100</v>
      </c>
    </row>
    <row r="33" ht="15.75" customHeight="1">
      <c r="A33" s="199" t="s">
        <v>44</v>
      </c>
      <c r="B33" s="199"/>
      <c r="C33" s="199"/>
      <c r="D33" s="199"/>
      <c r="E33" s="199"/>
      <c r="F33" s="199"/>
      <c r="G33" s="227"/>
      <c r="H33" s="228"/>
      <c r="I33" s="202"/>
      <c r="J33" s="296"/>
      <c r="K33" s="297"/>
      <c r="L33" s="298"/>
      <c r="M33" s="299"/>
      <c r="N33" s="300"/>
      <c r="O33" s="299"/>
      <c r="P33" s="301"/>
      <c r="Q33" s="276"/>
      <c r="R33" s="228"/>
      <c r="S33" s="199"/>
      <c r="T33" s="202"/>
    </row>
    <row r="34" ht="15.75" customHeight="1">
      <c r="A34" s="50">
        <v>3.0</v>
      </c>
      <c r="B34" s="50" t="s">
        <v>54</v>
      </c>
      <c r="C34" s="50" t="s">
        <v>569</v>
      </c>
      <c r="D34" s="50" t="s">
        <v>1337</v>
      </c>
      <c r="E34" s="281"/>
      <c r="F34" s="50" t="s">
        <v>1338</v>
      </c>
      <c r="G34" s="282">
        <v>5600.0</v>
      </c>
      <c r="H34" s="283">
        <v>0.0</v>
      </c>
      <c r="I34" s="284"/>
      <c r="J34" s="285">
        <f t="shared" ref="J34:J40" si="24">sum(L34+N34+P34)</f>
        <v>700</v>
      </c>
      <c r="K34" s="286" t="s">
        <v>38</v>
      </c>
      <c r="L34" s="287">
        <v>700.0</v>
      </c>
      <c r="M34" s="288"/>
      <c r="N34" s="307"/>
      <c r="O34" s="289"/>
      <c r="P34" s="290"/>
      <c r="Q34" s="303">
        <v>430.0</v>
      </c>
      <c r="R34" s="305">
        <f t="shared" ref="R34:R38" si="25">round(sum(G34-I34-J34-Q34-H34),0)</f>
        <v>4470</v>
      </c>
      <c r="S34" s="252">
        <f t="shared" ref="S34:S38" si="26">5*(R34/5-T34)</f>
        <v>-80</v>
      </c>
      <c r="T34" s="293">
        <v>910.0</v>
      </c>
    </row>
    <row r="35" ht="15.75" customHeight="1">
      <c r="A35" s="50">
        <v>3.0</v>
      </c>
      <c r="B35" s="50" t="s">
        <v>34</v>
      </c>
      <c r="C35" s="50" t="s">
        <v>35</v>
      </c>
      <c r="D35" s="50" t="s">
        <v>1300</v>
      </c>
      <c r="E35" s="281" t="s">
        <v>1339</v>
      </c>
      <c r="G35" s="282">
        <v>13717.0</v>
      </c>
      <c r="H35" s="283">
        <v>1395.0</v>
      </c>
      <c r="I35" s="284">
        <f>round(H35*3%,0)</f>
        <v>42</v>
      </c>
      <c r="J35" s="285">
        <f t="shared" si="24"/>
        <v>1600</v>
      </c>
      <c r="K35" s="286" t="s">
        <v>38</v>
      </c>
      <c r="L35" s="285">
        <v>1600.0</v>
      </c>
      <c r="M35" s="289"/>
      <c r="N35" s="294"/>
      <c r="O35" s="289"/>
      <c r="P35" s="290"/>
      <c r="Q35" s="303">
        <v>0.0</v>
      </c>
      <c r="R35" s="305">
        <f t="shared" si="25"/>
        <v>10680</v>
      </c>
      <c r="S35" s="252">
        <f t="shared" si="26"/>
        <v>180</v>
      </c>
      <c r="T35" s="293">
        <v>2100.0</v>
      </c>
    </row>
    <row r="36" ht="15.75" customHeight="1">
      <c r="A36" s="50">
        <v>16.0</v>
      </c>
      <c r="B36" s="50" t="s">
        <v>54</v>
      </c>
      <c r="C36" s="50" t="s">
        <v>569</v>
      </c>
      <c r="D36" s="50" t="s">
        <v>1340</v>
      </c>
      <c r="E36" s="281"/>
      <c r="F36" s="50" t="s">
        <v>1341</v>
      </c>
      <c r="G36" s="282">
        <v>3000.0</v>
      </c>
      <c r="H36" s="283">
        <v>0.0</v>
      </c>
      <c r="I36" s="284">
        <f>round(G36*3%,0)</f>
        <v>90</v>
      </c>
      <c r="J36" s="285">
        <f t="shared" si="24"/>
        <v>800</v>
      </c>
      <c r="K36" s="286" t="s">
        <v>38</v>
      </c>
      <c r="L36" s="287">
        <v>600.0</v>
      </c>
      <c r="M36" s="289"/>
      <c r="N36" s="294"/>
      <c r="O36" s="288" t="s">
        <v>25</v>
      </c>
      <c r="P36" s="306">
        <v>200.0</v>
      </c>
      <c r="Q36" s="291">
        <f>round((G36-I36-J36)*20%,0)</f>
        <v>422</v>
      </c>
      <c r="R36" s="305">
        <f t="shared" si="25"/>
        <v>1688</v>
      </c>
      <c r="S36" s="252">
        <f t="shared" si="26"/>
        <v>-12</v>
      </c>
      <c r="T36" s="295">
        <f>round(R36/5,-1)</f>
        <v>340</v>
      </c>
    </row>
    <row r="37" ht="15.75" customHeight="1">
      <c r="A37">
        <v>17.0</v>
      </c>
      <c r="B37" s="50" t="s">
        <v>34</v>
      </c>
      <c r="C37" s="50" t="s">
        <v>35</v>
      </c>
      <c r="D37" s="50" t="s">
        <v>1099</v>
      </c>
      <c r="E37" s="281" t="s">
        <v>1342</v>
      </c>
      <c r="G37" s="282">
        <v>13048.0</v>
      </c>
      <c r="H37" s="283">
        <v>1398.0</v>
      </c>
      <c r="I37" s="284">
        <f t="shared" ref="I37:I38" si="27">round(H37*3%,0)</f>
        <v>42</v>
      </c>
      <c r="J37" s="285">
        <f t="shared" si="24"/>
        <v>1030</v>
      </c>
      <c r="K37" s="286" t="s">
        <v>38</v>
      </c>
      <c r="L37" s="287">
        <v>930.0</v>
      </c>
      <c r="M37" s="289"/>
      <c r="N37" s="294"/>
      <c r="O37" s="288" t="s">
        <v>25</v>
      </c>
      <c r="P37" s="306">
        <v>100.0</v>
      </c>
      <c r="Q37" s="303">
        <v>0.0</v>
      </c>
      <c r="R37" s="305">
        <f t="shared" si="25"/>
        <v>10578</v>
      </c>
      <c r="S37" s="252">
        <f t="shared" si="26"/>
        <v>78</v>
      </c>
      <c r="T37" s="293">
        <v>2100.0</v>
      </c>
    </row>
    <row r="38" ht="15.75" customHeight="1">
      <c r="A38" s="50">
        <v>24.0</v>
      </c>
      <c r="B38" s="50" t="s">
        <v>34</v>
      </c>
      <c r="C38" s="50" t="s">
        <v>35</v>
      </c>
      <c r="D38" s="50" t="s">
        <v>1300</v>
      </c>
      <c r="E38" s="281" t="s">
        <v>1343</v>
      </c>
      <c r="G38" s="282">
        <v>13285.0</v>
      </c>
      <c r="H38" s="283">
        <v>1315.0</v>
      </c>
      <c r="I38" s="284">
        <f t="shared" si="27"/>
        <v>39</v>
      </c>
      <c r="J38" s="285">
        <f t="shared" si="24"/>
        <v>1600</v>
      </c>
      <c r="K38" s="286" t="s">
        <v>38</v>
      </c>
      <c r="L38" s="287">
        <v>1600.0</v>
      </c>
      <c r="M38" s="289"/>
      <c r="N38" s="294"/>
      <c r="O38" s="289"/>
      <c r="P38" s="290"/>
      <c r="Q38" s="303">
        <v>0.0</v>
      </c>
      <c r="R38" s="305">
        <f t="shared" si="25"/>
        <v>10331</v>
      </c>
      <c r="S38" s="252">
        <f t="shared" si="26"/>
        <v>-169</v>
      </c>
      <c r="T38" s="295">
        <f>round(R38/5,-2)</f>
        <v>2100</v>
      </c>
    </row>
    <row r="39" ht="15.75" customHeight="1">
      <c r="A39" s="50">
        <v>30.0</v>
      </c>
      <c r="B39" s="50" t="s">
        <v>54</v>
      </c>
      <c r="C39" s="50" t="s">
        <v>569</v>
      </c>
      <c r="D39" s="50" t="s">
        <v>1324</v>
      </c>
      <c r="E39" s="281"/>
      <c r="F39" s="50" t="s">
        <v>1344</v>
      </c>
      <c r="G39" s="282">
        <v>0.0</v>
      </c>
      <c r="H39" s="283">
        <v>0.0</v>
      </c>
      <c r="I39" s="284">
        <f t="shared" ref="I39:I40" si="28">round(G39*3%,0)</f>
        <v>0</v>
      </c>
      <c r="J39" s="285">
        <f t="shared" si="24"/>
        <v>0</v>
      </c>
      <c r="K39" s="286" t="s">
        <v>38</v>
      </c>
      <c r="L39" s="287">
        <v>0.0</v>
      </c>
      <c r="M39" s="289"/>
      <c r="N39" s="294"/>
      <c r="O39" s="289"/>
      <c r="P39" s="290"/>
      <c r="Q39" s="291"/>
      <c r="R39" s="305"/>
      <c r="S39" s="252"/>
      <c r="T39" s="293">
        <v>0.0</v>
      </c>
    </row>
    <row r="40" ht="15.75" customHeight="1">
      <c r="A40" s="50">
        <v>31.0</v>
      </c>
      <c r="B40" s="50" t="s">
        <v>34</v>
      </c>
      <c r="C40" s="50" t="s">
        <v>35</v>
      </c>
      <c r="D40" s="50" t="s">
        <v>1345</v>
      </c>
      <c r="E40" s="281" t="s">
        <v>1346</v>
      </c>
      <c r="G40" s="282">
        <v>14448.0</v>
      </c>
      <c r="H40" s="283">
        <v>1395.0</v>
      </c>
      <c r="I40" s="284">
        <f t="shared" si="28"/>
        <v>433</v>
      </c>
      <c r="J40" s="285">
        <f t="shared" si="24"/>
        <v>2790</v>
      </c>
      <c r="K40" s="286" t="s">
        <v>38</v>
      </c>
      <c r="L40" s="287">
        <v>930.0</v>
      </c>
      <c r="M40" s="289"/>
      <c r="N40" s="294"/>
      <c r="O40" s="288" t="s">
        <v>25</v>
      </c>
      <c r="P40" s="306">
        <v>1860.0</v>
      </c>
      <c r="Q40" s="291">
        <f>round((G40-I40-J40)*20%,0)</f>
        <v>2245</v>
      </c>
      <c r="R40" s="305">
        <f>round(sum(G40-I40-J40-Q40-H40),0)</f>
        <v>7585</v>
      </c>
      <c r="S40" s="252">
        <f>5*(R40/5-T40)</f>
        <v>85</v>
      </c>
      <c r="T40" s="293">
        <v>1500.0</v>
      </c>
    </row>
    <row r="41" ht="15.75" customHeight="1">
      <c r="A41" s="199" t="s">
        <v>47</v>
      </c>
      <c r="B41" s="199"/>
      <c r="C41" s="199"/>
      <c r="D41" s="199"/>
      <c r="E41" s="199"/>
      <c r="F41" s="199"/>
      <c r="G41" s="227"/>
      <c r="H41" s="228"/>
      <c r="I41" s="202"/>
      <c r="J41" s="296"/>
      <c r="K41" s="297"/>
      <c r="L41" s="298"/>
      <c r="M41" s="299"/>
      <c r="N41" s="300"/>
      <c r="O41" s="299"/>
      <c r="P41" s="301"/>
      <c r="Q41" s="276"/>
      <c r="R41" s="228"/>
      <c r="S41" s="199"/>
      <c r="T41" s="202"/>
    </row>
    <row r="42" ht="15.75" customHeight="1">
      <c r="A42" s="50">
        <v>4.0</v>
      </c>
      <c r="B42" s="50" t="s">
        <v>54</v>
      </c>
      <c r="C42" s="50" t="s">
        <v>569</v>
      </c>
      <c r="D42" s="50" t="s">
        <v>1347</v>
      </c>
      <c r="E42" s="281"/>
      <c r="F42" s="50" t="s">
        <v>569</v>
      </c>
      <c r="G42" s="282">
        <v>1200.0</v>
      </c>
      <c r="H42" s="283">
        <v>0.0</v>
      </c>
      <c r="I42" s="304">
        <v>0.0</v>
      </c>
      <c r="J42" s="285">
        <f t="shared" ref="J42:J50" si="29">sum(L42+N42+P42)</f>
        <v>1200</v>
      </c>
      <c r="K42" s="286" t="s">
        <v>1302</v>
      </c>
      <c r="L42" s="287">
        <v>0.0</v>
      </c>
      <c r="M42" s="288" t="s">
        <v>1314</v>
      </c>
      <c r="N42" s="285">
        <v>700.0</v>
      </c>
      <c r="O42" s="288" t="s">
        <v>1348</v>
      </c>
      <c r="P42" s="302">
        <v>500.0</v>
      </c>
      <c r="Q42" s="291">
        <f t="shared" ref="Q42:Q43" si="30">round((G42-I42-J42)*20%,0)</f>
        <v>0</v>
      </c>
      <c r="R42" s="305">
        <f t="shared" ref="R42:R50" si="31">round(sum(G42-I42-J42-Q42-H42),0)</f>
        <v>0</v>
      </c>
      <c r="S42" s="252">
        <f t="shared" ref="S42:S50" si="32">5*(R42/5-T42)</f>
        <v>0</v>
      </c>
      <c r="T42" s="293">
        <v>0.0</v>
      </c>
    </row>
    <row r="43" ht="15.75" customHeight="1">
      <c r="A43" s="50">
        <v>6.0</v>
      </c>
      <c r="B43" s="50" t="s">
        <v>34</v>
      </c>
      <c r="C43" s="50" t="s">
        <v>35</v>
      </c>
      <c r="D43" s="50" t="s">
        <v>1078</v>
      </c>
      <c r="E43" s="281" t="s">
        <v>1349</v>
      </c>
      <c r="G43" s="282">
        <v>11417.0</v>
      </c>
      <c r="H43" s="283">
        <v>1398.0</v>
      </c>
      <c r="I43" s="284">
        <f>round(G43*3%,0)</f>
        <v>343</v>
      </c>
      <c r="J43" s="285">
        <f t="shared" si="29"/>
        <v>930</v>
      </c>
      <c r="K43" s="286" t="s">
        <v>38</v>
      </c>
      <c r="L43" s="287">
        <v>930.0</v>
      </c>
      <c r="M43" s="289"/>
      <c r="N43" s="294"/>
      <c r="O43" s="289"/>
      <c r="P43" s="290"/>
      <c r="Q43" s="291">
        <f t="shared" si="30"/>
        <v>2029</v>
      </c>
      <c r="R43" s="305">
        <f t="shared" si="31"/>
        <v>6717</v>
      </c>
      <c r="S43" s="252">
        <f t="shared" si="32"/>
        <v>-33</v>
      </c>
      <c r="T43" s="293">
        <v>1350.0</v>
      </c>
    </row>
    <row r="44" ht="15.75" customHeight="1">
      <c r="A44" s="50">
        <v>7.0</v>
      </c>
      <c r="B44" s="50" t="s">
        <v>34</v>
      </c>
      <c r="C44" s="50" t="s">
        <v>35</v>
      </c>
      <c r="D44" s="50" t="s">
        <v>1294</v>
      </c>
      <c r="E44" s="281" t="s">
        <v>1350</v>
      </c>
      <c r="G44" s="282">
        <v>13020.0</v>
      </c>
      <c r="H44" s="283">
        <v>1380.0</v>
      </c>
      <c r="I44" s="284">
        <f>round(H44*3%,0)</f>
        <v>41</v>
      </c>
      <c r="J44" s="285">
        <f t="shared" si="29"/>
        <v>930</v>
      </c>
      <c r="K44" s="286" t="s">
        <v>38</v>
      </c>
      <c r="L44" s="287">
        <v>930.0</v>
      </c>
      <c r="M44" s="289"/>
      <c r="N44" s="294"/>
      <c r="O44" s="289"/>
      <c r="P44" s="290"/>
      <c r="Q44" s="303">
        <v>0.0</v>
      </c>
      <c r="R44" s="305">
        <f t="shared" si="31"/>
        <v>10669</v>
      </c>
      <c r="S44" s="252">
        <f t="shared" si="32"/>
        <v>-1166</v>
      </c>
      <c r="T44" s="293">
        <v>2367.0</v>
      </c>
    </row>
    <row r="45" ht="15.75" customHeight="1">
      <c r="A45" s="50">
        <v>13.0</v>
      </c>
      <c r="B45" s="50" t="s">
        <v>54</v>
      </c>
      <c r="C45" s="50" t="s">
        <v>569</v>
      </c>
      <c r="D45" s="50" t="s">
        <v>1351</v>
      </c>
      <c r="E45" s="281"/>
      <c r="F45" s="50" t="s">
        <v>1352</v>
      </c>
      <c r="G45" s="282">
        <v>2000.0</v>
      </c>
      <c r="H45" s="283">
        <v>0.0</v>
      </c>
      <c r="I45" s="304">
        <v>0.0</v>
      </c>
      <c r="J45" s="285">
        <f t="shared" si="29"/>
        <v>500</v>
      </c>
      <c r="K45" s="286" t="s">
        <v>38</v>
      </c>
      <c r="L45" s="287">
        <v>500.0</v>
      </c>
      <c r="M45" s="289"/>
      <c r="N45" s="294"/>
      <c r="O45" s="289"/>
      <c r="P45" s="290"/>
      <c r="Q45" s="303">
        <v>0.0</v>
      </c>
      <c r="R45" s="305">
        <f t="shared" si="31"/>
        <v>1500</v>
      </c>
      <c r="S45" s="252">
        <f t="shared" si="32"/>
        <v>0</v>
      </c>
      <c r="T45" s="295">
        <f t="shared" ref="T45:T46" si="33">round(R45/5,-2)</f>
        <v>300</v>
      </c>
    </row>
    <row r="46" ht="15.75" customHeight="1">
      <c r="A46" s="50">
        <v>21.0</v>
      </c>
      <c r="B46" s="50" t="s">
        <v>54</v>
      </c>
      <c r="C46" s="50" t="s">
        <v>569</v>
      </c>
      <c r="D46" s="50" t="s">
        <v>75</v>
      </c>
      <c r="E46" s="281" t="s">
        <v>1353</v>
      </c>
      <c r="F46" s="50" t="s">
        <v>1354</v>
      </c>
      <c r="G46" s="282">
        <v>3500.0</v>
      </c>
      <c r="H46" s="283">
        <v>0.0</v>
      </c>
      <c r="I46" s="284">
        <f>round(G46*3%,0)</f>
        <v>105</v>
      </c>
      <c r="J46" s="285">
        <f t="shared" si="29"/>
        <v>500</v>
      </c>
      <c r="K46" s="286" t="s">
        <v>38</v>
      </c>
      <c r="L46" s="287">
        <v>500.0</v>
      </c>
      <c r="M46" s="289"/>
      <c r="N46" s="294"/>
      <c r="O46" s="289"/>
      <c r="P46" s="290"/>
      <c r="Q46" s="291">
        <f>round((G46-I46-J46)*20%,0)</f>
        <v>579</v>
      </c>
      <c r="R46" s="305">
        <f t="shared" si="31"/>
        <v>2316</v>
      </c>
      <c r="S46" s="252">
        <f t="shared" si="32"/>
        <v>-184</v>
      </c>
      <c r="T46" s="295">
        <f t="shared" si="33"/>
        <v>500</v>
      </c>
    </row>
    <row r="47" ht="15.75" customHeight="1">
      <c r="A47" s="50">
        <v>21.0</v>
      </c>
      <c r="B47" s="50" t="s">
        <v>34</v>
      </c>
      <c r="C47" s="50" t="s">
        <v>35</v>
      </c>
      <c r="D47" s="50" t="s">
        <v>1078</v>
      </c>
      <c r="E47" s="281" t="s">
        <v>1355</v>
      </c>
      <c r="G47" s="282">
        <v>12680.0</v>
      </c>
      <c r="H47" s="283">
        <v>1400.0</v>
      </c>
      <c r="I47" s="284">
        <f>round(H47*3%,0)</f>
        <v>42</v>
      </c>
      <c r="J47" s="308">
        <f t="shared" si="29"/>
        <v>930</v>
      </c>
      <c r="K47" s="286" t="s">
        <v>38</v>
      </c>
      <c r="L47" s="309">
        <v>930.0</v>
      </c>
      <c r="M47" s="289"/>
      <c r="N47" s="294"/>
      <c r="O47" s="289"/>
      <c r="P47" s="290"/>
      <c r="Q47" s="303">
        <v>0.0</v>
      </c>
      <c r="R47" s="305">
        <f t="shared" si="31"/>
        <v>10308</v>
      </c>
      <c r="S47" s="252">
        <f t="shared" si="32"/>
        <v>-267</v>
      </c>
      <c r="T47" s="293">
        <v>2115.0</v>
      </c>
    </row>
    <row r="48" ht="15.75" customHeight="1">
      <c r="A48" s="50">
        <v>27.0</v>
      </c>
      <c r="B48" s="50" t="s">
        <v>34</v>
      </c>
      <c r="C48" s="50" t="s">
        <v>35</v>
      </c>
      <c r="D48" s="50" t="s">
        <v>1294</v>
      </c>
      <c r="E48" s="281" t="s">
        <v>1356</v>
      </c>
      <c r="G48" s="282">
        <v>12750.0</v>
      </c>
      <c r="H48" s="283">
        <v>1417.0</v>
      </c>
      <c r="I48" s="284">
        <f>round(G48*3%,0)</f>
        <v>383</v>
      </c>
      <c r="J48" s="308">
        <f t="shared" si="29"/>
        <v>1600</v>
      </c>
      <c r="K48" s="286" t="s">
        <v>38</v>
      </c>
      <c r="L48" s="309">
        <v>1600.0</v>
      </c>
      <c r="M48" s="289"/>
      <c r="N48" s="294"/>
      <c r="O48" s="289"/>
      <c r="P48" s="290"/>
      <c r="Q48" s="291">
        <f>round((G48-I48-J48)*20%,0)</f>
        <v>2153</v>
      </c>
      <c r="R48" s="305">
        <f t="shared" si="31"/>
        <v>7197</v>
      </c>
      <c r="S48" s="252">
        <f t="shared" si="32"/>
        <v>-3</v>
      </c>
      <c r="T48" s="295">
        <f>round(R48/5,-1)</f>
        <v>1440</v>
      </c>
    </row>
    <row r="49" ht="15.75" customHeight="1">
      <c r="A49" s="50">
        <v>28.0</v>
      </c>
      <c r="B49" s="50" t="s">
        <v>34</v>
      </c>
      <c r="C49" s="50" t="s">
        <v>35</v>
      </c>
      <c r="D49" s="50" t="s">
        <v>1078</v>
      </c>
      <c r="E49" s="281" t="s">
        <v>1357</v>
      </c>
      <c r="G49" s="282">
        <v>12675.0</v>
      </c>
      <c r="H49" s="283">
        <v>1395.0</v>
      </c>
      <c r="I49" s="284">
        <f t="shared" ref="I49:I50" si="34">round(H49*3%,0)</f>
        <v>42</v>
      </c>
      <c r="J49" s="308">
        <f t="shared" si="29"/>
        <v>930</v>
      </c>
      <c r="K49" s="286" t="s">
        <v>38</v>
      </c>
      <c r="L49" s="309">
        <v>930.0</v>
      </c>
      <c r="M49" s="289"/>
      <c r="N49" s="294"/>
      <c r="O49" s="289"/>
      <c r="P49" s="290"/>
      <c r="Q49" s="303">
        <v>0.0</v>
      </c>
      <c r="R49" s="305">
        <f t="shared" si="31"/>
        <v>10308</v>
      </c>
      <c r="S49" s="252">
        <f t="shared" si="32"/>
        <v>-267</v>
      </c>
      <c r="T49" s="293">
        <v>2115.0</v>
      </c>
    </row>
    <row r="50" ht="15.75" customHeight="1">
      <c r="A50" s="50">
        <v>29.0</v>
      </c>
      <c r="B50" s="50" t="s">
        <v>34</v>
      </c>
      <c r="C50" s="50" t="s">
        <v>35</v>
      </c>
      <c r="D50" s="50" t="s">
        <v>1078</v>
      </c>
      <c r="E50" s="281" t="s">
        <v>1358</v>
      </c>
      <c r="G50" s="282">
        <v>11505.0</v>
      </c>
      <c r="H50" s="283">
        <v>1400.0</v>
      </c>
      <c r="I50" s="284">
        <f t="shared" si="34"/>
        <v>42</v>
      </c>
      <c r="J50" s="308">
        <f t="shared" si="29"/>
        <v>930</v>
      </c>
      <c r="K50" s="286" t="s">
        <v>38</v>
      </c>
      <c r="L50" s="309">
        <v>930.0</v>
      </c>
      <c r="M50" s="289"/>
      <c r="N50" s="294"/>
      <c r="O50" s="289"/>
      <c r="P50" s="290"/>
      <c r="Q50" s="303">
        <v>0.0</v>
      </c>
      <c r="R50" s="305">
        <f t="shared" si="31"/>
        <v>9133</v>
      </c>
      <c r="S50" s="252">
        <f t="shared" si="32"/>
        <v>-267</v>
      </c>
      <c r="T50" s="293">
        <v>1880.0</v>
      </c>
    </row>
    <row r="51" ht="15.75" customHeight="1">
      <c r="A51" s="199" t="s">
        <v>50</v>
      </c>
      <c r="B51" s="199"/>
      <c r="C51" s="199"/>
      <c r="D51" s="199"/>
      <c r="E51" s="199"/>
      <c r="F51" s="199"/>
      <c r="G51" s="227"/>
      <c r="H51" s="228"/>
      <c r="I51" s="202"/>
      <c r="J51" s="296"/>
      <c r="K51" s="297"/>
      <c r="L51" s="298"/>
      <c r="M51" s="299"/>
      <c r="N51" s="300"/>
      <c r="O51" s="299"/>
      <c r="P51" s="301"/>
      <c r="Q51" s="276"/>
      <c r="R51" s="228"/>
      <c r="S51" s="199"/>
      <c r="T51" s="202"/>
    </row>
    <row r="52" ht="15.75" customHeight="1">
      <c r="A52" s="50">
        <v>12.0</v>
      </c>
      <c r="B52" s="50" t="s">
        <v>34</v>
      </c>
      <c r="C52" s="50" t="s">
        <v>35</v>
      </c>
      <c r="D52" s="50" t="s">
        <v>1359</v>
      </c>
      <c r="E52" s="281" t="s">
        <v>1360</v>
      </c>
      <c r="G52" s="282">
        <v>13723.0</v>
      </c>
      <c r="H52" s="283">
        <v>0.0</v>
      </c>
      <c r="I52" s="284">
        <f t="shared" ref="I52:I53" si="35">round(H52*3%,0)</f>
        <v>0</v>
      </c>
      <c r="J52" s="308">
        <f t="shared" ref="J52:J53" si="36">sum(L52+N52+P52)</f>
        <v>1600</v>
      </c>
      <c r="K52" s="286" t="s">
        <v>1302</v>
      </c>
      <c r="L52" s="309">
        <v>1600.0</v>
      </c>
      <c r="M52" s="289"/>
      <c r="N52" s="294"/>
      <c r="O52" s="289"/>
      <c r="P52" s="290"/>
      <c r="Q52" s="303">
        <v>0.0</v>
      </c>
      <c r="R52" s="305">
        <f t="shared" ref="R52:R53" si="37">round(sum(G52-I52-J52-Q52-H52),0)</f>
        <v>12123</v>
      </c>
      <c r="S52" s="252">
        <f t="shared" ref="S52:S53" si="38">5*(R52/5-T52)</f>
        <v>123</v>
      </c>
      <c r="T52" s="293">
        <v>2400.0</v>
      </c>
    </row>
    <row r="53" ht="15.75" customHeight="1">
      <c r="A53" s="50">
        <v>19.0</v>
      </c>
      <c r="B53" s="50" t="s">
        <v>34</v>
      </c>
      <c r="C53" s="50" t="s">
        <v>35</v>
      </c>
      <c r="D53" s="50" t="s">
        <v>1361</v>
      </c>
      <c r="E53" s="281" t="s">
        <v>1362</v>
      </c>
      <c r="G53" s="282">
        <v>13514.0</v>
      </c>
      <c r="H53" s="283">
        <v>1398.0</v>
      </c>
      <c r="I53" s="284">
        <f t="shared" si="35"/>
        <v>42</v>
      </c>
      <c r="J53" s="308">
        <f t="shared" si="36"/>
        <v>1600</v>
      </c>
      <c r="K53" s="286" t="s">
        <v>1302</v>
      </c>
      <c r="L53" s="309">
        <v>1600.0</v>
      </c>
      <c r="M53" s="289"/>
      <c r="N53" s="294"/>
      <c r="O53" s="289"/>
      <c r="P53" s="310"/>
      <c r="Q53" s="303">
        <v>0.0</v>
      </c>
      <c r="R53" s="305">
        <f t="shared" si="37"/>
        <v>10474</v>
      </c>
      <c r="S53" s="252">
        <f t="shared" si="38"/>
        <v>-276</v>
      </c>
      <c r="T53" s="293">
        <v>2150.0</v>
      </c>
    </row>
    <row r="54" ht="15.75" customHeight="1">
      <c r="A54" s="199" t="s">
        <v>97</v>
      </c>
      <c r="B54" s="199"/>
      <c r="C54" s="199"/>
      <c r="D54" s="199"/>
      <c r="E54" s="199"/>
      <c r="F54" s="199"/>
      <c r="G54" s="227"/>
      <c r="H54" s="228"/>
      <c r="I54" s="202"/>
      <c r="J54" s="296"/>
      <c r="K54" s="311"/>
      <c r="L54" s="296"/>
      <c r="M54" s="312"/>
      <c r="N54" s="313"/>
      <c r="O54" s="312"/>
      <c r="P54" s="314"/>
      <c r="Q54" s="202"/>
      <c r="R54" s="228"/>
      <c r="S54" s="199"/>
      <c r="T54" s="202"/>
    </row>
    <row r="55" ht="15.75" customHeight="1">
      <c r="A55" s="50">
        <v>1.0</v>
      </c>
      <c r="B55" s="50" t="s">
        <v>54</v>
      </c>
      <c r="C55" s="50" t="s">
        <v>569</v>
      </c>
      <c r="D55" s="50" t="s">
        <v>1363</v>
      </c>
      <c r="E55" s="281"/>
      <c r="G55" s="282">
        <v>2500.0</v>
      </c>
      <c r="H55" s="283">
        <v>0.0</v>
      </c>
      <c r="I55" s="304">
        <v>0.0</v>
      </c>
      <c r="J55" s="308">
        <f t="shared" ref="J55:J56" si="39">sum(L55+N55+P55)</f>
        <v>960</v>
      </c>
      <c r="K55" s="286" t="s">
        <v>1302</v>
      </c>
      <c r="L55" s="309">
        <v>500.0</v>
      </c>
      <c r="M55" s="289"/>
      <c r="N55" s="294"/>
      <c r="O55" s="288" t="s">
        <v>25</v>
      </c>
      <c r="P55" s="315">
        <v>460.0</v>
      </c>
      <c r="Q55" s="303">
        <v>0.0</v>
      </c>
      <c r="R55" s="305">
        <f t="shared" ref="R55:R56" si="40">round(sum(G55-I55-J55-Q55-H55),0)</f>
        <v>1540</v>
      </c>
      <c r="S55" s="252">
        <f t="shared" ref="S55:S56" si="41">5*(R55/5-T55)</f>
        <v>-460</v>
      </c>
      <c r="T55" s="293">
        <v>400.0</v>
      </c>
    </row>
    <row r="56" ht="15.75" customHeight="1">
      <c r="A56" s="50">
        <v>19.0</v>
      </c>
      <c r="B56" s="50" t="s">
        <v>54</v>
      </c>
      <c r="C56" s="50" t="s">
        <v>569</v>
      </c>
      <c r="D56" s="50" t="s">
        <v>1364</v>
      </c>
      <c r="E56" s="281"/>
      <c r="F56" s="50" t="s">
        <v>1365</v>
      </c>
      <c r="G56" s="282">
        <v>0.0</v>
      </c>
      <c r="H56" s="283">
        <v>0.0</v>
      </c>
      <c r="I56" s="284">
        <f>round(G56*3%,0)</f>
        <v>0</v>
      </c>
      <c r="J56" s="308">
        <f t="shared" si="39"/>
        <v>0</v>
      </c>
      <c r="K56" s="286" t="s">
        <v>38</v>
      </c>
      <c r="L56" s="309">
        <v>0.0</v>
      </c>
      <c r="M56" s="289"/>
      <c r="N56" s="294"/>
      <c r="O56" s="288"/>
      <c r="P56" s="315"/>
      <c r="Q56" s="303">
        <v>0.0</v>
      </c>
      <c r="R56" s="305">
        <f t="shared" si="40"/>
        <v>0</v>
      </c>
      <c r="S56" s="252">
        <f t="shared" si="41"/>
        <v>0</v>
      </c>
      <c r="T56" s="295">
        <f>round(R56/5,-1)</f>
        <v>0</v>
      </c>
    </row>
    <row r="57" ht="15.75" customHeight="1">
      <c r="A57" s="199" t="s">
        <v>52</v>
      </c>
      <c r="B57" s="199"/>
      <c r="C57" s="199"/>
      <c r="D57" s="199"/>
      <c r="E57" s="199"/>
      <c r="F57" s="199"/>
      <c r="G57" s="227"/>
      <c r="H57" s="228"/>
      <c r="I57" s="202"/>
      <c r="J57" s="296"/>
      <c r="K57" s="311"/>
      <c r="L57" s="296"/>
      <c r="M57" s="312"/>
      <c r="N57" s="313"/>
      <c r="O57" s="312"/>
      <c r="P57" s="314"/>
      <c r="Q57" s="202"/>
      <c r="R57" s="228"/>
      <c r="S57" s="199"/>
      <c r="T57" s="202"/>
    </row>
    <row r="58" ht="15.75" customHeight="1">
      <c r="A58" s="50">
        <v>11.0</v>
      </c>
      <c r="B58" s="50" t="s">
        <v>34</v>
      </c>
      <c r="C58" s="50" t="s">
        <v>78</v>
      </c>
      <c r="D58" s="50" t="s">
        <v>1078</v>
      </c>
      <c r="E58" s="281"/>
      <c r="F58" s="50" t="s">
        <v>1366</v>
      </c>
      <c r="G58" s="282">
        <v>0.0</v>
      </c>
      <c r="H58" s="283">
        <v>0.0</v>
      </c>
      <c r="I58" s="284">
        <f t="shared" ref="I58:I59" si="42">round(G58*3%,0)</f>
        <v>0</v>
      </c>
      <c r="J58" s="285">
        <f t="shared" ref="J58:J62" si="43">sum(L58+N58+P58)</f>
        <v>0</v>
      </c>
      <c r="K58" s="286" t="s">
        <v>38</v>
      </c>
      <c r="L58" s="287">
        <v>0.0</v>
      </c>
      <c r="M58" s="289"/>
      <c r="N58" s="294"/>
      <c r="O58" s="289"/>
      <c r="P58" s="310"/>
      <c r="Q58" s="291">
        <f t="shared" ref="Q58:Q59" si="44">round((G58-I58-J58)*20%,0)</f>
        <v>0</v>
      </c>
      <c r="R58" s="305">
        <f t="shared" ref="R58:R62" si="45">round(sum(G58-I58-J58-Q58-H58),0)</f>
        <v>0</v>
      </c>
      <c r="S58" s="252">
        <f t="shared" ref="S58:S62" si="46">5*(R58/5-T58)</f>
        <v>0</v>
      </c>
      <c r="T58" s="295">
        <f t="shared" ref="T58:T59" si="47">round(R58/5,-1)</f>
        <v>0</v>
      </c>
    </row>
    <row r="59" ht="15.75" customHeight="1">
      <c r="A59" s="50">
        <v>13.0</v>
      </c>
      <c r="B59" s="50" t="s">
        <v>34</v>
      </c>
      <c r="C59" s="50" t="s">
        <v>78</v>
      </c>
      <c r="D59" s="50" t="s">
        <v>1367</v>
      </c>
      <c r="E59" s="281" t="s">
        <v>1368</v>
      </c>
      <c r="F59" s="50" t="s">
        <v>1369</v>
      </c>
      <c r="G59" s="282">
        <v>10000.0</v>
      </c>
      <c r="H59" s="283">
        <v>0.0</v>
      </c>
      <c r="I59" s="284">
        <f t="shared" si="42"/>
        <v>300</v>
      </c>
      <c r="J59" s="308">
        <f t="shared" si="43"/>
        <v>1410</v>
      </c>
      <c r="K59" s="286" t="s">
        <v>38</v>
      </c>
      <c r="L59" s="309">
        <v>950.0</v>
      </c>
      <c r="M59" s="289"/>
      <c r="N59" s="294"/>
      <c r="O59" s="288" t="s">
        <v>96</v>
      </c>
      <c r="P59" s="315">
        <v>460.0</v>
      </c>
      <c r="Q59" s="291">
        <f t="shared" si="44"/>
        <v>1658</v>
      </c>
      <c r="R59" s="305">
        <f t="shared" si="45"/>
        <v>6632</v>
      </c>
      <c r="S59" s="252">
        <f t="shared" si="46"/>
        <v>-18</v>
      </c>
      <c r="T59" s="295">
        <f t="shared" si="47"/>
        <v>1330</v>
      </c>
    </row>
    <row r="60" ht="15.75" customHeight="1">
      <c r="A60" s="50">
        <v>14.0</v>
      </c>
      <c r="B60" s="50" t="s">
        <v>34</v>
      </c>
      <c r="C60" s="50" t="s">
        <v>78</v>
      </c>
      <c r="D60" s="50" t="s">
        <v>1091</v>
      </c>
      <c r="E60" s="281" t="s">
        <v>1370</v>
      </c>
      <c r="F60" s="50" t="s">
        <v>1371</v>
      </c>
      <c r="G60" s="282">
        <v>7155.0</v>
      </c>
      <c r="H60" s="283">
        <v>0.0</v>
      </c>
      <c r="I60" s="304">
        <v>0.0</v>
      </c>
      <c r="J60" s="308">
        <f t="shared" si="43"/>
        <v>950</v>
      </c>
      <c r="K60" s="286" t="s">
        <v>38</v>
      </c>
      <c r="L60" s="309">
        <v>950.0</v>
      </c>
      <c r="M60" s="289"/>
      <c r="N60" s="294"/>
      <c r="O60" s="288"/>
      <c r="P60" s="315"/>
      <c r="Q60" s="303">
        <v>0.0</v>
      </c>
      <c r="R60" s="305">
        <f t="shared" si="45"/>
        <v>6205</v>
      </c>
      <c r="S60" s="252">
        <f t="shared" si="46"/>
        <v>1355</v>
      </c>
      <c r="T60" s="293">
        <v>970.0</v>
      </c>
    </row>
    <row r="61" ht="15.75" customHeight="1">
      <c r="A61" s="50">
        <v>31.0</v>
      </c>
      <c r="B61" s="50" t="s">
        <v>54</v>
      </c>
      <c r="C61" s="50" t="s">
        <v>569</v>
      </c>
      <c r="D61" s="50" t="s">
        <v>1337</v>
      </c>
      <c r="F61" s="50" t="s">
        <v>105</v>
      </c>
      <c r="G61" s="282">
        <v>7100.0</v>
      </c>
      <c r="H61" s="283">
        <v>0.0</v>
      </c>
      <c r="I61" s="284">
        <f t="shared" ref="I61:I62" si="48">round(G61*3%,0)</f>
        <v>213</v>
      </c>
      <c r="J61" s="308">
        <f t="shared" si="43"/>
        <v>700</v>
      </c>
      <c r="K61" s="286" t="s">
        <v>38</v>
      </c>
      <c r="L61" s="309">
        <v>700.0</v>
      </c>
      <c r="M61" s="289"/>
      <c r="N61" s="294"/>
      <c r="O61" s="288"/>
      <c r="P61" s="315"/>
      <c r="Q61" s="303">
        <v>0.0</v>
      </c>
      <c r="R61" s="305">
        <f t="shared" si="45"/>
        <v>6187</v>
      </c>
      <c r="S61" s="252">
        <f t="shared" si="46"/>
        <v>-63</v>
      </c>
      <c r="T61" s="293">
        <v>1250.0</v>
      </c>
    </row>
    <row r="62" ht="15.75" customHeight="1">
      <c r="A62" s="50">
        <v>31.0</v>
      </c>
      <c r="B62" s="50" t="s">
        <v>54</v>
      </c>
      <c r="C62" s="50" t="s">
        <v>569</v>
      </c>
      <c r="D62" s="50" t="s">
        <v>1372</v>
      </c>
      <c r="E62" s="281" t="s">
        <v>1373</v>
      </c>
      <c r="F62" s="50" t="s">
        <v>105</v>
      </c>
      <c r="G62" s="282">
        <v>8000.0</v>
      </c>
      <c r="H62" s="283">
        <v>0.0</v>
      </c>
      <c r="I62" s="284">
        <f t="shared" si="48"/>
        <v>240</v>
      </c>
      <c r="J62" s="308">
        <f t="shared" si="43"/>
        <v>1450</v>
      </c>
      <c r="K62" s="286" t="s">
        <v>38</v>
      </c>
      <c r="L62" s="309">
        <v>950.0</v>
      </c>
      <c r="M62" s="289"/>
      <c r="N62" s="294"/>
      <c r="O62" s="288" t="s">
        <v>25</v>
      </c>
      <c r="P62" s="315">
        <v>500.0</v>
      </c>
      <c r="Q62" s="291">
        <f>round((G62-I62-J62)*20%,0)</f>
        <v>1262</v>
      </c>
      <c r="R62" s="305">
        <f t="shared" si="45"/>
        <v>5048</v>
      </c>
      <c r="S62" s="252">
        <f t="shared" si="46"/>
        <v>48</v>
      </c>
      <c r="T62" s="293">
        <v>1000.0</v>
      </c>
    </row>
    <row r="63" ht="15.75" customHeight="1">
      <c r="A63" s="50"/>
      <c r="B63" s="50"/>
      <c r="C63" s="50"/>
      <c r="D63" s="50"/>
      <c r="E63" s="281"/>
      <c r="F63" s="50"/>
      <c r="G63" s="281"/>
      <c r="H63" s="316"/>
      <c r="I63" s="252"/>
      <c r="J63" s="317"/>
      <c r="K63" s="318"/>
      <c r="L63" s="318"/>
      <c r="M63" s="290"/>
      <c r="N63" s="290"/>
      <c r="O63" s="306"/>
      <c r="P63" s="306"/>
      <c r="Q63" s="252"/>
      <c r="R63" s="252"/>
      <c r="S63" s="252"/>
      <c r="T63" s="319"/>
    </row>
    <row r="64" ht="15.75" customHeight="1"/>
    <row r="65" ht="15.75" customHeight="1">
      <c r="D65" s="240" t="s">
        <v>1147</v>
      </c>
      <c r="E65" s="170"/>
      <c r="F65" s="170"/>
      <c r="G65" s="170"/>
      <c r="H65" s="184"/>
      <c r="K65" s="165" t="s">
        <v>1148</v>
      </c>
      <c r="L65" s="57"/>
      <c r="M65" s="277"/>
      <c r="N65" s="277"/>
      <c r="O65" s="277"/>
      <c r="P65" s="277"/>
      <c r="U65" s="277"/>
      <c r="V65" s="277"/>
      <c r="W65" s="277"/>
      <c r="X65" s="277"/>
      <c r="Y65" s="277"/>
      <c r="Z65" s="277"/>
    </row>
    <row r="66" ht="15.75" customHeight="1">
      <c r="D66" s="58" t="s">
        <v>5</v>
      </c>
      <c r="E66" s="257" t="s">
        <v>1149</v>
      </c>
      <c r="F66" s="58" t="s">
        <v>5</v>
      </c>
      <c r="G66" s="50" t="s">
        <v>154</v>
      </c>
      <c r="H66" s="257" t="s">
        <v>204</v>
      </c>
      <c r="I66" s="258"/>
      <c r="J66" s="258"/>
      <c r="K66" s="60"/>
      <c r="L66" s="142"/>
      <c r="Q66" s="320"/>
      <c r="R66" s="320"/>
    </row>
    <row r="67" ht="15.75" customHeight="1">
      <c r="D67" s="244" t="s">
        <v>1150</v>
      </c>
      <c r="E67" s="245">
        <f>countif(B:B,"Public")</f>
        <v>16</v>
      </c>
      <c r="F67" s="244" t="s">
        <v>1151</v>
      </c>
      <c r="G67" s="246">
        <f>sum(G3:G64)</f>
        <v>419340</v>
      </c>
      <c r="H67" s="247">
        <f t="shared" ref="H67:H76" si="49">round(G67/4.7,0)</f>
        <v>89221</v>
      </c>
      <c r="I67" s="258"/>
      <c r="J67" s="258"/>
      <c r="K67" s="248"/>
      <c r="L67" s="249" t="s">
        <v>1152</v>
      </c>
      <c r="Q67" s="258"/>
      <c r="R67" s="258"/>
    </row>
    <row r="68" ht="15.75" customHeight="1">
      <c r="D68" s="244" t="s">
        <v>1153</v>
      </c>
      <c r="E68" s="245">
        <f>countif(B:B,"Privat")</f>
        <v>32</v>
      </c>
      <c r="F68" s="244" t="s">
        <v>1154</v>
      </c>
      <c r="G68" s="246">
        <f>sum(R:R)</f>
        <v>295650</v>
      </c>
      <c r="H68" s="247">
        <f t="shared" si="49"/>
        <v>62904</v>
      </c>
      <c r="I68" s="258"/>
      <c r="J68" s="258"/>
      <c r="K68" s="60"/>
      <c r="L68" s="173" t="s">
        <v>1155</v>
      </c>
      <c r="M68" s="277"/>
      <c r="N68" s="277"/>
      <c r="O68" s="277"/>
      <c r="P68" s="277"/>
      <c r="Q68" s="258"/>
      <c r="R68" s="258"/>
      <c r="S68" s="277"/>
      <c r="T68" s="277"/>
      <c r="U68" s="277"/>
      <c r="V68" s="277"/>
      <c r="W68" s="277"/>
      <c r="X68" s="277"/>
      <c r="Y68" s="277"/>
      <c r="Z68" s="277"/>
    </row>
    <row r="69" ht="15.75" customHeight="1">
      <c r="D69" s="250" t="s">
        <v>1156</v>
      </c>
      <c r="E69" s="251">
        <f>COUNTIF(C:C,"Corporate")</f>
        <v>4</v>
      </c>
      <c r="F69" s="250" t="s">
        <v>1157</v>
      </c>
      <c r="G69" s="321">
        <f>sum(T:T)</f>
        <v>59017</v>
      </c>
      <c r="H69" s="59">
        <f t="shared" si="49"/>
        <v>12557</v>
      </c>
      <c r="I69" s="258"/>
      <c r="J69" s="258"/>
      <c r="K69" s="320"/>
      <c r="Q69" s="258"/>
      <c r="R69" s="258"/>
    </row>
    <row r="70" ht="15.75" customHeight="1">
      <c r="D70" s="250" t="s">
        <v>1158</v>
      </c>
      <c r="E70" s="251">
        <f>countif(C:C,"Nunta") + COUNTIF(C:C,"Botez") + countif(C:C,"Aniversare")</f>
        <v>28</v>
      </c>
      <c r="F70" s="250" t="s">
        <v>1159</v>
      </c>
      <c r="G70" s="252">
        <f>sum(S:S)</f>
        <v>565</v>
      </c>
      <c r="H70" s="59">
        <f t="shared" si="49"/>
        <v>120</v>
      </c>
      <c r="K70" s="320"/>
      <c r="Q70" s="258"/>
      <c r="R70" s="258"/>
    </row>
    <row r="71" ht="15.75" customHeight="1">
      <c r="D71" s="244" t="s">
        <v>1162</v>
      </c>
      <c r="E71" s="253">
        <f>E67+E68</f>
        <v>48</v>
      </c>
      <c r="F71" s="244" t="s">
        <v>1161</v>
      </c>
      <c r="G71" s="246">
        <f>round(sum(Q:Q),0)</f>
        <v>33791</v>
      </c>
      <c r="H71" s="247">
        <f t="shared" si="49"/>
        <v>7190</v>
      </c>
      <c r="K71" s="320"/>
      <c r="Q71" s="258"/>
      <c r="R71" s="258"/>
    </row>
    <row r="72" ht="15.75" customHeight="1">
      <c r="D72" s="254"/>
      <c r="F72" s="244" t="s">
        <v>1163</v>
      </c>
      <c r="G72" s="246">
        <f>round(3%*G67,0)</f>
        <v>12580</v>
      </c>
      <c r="H72" s="247">
        <f t="shared" si="49"/>
        <v>2677</v>
      </c>
      <c r="Q72" s="320"/>
      <c r="R72" s="320"/>
      <c r="S72" s="320"/>
      <c r="T72" s="320"/>
    </row>
    <row r="73" ht="15.75" customHeight="1">
      <c r="D73" s="254"/>
      <c r="E73" s="59"/>
      <c r="F73" s="244" t="s">
        <v>1164</v>
      </c>
      <c r="G73" s="246">
        <f>sum(J:J)</f>
        <v>50980</v>
      </c>
      <c r="H73" s="247">
        <f t="shared" si="49"/>
        <v>10847</v>
      </c>
      <c r="M73" s="277"/>
      <c r="N73" s="277"/>
      <c r="O73" s="277"/>
      <c r="P73" s="277"/>
      <c r="Q73" s="320"/>
      <c r="R73" s="320"/>
      <c r="S73" s="320"/>
      <c r="T73" s="320"/>
      <c r="U73" s="277"/>
      <c r="V73" s="277"/>
      <c r="W73" s="277"/>
      <c r="X73" s="277"/>
      <c r="Y73" s="277"/>
      <c r="Z73" s="277"/>
    </row>
    <row r="74" ht="15.75" customHeight="1">
      <c r="D74" s="254"/>
      <c r="E74" s="59"/>
      <c r="F74" s="250" t="s">
        <v>1165</v>
      </c>
      <c r="G74" s="252">
        <f>sum(L:L)</f>
        <v>41150</v>
      </c>
      <c r="H74" s="59">
        <f t="shared" si="49"/>
        <v>8755</v>
      </c>
    </row>
    <row r="75" ht="15.75" customHeight="1">
      <c r="D75" s="254"/>
      <c r="E75" s="59"/>
      <c r="F75" s="250" t="s">
        <v>1166</v>
      </c>
      <c r="G75" s="252">
        <f>sum(N:N)</f>
        <v>2750</v>
      </c>
      <c r="H75" s="59">
        <f t="shared" si="49"/>
        <v>585</v>
      </c>
    </row>
    <row r="76" ht="15.75" customHeight="1">
      <c r="D76" s="60"/>
      <c r="E76" s="142"/>
      <c r="F76" s="255" t="s">
        <v>1168</v>
      </c>
      <c r="G76" s="256">
        <f>sum(P:P)</f>
        <v>7080</v>
      </c>
      <c r="H76" s="142">
        <f t="shared" si="49"/>
        <v>1506</v>
      </c>
    </row>
    <row r="77" ht="15.75" customHeight="1">
      <c r="D77" s="240" t="s">
        <v>1169</v>
      </c>
      <c r="E77" s="170"/>
      <c r="F77" s="170"/>
      <c r="G77" s="170"/>
      <c r="H77" s="184"/>
    </row>
    <row r="78" ht="15.75" customHeight="1">
      <c r="F78" s="240" t="s">
        <v>1170</v>
      </c>
      <c r="G78" s="170"/>
      <c r="H78" s="184"/>
    </row>
    <row r="79" ht="15.75" customHeight="1">
      <c r="F79" s="58" t="s">
        <v>5</v>
      </c>
      <c r="G79" s="50" t="s">
        <v>154</v>
      </c>
      <c r="H79" s="257" t="s">
        <v>204</v>
      </c>
      <c r="M79" s="277"/>
      <c r="N79" s="277"/>
      <c r="O79" s="277"/>
      <c r="P79" s="277"/>
      <c r="S79" s="277"/>
      <c r="T79" s="277"/>
      <c r="U79" s="277"/>
      <c r="V79" s="277"/>
      <c r="W79" s="277"/>
      <c r="X79" s="277"/>
      <c r="Y79" s="277"/>
      <c r="Z79" s="277"/>
    </row>
    <row r="80" ht="15.75" customHeight="1">
      <c r="F80" s="244" t="s">
        <v>1171</v>
      </c>
      <c r="G80">
        <f>G68-G81</f>
        <v>25201</v>
      </c>
      <c r="H80" s="59">
        <f t="shared" ref="H80:H83" si="50">round(G80/4.7,0)</f>
        <v>5362</v>
      </c>
    </row>
    <row r="81" ht="15.75" customHeight="1">
      <c r="F81" s="244" t="s">
        <v>1172</v>
      </c>
      <c r="G81">
        <f>G82+G83</f>
        <v>270449</v>
      </c>
      <c r="H81" s="59">
        <f t="shared" si="50"/>
        <v>57542</v>
      </c>
    </row>
    <row r="82" ht="15.75" customHeight="1">
      <c r="F82" s="250" t="s">
        <v>1173</v>
      </c>
      <c r="G82">
        <f>SUMIF(C:C,"Corporate",R:R)</f>
        <v>17406</v>
      </c>
      <c r="H82" s="59">
        <f t="shared" si="50"/>
        <v>3703</v>
      </c>
    </row>
    <row r="83" ht="15.75" customHeight="1">
      <c r="F83" s="255" t="s">
        <v>1174</v>
      </c>
      <c r="G83" s="141">
        <f>SUMIF(C:C,"Nunta",R:R)+SUMIF(C:C,"Botez",R:R)+SUMIF(C:C,"Aniversare",R:R)</f>
        <v>253043</v>
      </c>
      <c r="H83" s="142">
        <f t="shared" si="50"/>
        <v>53839</v>
      </c>
    </row>
    <row r="84" ht="15.75" customHeight="1">
      <c r="F84" s="240" t="s">
        <v>1175</v>
      </c>
      <c r="G84" s="170"/>
      <c r="H84" s="184"/>
    </row>
    <row r="85" ht="15.75" customHeight="1">
      <c r="F85" s="244" t="s">
        <v>1171</v>
      </c>
      <c r="G85">
        <f t="shared" ref="G85:G88" si="51">round(G80/5,0)</f>
        <v>5040</v>
      </c>
      <c r="H85" s="59">
        <f t="shared" ref="H85:H88" si="52">round(G85/4.7,0)</f>
        <v>1072</v>
      </c>
    </row>
    <row r="86" ht="15.75" customHeight="1">
      <c r="E86" s="258"/>
      <c r="F86" s="244" t="s">
        <v>1172</v>
      </c>
      <c r="G86">
        <f t="shared" si="51"/>
        <v>54090</v>
      </c>
      <c r="H86" s="59">
        <f t="shared" si="52"/>
        <v>11509</v>
      </c>
      <c r="I86" s="258"/>
      <c r="J86" s="320"/>
      <c r="K86" s="320"/>
      <c r="Q86" s="320"/>
      <c r="R86" s="258"/>
    </row>
    <row r="87" ht="15.75" customHeight="1">
      <c r="E87" s="252"/>
      <c r="F87" s="250" t="s">
        <v>1173</v>
      </c>
      <c r="G87">
        <f t="shared" si="51"/>
        <v>3481</v>
      </c>
      <c r="H87" s="59">
        <f t="shared" si="52"/>
        <v>741</v>
      </c>
      <c r="I87" s="258"/>
      <c r="J87" s="320"/>
      <c r="K87" s="320"/>
      <c r="Q87" s="320"/>
      <c r="R87" s="258"/>
    </row>
    <row r="88" ht="15.75" customHeight="1">
      <c r="E88" s="258"/>
      <c r="F88" s="255" t="s">
        <v>1174</v>
      </c>
      <c r="G88" s="141">
        <f t="shared" si="51"/>
        <v>50609</v>
      </c>
      <c r="H88" s="142">
        <f t="shared" si="52"/>
        <v>10768</v>
      </c>
      <c r="I88" s="258"/>
      <c r="J88" s="320"/>
      <c r="K88" s="320"/>
      <c r="Q88" s="320"/>
      <c r="R88" s="258"/>
    </row>
    <row r="89" ht="15.75" customHeight="1">
      <c r="M89" s="277"/>
      <c r="N89" s="277"/>
      <c r="O89" s="277"/>
      <c r="P89" s="277"/>
      <c r="S89" s="277"/>
      <c r="T89" s="277"/>
      <c r="U89" s="277"/>
      <c r="V89" s="277"/>
      <c r="W89" s="277"/>
      <c r="X89" s="277"/>
      <c r="Y89" s="277"/>
      <c r="Z89" s="277"/>
    </row>
    <row r="90" ht="15.75" customHeight="1">
      <c r="E90" s="258"/>
      <c r="G90" s="320"/>
      <c r="H90" s="320"/>
      <c r="I90" s="258"/>
      <c r="J90" s="320"/>
      <c r="K90" s="320"/>
      <c r="Q90" s="320"/>
      <c r="R90" s="258"/>
    </row>
    <row r="91" ht="15.75" customHeight="1">
      <c r="E91" s="258"/>
      <c r="G91" s="320"/>
      <c r="H91" s="320"/>
      <c r="I91" s="258"/>
      <c r="J91" s="320"/>
      <c r="K91" s="320"/>
      <c r="Q91" s="320"/>
      <c r="R91" s="258"/>
    </row>
    <row r="92" ht="15.75" customHeight="1">
      <c r="E92" s="258"/>
      <c r="G92" s="320"/>
      <c r="H92" s="320"/>
      <c r="I92" s="258"/>
      <c r="J92" s="320"/>
      <c r="K92" s="320"/>
      <c r="Q92" s="320"/>
      <c r="R92" s="258"/>
    </row>
    <row r="93" ht="15.75" customHeight="1">
      <c r="E93" s="258"/>
      <c r="G93" s="320"/>
      <c r="H93" s="320"/>
      <c r="I93" s="258"/>
      <c r="J93" s="320"/>
      <c r="K93" s="320"/>
      <c r="Q93" s="320"/>
      <c r="R93" s="258"/>
    </row>
    <row r="94" ht="15.75" customHeight="1">
      <c r="E94" s="258"/>
      <c r="G94" s="320"/>
      <c r="H94" s="320"/>
      <c r="I94" s="258"/>
      <c r="J94" s="320"/>
      <c r="K94" s="320"/>
      <c r="Q94" s="320"/>
      <c r="R94" s="258"/>
    </row>
    <row r="95" ht="15.75" customHeight="1">
      <c r="E95" s="258"/>
      <c r="G95" s="320"/>
      <c r="H95" s="320"/>
      <c r="I95" s="258"/>
      <c r="J95" s="320"/>
      <c r="K95" s="320"/>
      <c r="Q95" s="320"/>
      <c r="R95" s="258"/>
    </row>
    <row r="96" ht="15.75" customHeight="1">
      <c r="E96" s="258"/>
      <c r="G96" s="320"/>
      <c r="H96" s="320"/>
      <c r="I96" s="258"/>
      <c r="J96" s="320"/>
      <c r="K96" s="320"/>
      <c r="Q96" s="320"/>
      <c r="R96" s="258"/>
    </row>
    <row r="97" ht="15.75" customHeight="1">
      <c r="E97" s="258"/>
      <c r="G97" s="320"/>
      <c r="H97" s="320"/>
      <c r="I97" s="258"/>
      <c r="J97" s="320"/>
      <c r="K97" s="320"/>
      <c r="Q97" s="320"/>
      <c r="R97" s="258"/>
    </row>
    <row r="98" ht="15.75" customHeight="1">
      <c r="E98" s="258"/>
      <c r="G98" s="320"/>
      <c r="H98" s="320"/>
      <c r="I98" s="258"/>
      <c r="J98" s="320"/>
      <c r="K98" s="320"/>
      <c r="Q98" s="320"/>
      <c r="R98" s="258"/>
    </row>
    <row r="99" ht="15.75" customHeight="1">
      <c r="E99" s="258"/>
      <c r="G99" s="320"/>
      <c r="H99" s="320"/>
      <c r="I99" s="258"/>
      <c r="J99" s="320"/>
      <c r="K99" s="320"/>
      <c r="Q99" s="320"/>
      <c r="R99" s="258"/>
    </row>
    <row r="100" ht="15.75" customHeight="1">
      <c r="M100" s="277"/>
      <c r="N100" s="277"/>
      <c r="O100" s="277"/>
      <c r="P100" s="277"/>
      <c r="S100" s="277"/>
      <c r="T100" s="277"/>
      <c r="U100" s="277"/>
      <c r="V100" s="277"/>
      <c r="W100" s="277"/>
      <c r="X100" s="277"/>
      <c r="Y100" s="277"/>
      <c r="Z100" s="277"/>
    </row>
    <row r="101" ht="15.75" customHeight="1">
      <c r="E101" s="258"/>
      <c r="G101" s="320"/>
      <c r="H101" s="320"/>
      <c r="I101" s="258"/>
      <c r="J101" s="320"/>
      <c r="K101" s="320"/>
      <c r="Q101" s="320"/>
      <c r="R101" s="258"/>
    </row>
    <row r="102" ht="15.75" customHeight="1">
      <c r="E102" s="258"/>
      <c r="G102" s="258"/>
      <c r="H102" s="258"/>
      <c r="I102" s="258"/>
      <c r="J102" s="258"/>
      <c r="K102" s="320"/>
      <c r="Q102" s="320"/>
      <c r="R102" s="258"/>
    </row>
    <row r="103" ht="15.75" customHeight="1">
      <c r="E103" s="258"/>
      <c r="G103" s="320"/>
      <c r="H103" s="320"/>
      <c r="I103" s="258"/>
      <c r="J103" s="320"/>
      <c r="K103" s="320"/>
      <c r="Q103" s="320"/>
      <c r="R103" s="258"/>
    </row>
    <row r="104" ht="15.75" customHeight="1">
      <c r="E104" s="258"/>
      <c r="G104" s="320"/>
      <c r="H104" s="320"/>
      <c r="I104" s="258"/>
      <c r="J104" s="320"/>
      <c r="K104" s="320"/>
      <c r="Q104" s="320"/>
      <c r="R104" s="258"/>
    </row>
    <row r="105" ht="15.75" customHeight="1">
      <c r="E105" s="258"/>
      <c r="G105" s="320"/>
      <c r="H105" s="320"/>
      <c r="I105" s="258"/>
      <c r="J105" s="320"/>
      <c r="K105" s="320"/>
      <c r="Q105" s="320"/>
      <c r="R105" s="258"/>
    </row>
    <row r="106" ht="15.75" customHeight="1">
      <c r="E106" s="258"/>
      <c r="G106" s="320"/>
      <c r="H106" s="320"/>
      <c r="I106" s="258"/>
      <c r="J106" s="320"/>
      <c r="K106" s="320"/>
      <c r="Q106" s="320"/>
      <c r="R106" s="258"/>
    </row>
    <row r="107" ht="15.75" customHeight="1">
      <c r="E107" s="258"/>
      <c r="G107" s="320"/>
      <c r="H107" s="320"/>
      <c r="I107" s="258"/>
      <c r="J107" s="320"/>
      <c r="K107" s="320"/>
      <c r="Q107" s="320"/>
      <c r="R107" s="258"/>
    </row>
    <row r="108" ht="15.75" customHeight="1">
      <c r="M108" s="277"/>
      <c r="N108" s="277"/>
      <c r="O108" s="277"/>
      <c r="P108" s="277"/>
      <c r="S108" s="277"/>
      <c r="T108" s="277"/>
      <c r="U108" s="277"/>
      <c r="V108" s="277"/>
      <c r="W108" s="277"/>
      <c r="X108" s="277"/>
      <c r="Y108" s="277"/>
      <c r="Z108" s="277"/>
    </row>
    <row r="109" ht="15.75" customHeight="1">
      <c r="E109" s="258"/>
      <c r="G109" s="320"/>
      <c r="H109" s="320"/>
      <c r="I109" s="320"/>
      <c r="J109" s="320"/>
      <c r="K109" s="320"/>
      <c r="Q109" s="320"/>
      <c r="R109" s="258"/>
    </row>
    <row r="110" ht="15.75" customHeight="1">
      <c r="E110" s="258"/>
      <c r="G110" s="320"/>
      <c r="H110" s="320"/>
      <c r="I110" s="258"/>
      <c r="J110" s="320"/>
      <c r="K110" s="320"/>
      <c r="Q110" s="320"/>
      <c r="R110" s="258"/>
    </row>
    <row r="111" ht="15.75" customHeight="1">
      <c r="E111" s="258"/>
      <c r="G111" s="320"/>
      <c r="H111" s="320"/>
      <c r="I111" s="320"/>
      <c r="J111" s="320"/>
      <c r="K111" s="320"/>
      <c r="Q111" s="320"/>
      <c r="R111" s="258"/>
    </row>
    <row r="112" ht="15.75" customHeight="1">
      <c r="E112" s="258"/>
      <c r="G112" s="320"/>
      <c r="H112" s="320"/>
      <c r="I112" s="258"/>
      <c r="J112" s="320"/>
      <c r="K112" s="320"/>
      <c r="Q112" s="320"/>
      <c r="R112" s="258"/>
    </row>
    <row r="113" ht="15.75" customHeight="1">
      <c r="E113" s="258"/>
      <c r="G113" s="320"/>
      <c r="H113" s="320"/>
      <c r="I113" s="320"/>
      <c r="J113" s="320"/>
      <c r="K113" s="320"/>
      <c r="Q113" s="320"/>
      <c r="R113" s="258"/>
    </row>
    <row r="114" ht="15.75" customHeight="1">
      <c r="E114" s="258"/>
      <c r="G114" s="320"/>
      <c r="H114" s="320"/>
      <c r="I114" s="258"/>
      <c r="J114" s="320"/>
      <c r="K114" s="320"/>
      <c r="Q114" s="320"/>
      <c r="R114" s="258"/>
    </row>
    <row r="115" ht="15.75" customHeight="1">
      <c r="E115" s="258"/>
      <c r="G115" s="320"/>
      <c r="H115" s="320"/>
      <c r="I115" s="320"/>
      <c r="J115" s="320"/>
      <c r="K115" s="320"/>
      <c r="Q115" s="320"/>
      <c r="R115" s="258"/>
    </row>
    <row r="116" ht="15.75" customHeight="1">
      <c r="E116" s="258"/>
      <c r="G116" s="320"/>
      <c r="H116" s="320"/>
      <c r="I116" s="320"/>
      <c r="J116" s="320"/>
      <c r="K116" s="320"/>
      <c r="Q116" s="320"/>
      <c r="R116" s="258"/>
    </row>
    <row r="117" ht="15.75" customHeight="1">
      <c r="M117" s="277"/>
      <c r="N117" s="277"/>
      <c r="O117" s="277"/>
      <c r="P117" s="277"/>
      <c r="S117" s="277"/>
      <c r="T117" s="277"/>
      <c r="U117" s="277"/>
      <c r="V117" s="277"/>
      <c r="W117" s="277"/>
      <c r="X117" s="277"/>
      <c r="Y117" s="277"/>
      <c r="Z117" s="277"/>
    </row>
    <row r="118" ht="15.75" customHeight="1">
      <c r="E118" s="252"/>
      <c r="G118" s="258"/>
      <c r="H118" s="258"/>
      <c r="I118" s="258"/>
      <c r="J118" s="258"/>
      <c r="K118" s="320"/>
      <c r="Q118" s="258"/>
      <c r="R118" s="258"/>
    </row>
    <row r="119" ht="15.75" customHeight="1">
      <c r="E119" s="252"/>
      <c r="G119" s="258"/>
      <c r="H119" s="258"/>
      <c r="I119" s="258"/>
      <c r="J119" s="258"/>
      <c r="K119" s="320"/>
      <c r="Q119" s="320"/>
      <c r="R119" s="258"/>
    </row>
    <row r="120" ht="15.75" customHeight="1">
      <c r="E120" s="252"/>
      <c r="G120" s="258"/>
      <c r="H120" s="258"/>
      <c r="I120" s="258"/>
      <c r="J120" s="258"/>
      <c r="K120" s="320"/>
      <c r="Q120" s="320"/>
      <c r="R120" s="258"/>
    </row>
    <row r="121" ht="15.75" customHeight="1">
      <c r="E121" s="258"/>
      <c r="G121" s="258"/>
      <c r="H121" s="258"/>
      <c r="I121" s="258"/>
      <c r="J121" s="258"/>
      <c r="K121" s="320"/>
      <c r="Q121" s="258"/>
      <c r="R121" s="258"/>
    </row>
    <row r="122" ht="15.75" customHeight="1">
      <c r="E122" s="252"/>
      <c r="G122" s="258"/>
      <c r="H122" s="258"/>
      <c r="I122" s="258"/>
      <c r="J122" s="258"/>
      <c r="K122" s="320"/>
      <c r="Q122" s="320"/>
      <c r="R122" s="258"/>
    </row>
    <row r="123" ht="15.75" customHeight="1">
      <c r="E123" s="252"/>
      <c r="G123" s="258"/>
      <c r="H123" s="258"/>
      <c r="I123" s="258"/>
      <c r="J123" s="258"/>
      <c r="K123" s="320"/>
      <c r="Q123" s="258"/>
      <c r="R123" s="258"/>
    </row>
    <row r="124" ht="15.75" customHeight="1">
      <c r="E124" s="258"/>
      <c r="G124" s="258"/>
      <c r="H124" s="258"/>
      <c r="I124" s="320"/>
      <c r="J124" s="258"/>
      <c r="K124" s="320"/>
      <c r="Q124" s="320"/>
      <c r="R124" s="258"/>
    </row>
    <row r="125" ht="15.75" customHeight="1">
      <c r="M125" s="277"/>
      <c r="N125" s="277"/>
      <c r="O125" s="277"/>
      <c r="P125" s="277"/>
      <c r="S125" s="277"/>
      <c r="T125" s="277"/>
      <c r="U125" s="277"/>
      <c r="V125" s="277"/>
      <c r="W125" s="277"/>
      <c r="X125" s="277"/>
      <c r="Y125" s="277"/>
      <c r="Z125" s="277"/>
    </row>
    <row r="126" ht="15.75" customHeight="1">
      <c r="E126" s="252"/>
      <c r="G126" s="258"/>
      <c r="H126" s="258"/>
      <c r="I126" s="258"/>
      <c r="J126" s="258"/>
      <c r="K126" s="320"/>
      <c r="Q126" s="320"/>
      <c r="R126" s="258"/>
    </row>
    <row r="127" ht="15.75" customHeight="1">
      <c r="E127" s="252"/>
      <c r="G127" s="258"/>
      <c r="H127" s="258"/>
      <c r="I127" s="258"/>
      <c r="J127" s="258"/>
      <c r="K127" s="320"/>
      <c r="Q127" s="320"/>
      <c r="R127" s="258"/>
    </row>
    <row r="128" ht="15.75" customHeight="1">
      <c r="E128" s="252"/>
      <c r="G128" s="258"/>
      <c r="H128" s="258"/>
      <c r="I128" s="258"/>
      <c r="J128" s="258"/>
      <c r="K128" s="320"/>
      <c r="Q128" s="320"/>
      <c r="R128" s="258"/>
    </row>
    <row r="129" ht="15.75" customHeight="1">
      <c r="E129" s="252"/>
      <c r="G129" s="258"/>
      <c r="H129" s="258"/>
      <c r="I129" s="258"/>
      <c r="J129" s="258"/>
      <c r="K129" s="320"/>
      <c r="Q129" s="258"/>
      <c r="R129" s="258"/>
    </row>
    <row r="130" ht="15.75" customHeight="1">
      <c r="M130" s="277"/>
      <c r="N130" s="277"/>
      <c r="O130" s="277"/>
      <c r="P130" s="277"/>
      <c r="S130" s="277"/>
      <c r="T130" s="277"/>
      <c r="U130" s="277"/>
      <c r="V130" s="277"/>
      <c r="W130" s="277"/>
      <c r="X130" s="277"/>
      <c r="Y130" s="277"/>
      <c r="Z130" s="277"/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</sheetData>
  <mergeCells count="57">
    <mergeCell ref="K124:L124"/>
    <mergeCell ref="K126:L126"/>
    <mergeCell ref="K127:L127"/>
    <mergeCell ref="K128:L128"/>
    <mergeCell ref="K129:L129"/>
    <mergeCell ref="K116:L116"/>
    <mergeCell ref="K118:L118"/>
    <mergeCell ref="K119:L119"/>
    <mergeCell ref="K120:L120"/>
    <mergeCell ref="K121:L121"/>
    <mergeCell ref="K122:L122"/>
    <mergeCell ref="K123:L123"/>
    <mergeCell ref="G1:H1"/>
    <mergeCell ref="J1:P1"/>
    <mergeCell ref="R1:T1"/>
    <mergeCell ref="A1:A2"/>
    <mergeCell ref="B1:B2"/>
    <mergeCell ref="C1:C2"/>
    <mergeCell ref="D1:D2"/>
    <mergeCell ref="E1:E2"/>
    <mergeCell ref="F1:F2"/>
    <mergeCell ref="I1:I2"/>
    <mergeCell ref="D65:H65"/>
    <mergeCell ref="K65:L66"/>
    <mergeCell ref="K69:L69"/>
    <mergeCell ref="K70:L70"/>
    <mergeCell ref="K71:L71"/>
    <mergeCell ref="D77:H77"/>
    <mergeCell ref="F78:H78"/>
    <mergeCell ref="F84:H84"/>
    <mergeCell ref="K86:L86"/>
    <mergeCell ref="K87:L87"/>
    <mergeCell ref="K88:L88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1:L101"/>
    <mergeCell ref="K102:L102"/>
    <mergeCell ref="K103:L103"/>
    <mergeCell ref="K104:L104"/>
    <mergeCell ref="K105:L105"/>
    <mergeCell ref="K106:L106"/>
    <mergeCell ref="K107:L107"/>
    <mergeCell ref="K109:L109"/>
    <mergeCell ref="K110:L110"/>
    <mergeCell ref="K111:L111"/>
    <mergeCell ref="K112:L112"/>
    <mergeCell ref="K113:L113"/>
    <mergeCell ref="K114:L114"/>
    <mergeCell ref="K115:L115"/>
  </mergeCells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0.25"/>
    <col customWidth="1" min="4" max="5" width="12.63"/>
    <col customWidth="1" min="6" max="6" width="52.63"/>
    <col customWidth="1" min="7" max="10" width="12.63"/>
  </cols>
  <sheetData>
    <row r="1" ht="15.75" customHeight="1">
      <c r="A1" s="259" t="s">
        <v>863</v>
      </c>
      <c r="B1" s="138"/>
      <c r="C1" s="57"/>
      <c r="D1" s="259" t="s">
        <v>0</v>
      </c>
      <c r="E1" s="138"/>
      <c r="F1" s="57"/>
      <c r="G1" s="125"/>
      <c r="H1" s="125"/>
      <c r="I1" s="125"/>
    </row>
    <row r="2" ht="15.75" customHeight="1">
      <c r="A2" s="60"/>
      <c r="B2" s="141"/>
      <c r="C2" s="142"/>
      <c r="D2" s="60"/>
      <c r="E2" s="141"/>
      <c r="F2" s="142"/>
      <c r="G2" s="125"/>
      <c r="H2" s="125"/>
      <c r="I2" s="125"/>
    </row>
    <row r="3" ht="15.75" customHeight="1">
      <c r="A3" s="260" t="s">
        <v>154</v>
      </c>
      <c r="B3" s="260" t="s">
        <v>1</v>
      </c>
      <c r="C3" s="260" t="s">
        <v>5</v>
      </c>
      <c r="D3" s="260" t="s">
        <v>154</v>
      </c>
      <c r="E3" s="260" t="s">
        <v>1</v>
      </c>
      <c r="F3" s="260" t="s">
        <v>5</v>
      </c>
      <c r="G3" s="125"/>
      <c r="H3" s="125"/>
      <c r="I3" s="125"/>
    </row>
    <row r="4" ht="15.75" customHeight="1">
      <c r="A4" s="261">
        <v>-350.0</v>
      </c>
      <c r="B4" s="123" t="s">
        <v>1374</v>
      </c>
      <c r="C4" s="123" t="s">
        <v>1375</v>
      </c>
      <c r="D4" s="129">
        <v>2500.0</v>
      </c>
      <c r="F4" s="50" t="s">
        <v>1376</v>
      </c>
      <c r="G4" s="125"/>
      <c r="H4" s="125" t="s">
        <v>867</v>
      </c>
      <c r="I4" s="126">
        <f>sum(D:D)</f>
        <v>172435</v>
      </c>
    </row>
    <row r="5" ht="15.75" customHeight="1">
      <c r="A5" s="261">
        <v>11135.0</v>
      </c>
      <c r="B5" s="123" t="s">
        <v>1377</v>
      </c>
      <c r="C5" s="123" t="s">
        <v>1378</v>
      </c>
      <c r="D5" s="129">
        <v>200.0</v>
      </c>
      <c r="F5" s="50" t="s">
        <v>1379</v>
      </c>
      <c r="G5" s="125"/>
      <c r="H5" s="125" t="s">
        <v>871</v>
      </c>
      <c r="I5" s="126">
        <f>sum(A:A)</f>
        <v>194747</v>
      </c>
    </row>
    <row r="6" ht="15.75" customHeight="1">
      <c r="A6" s="261">
        <v>2400.0</v>
      </c>
      <c r="B6" s="123" t="s">
        <v>1380</v>
      </c>
      <c r="C6" s="123" t="s">
        <v>1381</v>
      </c>
      <c r="D6" s="129">
        <v>200.0</v>
      </c>
      <c r="F6" s="50" t="s">
        <v>1382</v>
      </c>
      <c r="G6" s="125"/>
      <c r="H6" s="125"/>
      <c r="I6" s="125"/>
    </row>
    <row r="7" ht="15.75" customHeight="1">
      <c r="A7" s="261">
        <v>300.0</v>
      </c>
      <c r="B7" s="123" t="s">
        <v>1383</v>
      </c>
      <c r="C7" s="123" t="s">
        <v>1381</v>
      </c>
      <c r="D7" s="129">
        <v>250.0</v>
      </c>
      <c r="F7" s="50" t="s">
        <v>1384</v>
      </c>
      <c r="G7" s="125"/>
      <c r="H7" s="125" t="s">
        <v>877</v>
      </c>
      <c r="I7" s="126">
        <f>I5-I4</f>
        <v>22312</v>
      </c>
    </row>
    <row r="8" ht="15.75" customHeight="1">
      <c r="A8" s="261">
        <v>300.0</v>
      </c>
      <c r="B8" s="123" t="s">
        <v>1383</v>
      </c>
      <c r="C8" s="123" t="s">
        <v>1381</v>
      </c>
      <c r="D8" s="129">
        <v>100.0</v>
      </c>
      <c r="F8" s="50" t="s">
        <v>1385</v>
      </c>
      <c r="G8" s="125"/>
      <c r="I8" s="125"/>
      <c r="J8" s="126"/>
    </row>
    <row r="9" ht="15.75" customHeight="1">
      <c r="A9" s="261">
        <v>140.0</v>
      </c>
      <c r="B9" s="123" t="s">
        <v>1386</v>
      </c>
      <c r="C9" s="123" t="s">
        <v>1381</v>
      </c>
      <c r="D9" s="129">
        <v>450.0</v>
      </c>
      <c r="F9" s="50" t="s">
        <v>1387</v>
      </c>
      <c r="G9" s="125"/>
      <c r="I9" s="125"/>
      <c r="J9" s="125"/>
    </row>
    <row r="10" ht="15.75" customHeight="1">
      <c r="A10" s="261">
        <v>40.0</v>
      </c>
      <c r="B10" s="123" t="s">
        <v>1388</v>
      </c>
      <c r="C10" s="123" t="s">
        <v>1381</v>
      </c>
      <c r="D10" s="129">
        <v>50.0</v>
      </c>
      <c r="F10" s="50" t="s">
        <v>1389</v>
      </c>
      <c r="G10" s="125"/>
    </row>
    <row r="11" ht="15.75" customHeight="1">
      <c r="A11" s="261">
        <v>100.0</v>
      </c>
      <c r="B11" s="123" t="s">
        <v>1390</v>
      </c>
      <c r="C11" s="123" t="s">
        <v>1381</v>
      </c>
      <c r="D11" s="264">
        <v>2500.0</v>
      </c>
      <c r="E11" s="125"/>
      <c r="F11" s="50" t="s">
        <v>1391</v>
      </c>
      <c r="G11" s="125"/>
      <c r="I11" s="125"/>
      <c r="J11" s="126"/>
    </row>
    <row r="12" ht="15.75" customHeight="1">
      <c r="A12" s="261">
        <v>100.0</v>
      </c>
      <c r="B12" s="50" t="s">
        <v>1392</v>
      </c>
      <c r="C12" s="123" t="s">
        <v>1381</v>
      </c>
      <c r="D12" s="261">
        <v>400.0</v>
      </c>
      <c r="E12" s="125"/>
      <c r="F12" s="50" t="s">
        <v>1393</v>
      </c>
      <c r="G12" s="125"/>
      <c r="H12" s="125"/>
      <c r="I12" s="125"/>
    </row>
    <row r="13" ht="15.75" customHeight="1">
      <c r="A13" s="261">
        <v>200.0</v>
      </c>
      <c r="B13" s="123" t="s">
        <v>1394</v>
      </c>
      <c r="C13" s="123" t="s">
        <v>1395</v>
      </c>
      <c r="D13" s="261">
        <v>2100.0</v>
      </c>
      <c r="E13" s="125"/>
      <c r="F13" s="123" t="s">
        <v>1396</v>
      </c>
      <c r="G13" s="125"/>
      <c r="H13" s="125"/>
      <c r="I13" s="125"/>
    </row>
    <row r="14" ht="15.75" customHeight="1">
      <c r="A14" s="261">
        <v>11650.0</v>
      </c>
      <c r="B14" s="123" t="s">
        <v>1397</v>
      </c>
      <c r="C14" s="123" t="s">
        <v>1398</v>
      </c>
      <c r="D14" s="261">
        <v>2100.0</v>
      </c>
      <c r="E14" s="125"/>
      <c r="F14" s="123" t="s">
        <v>1399</v>
      </c>
      <c r="G14" s="125"/>
      <c r="H14" s="125"/>
      <c r="I14" s="125"/>
    </row>
    <row r="15" ht="15.75" customHeight="1">
      <c r="A15" s="261">
        <v>11550.0</v>
      </c>
      <c r="B15" s="123" t="s">
        <v>1400</v>
      </c>
      <c r="C15" s="123" t="s">
        <v>1401</v>
      </c>
      <c r="D15" s="261">
        <v>2100.0</v>
      </c>
      <c r="E15" s="125"/>
      <c r="F15" s="123" t="s">
        <v>1402</v>
      </c>
      <c r="G15" s="125"/>
      <c r="H15" s="125"/>
      <c r="I15" s="125"/>
    </row>
    <row r="16" ht="15.75" customHeight="1">
      <c r="A16" s="264">
        <v>800.0</v>
      </c>
      <c r="B16" s="123" t="s">
        <v>1403</v>
      </c>
      <c r="C16" s="123" t="s">
        <v>1381</v>
      </c>
      <c r="D16" s="261">
        <v>500.0</v>
      </c>
      <c r="E16" s="125"/>
      <c r="F16" s="123" t="s">
        <v>1404</v>
      </c>
      <c r="G16" s="125"/>
      <c r="H16" s="125"/>
      <c r="I16" s="125"/>
    </row>
    <row r="17" ht="15.75" customHeight="1">
      <c r="A17" s="264">
        <v>1850.0</v>
      </c>
      <c r="B17" s="123" t="s">
        <v>1405</v>
      </c>
      <c r="C17" s="123" t="s">
        <v>1406</v>
      </c>
      <c r="D17" s="261">
        <v>500.0</v>
      </c>
      <c r="E17" s="125"/>
      <c r="F17" s="123" t="s">
        <v>1407</v>
      </c>
      <c r="G17" s="125"/>
      <c r="H17" s="125"/>
      <c r="I17" s="125"/>
    </row>
    <row r="18" ht="15.75" customHeight="1">
      <c r="A18" s="261">
        <v>11650.0</v>
      </c>
      <c r="B18" s="50" t="s">
        <v>1408</v>
      </c>
      <c r="C18" s="50" t="s">
        <v>1409</v>
      </c>
      <c r="D18" s="261">
        <v>5700.0</v>
      </c>
      <c r="E18" s="125"/>
      <c r="F18" s="123" t="s">
        <v>1410</v>
      </c>
      <c r="G18" s="125"/>
      <c r="H18" s="125"/>
      <c r="I18" s="125"/>
    </row>
    <row r="19" ht="15.75" customHeight="1">
      <c r="A19" s="261">
        <v>11650.0</v>
      </c>
      <c r="B19" s="123" t="s">
        <v>1411</v>
      </c>
      <c r="C19" s="123" t="s">
        <v>1412</v>
      </c>
      <c r="D19" s="261">
        <v>650.0</v>
      </c>
      <c r="E19" s="125"/>
      <c r="F19" s="123" t="s">
        <v>1413</v>
      </c>
      <c r="G19" s="125"/>
      <c r="H19" s="125"/>
      <c r="I19" s="125"/>
    </row>
    <row r="20" ht="15.75" customHeight="1">
      <c r="A20" s="261">
        <v>11495.0</v>
      </c>
      <c r="B20" s="123" t="s">
        <v>1414</v>
      </c>
      <c r="C20" s="123" t="s">
        <v>1415</v>
      </c>
      <c r="D20" s="261">
        <v>400.0</v>
      </c>
      <c r="E20" s="125"/>
      <c r="F20" s="123" t="s">
        <v>1416</v>
      </c>
      <c r="G20" s="125"/>
      <c r="H20" s="125"/>
      <c r="I20" s="125"/>
    </row>
    <row r="21" ht="15.75" customHeight="1">
      <c r="A21" s="261">
        <v>12200.0</v>
      </c>
      <c r="B21" s="123" t="s">
        <v>1417</v>
      </c>
      <c r="C21" s="123" t="s">
        <v>1418</v>
      </c>
      <c r="D21" s="261">
        <v>800.0</v>
      </c>
      <c r="E21" s="125"/>
      <c r="F21" s="123" t="s">
        <v>1419</v>
      </c>
      <c r="G21" s="125"/>
      <c r="H21" s="125"/>
      <c r="I21" s="125"/>
    </row>
    <row r="22" ht="15.75" customHeight="1">
      <c r="A22" s="261">
        <v>11250.0</v>
      </c>
      <c r="B22" s="123" t="s">
        <v>1420</v>
      </c>
      <c r="C22" s="123" t="s">
        <v>1421</v>
      </c>
      <c r="D22" s="261">
        <v>4700.0</v>
      </c>
      <c r="E22" s="125"/>
      <c r="F22" s="123" t="s">
        <v>1422</v>
      </c>
      <c r="G22" s="125"/>
      <c r="H22" s="125"/>
      <c r="I22" s="125"/>
    </row>
    <row r="23" ht="15.75" customHeight="1">
      <c r="A23" s="261">
        <v>12180.0</v>
      </c>
      <c r="B23" s="123" t="s">
        <v>1423</v>
      </c>
      <c r="C23" s="123" t="s">
        <v>1424</v>
      </c>
      <c r="D23" s="261">
        <v>4700.0</v>
      </c>
      <c r="E23" s="125"/>
      <c r="F23" s="123" t="s">
        <v>1425</v>
      </c>
      <c r="G23" s="125"/>
      <c r="H23" s="125"/>
      <c r="I23" s="125"/>
    </row>
    <row r="24" ht="15.75" customHeight="1">
      <c r="A24" s="261">
        <v>11835.0</v>
      </c>
      <c r="B24" s="123" t="s">
        <v>1426</v>
      </c>
      <c r="C24" s="123" t="s">
        <v>1427</v>
      </c>
      <c r="D24" s="261">
        <v>2100.0</v>
      </c>
      <c r="E24" s="125"/>
      <c r="F24" s="123" t="s">
        <v>1428</v>
      </c>
      <c r="G24" s="125"/>
      <c r="H24" s="125"/>
      <c r="I24" s="125"/>
    </row>
    <row r="25" ht="15.75" customHeight="1">
      <c r="A25" s="261">
        <v>11100.0</v>
      </c>
      <c r="B25" s="125"/>
      <c r="C25" s="123" t="s">
        <v>1429</v>
      </c>
      <c r="D25" s="261">
        <v>8000.0</v>
      </c>
      <c r="F25" s="123" t="s">
        <v>1430</v>
      </c>
      <c r="G25" s="125"/>
      <c r="H25" s="125"/>
      <c r="I25" s="125"/>
    </row>
    <row r="26" ht="15.75" customHeight="1">
      <c r="A26" s="261">
        <v>11280.0</v>
      </c>
      <c r="B26" s="125"/>
      <c r="C26" s="123" t="s">
        <v>1431</v>
      </c>
      <c r="D26" s="261">
        <v>10000.0</v>
      </c>
      <c r="E26" s="125"/>
      <c r="F26" s="123" t="s">
        <v>1432</v>
      </c>
      <c r="G26" s="125"/>
      <c r="H26" s="125"/>
      <c r="I26" s="125"/>
    </row>
    <row r="27" ht="15.75" customHeight="1">
      <c r="A27" s="261">
        <v>10005.0</v>
      </c>
      <c r="B27" s="125"/>
      <c r="C27" s="123" t="s">
        <v>1433</v>
      </c>
      <c r="D27" s="264">
        <v>10500.0</v>
      </c>
      <c r="E27" s="125"/>
      <c r="F27" s="123" t="s">
        <v>1434</v>
      </c>
      <c r="G27" s="125"/>
      <c r="H27" s="125"/>
      <c r="I27" s="125"/>
    </row>
    <row r="28" ht="15.75" customHeight="1">
      <c r="A28" s="261">
        <v>5600.0</v>
      </c>
      <c r="B28" s="125"/>
      <c r="C28" s="123" t="s">
        <v>1418</v>
      </c>
      <c r="D28" s="261">
        <v>10500.0</v>
      </c>
      <c r="E28" s="125"/>
      <c r="F28" s="123" t="s">
        <v>1435</v>
      </c>
      <c r="G28" s="125"/>
      <c r="H28" s="125"/>
      <c r="I28" s="125"/>
    </row>
    <row r="29" ht="15.75" customHeight="1">
      <c r="A29" s="261">
        <v>5150.0</v>
      </c>
      <c r="B29" s="125"/>
      <c r="C29" s="123" t="s">
        <v>1436</v>
      </c>
      <c r="D29" s="261">
        <v>10500.0</v>
      </c>
      <c r="E29" s="125"/>
      <c r="F29" s="123" t="s">
        <v>1437</v>
      </c>
      <c r="G29" s="125"/>
      <c r="H29" s="125"/>
      <c r="I29" s="125"/>
    </row>
    <row r="30" ht="15.75" customHeight="1">
      <c r="A30" s="261">
        <v>13723.0</v>
      </c>
      <c r="B30" s="125"/>
      <c r="C30" s="123" t="s">
        <v>1438</v>
      </c>
      <c r="D30" s="261">
        <v>10500.0</v>
      </c>
      <c r="E30" s="125"/>
      <c r="F30" s="123" t="s">
        <v>1439</v>
      </c>
      <c r="G30" s="125"/>
      <c r="H30" s="125"/>
      <c r="I30" s="125"/>
    </row>
    <row r="31" ht="15.75" customHeight="1">
      <c r="A31" s="261">
        <v>900.0</v>
      </c>
      <c r="B31" s="50" t="s">
        <v>1440</v>
      </c>
      <c r="C31" s="123" t="s">
        <v>1381</v>
      </c>
      <c r="D31" s="261">
        <v>1000.0</v>
      </c>
      <c r="E31" s="123"/>
      <c r="F31" s="123" t="s">
        <v>1441</v>
      </c>
      <c r="G31" s="125"/>
      <c r="H31" s="125"/>
      <c r="I31" s="125"/>
    </row>
    <row r="32" ht="15.75" customHeight="1">
      <c r="A32" s="261">
        <v>13514.0</v>
      </c>
      <c r="B32" s="125"/>
      <c r="C32" s="123" t="s">
        <v>1442</v>
      </c>
      <c r="D32" s="261">
        <v>4500.0</v>
      </c>
      <c r="E32" s="125"/>
      <c r="F32" s="123" t="s">
        <v>1443</v>
      </c>
      <c r="G32" s="125"/>
      <c r="H32" s="125"/>
      <c r="I32" s="125"/>
    </row>
    <row r="33" ht="15.75" customHeight="1">
      <c r="A33" s="261">
        <v>1000.0</v>
      </c>
      <c r="B33" s="50" t="s">
        <v>1444</v>
      </c>
      <c r="C33" s="123" t="s">
        <v>1381</v>
      </c>
      <c r="D33" s="261">
        <v>150.0</v>
      </c>
      <c r="E33" s="125"/>
      <c r="F33" s="123" t="s">
        <v>1445</v>
      </c>
      <c r="G33" s="125"/>
      <c r="H33" s="125"/>
      <c r="I33" s="125"/>
    </row>
    <row r="34" ht="15.75" customHeight="1">
      <c r="A34" s="261"/>
      <c r="B34" s="125"/>
      <c r="C34" s="123"/>
      <c r="D34" s="261">
        <v>11835.0</v>
      </c>
      <c r="E34" s="125"/>
      <c r="F34" s="123" t="s">
        <v>1446</v>
      </c>
      <c r="G34" s="125"/>
      <c r="H34" s="125"/>
      <c r="I34" s="125"/>
    </row>
    <row r="35" ht="15.75" customHeight="1">
      <c r="A35" s="125"/>
      <c r="B35" s="125"/>
      <c r="C35" s="125"/>
      <c r="D35" s="261">
        <v>10575.0</v>
      </c>
      <c r="E35" s="125"/>
      <c r="F35" s="123" t="s">
        <v>1447</v>
      </c>
      <c r="G35" s="125"/>
      <c r="H35" s="125"/>
      <c r="I35" s="125"/>
    </row>
    <row r="36" ht="15.75" customHeight="1">
      <c r="A36" s="125"/>
      <c r="B36" s="125"/>
      <c r="C36" s="125"/>
      <c r="D36" s="261">
        <v>10575.0</v>
      </c>
      <c r="E36" s="125"/>
      <c r="F36" s="123" t="s">
        <v>1448</v>
      </c>
      <c r="G36" s="125"/>
      <c r="H36" s="125"/>
      <c r="I36" s="125"/>
    </row>
    <row r="37" ht="15.75" customHeight="1">
      <c r="A37" s="125"/>
      <c r="B37" s="125"/>
      <c r="C37" s="125"/>
      <c r="D37" s="261">
        <v>9400.0</v>
      </c>
      <c r="E37" s="125"/>
      <c r="F37" s="123" t="s">
        <v>1449</v>
      </c>
      <c r="G37" s="125"/>
      <c r="H37" s="125"/>
      <c r="I37" s="125"/>
    </row>
    <row r="38" ht="15.75" customHeight="1">
      <c r="A38" s="261"/>
      <c r="B38" s="123"/>
      <c r="C38" s="123"/>
      <c r="D38" s="129">
        <v>250.0</v>
      </c>
      <c r="F38" s="50" t="s">
        <v>1450</v>
      </c>
    </row>
    <row r="39" ht="15.75" customHeight="1">
      <c r="D39" s="129">
        <v>4000.0</v>
      </c>
      <c r="F39" s="123" t="s">
        <v>1451</v>
      </c>
    </row>
    <row r="40" ht="15.75" customHeight="1">
      <c r="D40" s="261">
        <v>12000.0</v>
      </c>
      <c r="F40" s="123" t="s">
        <v>1452</v>
      </c>
    </row>
    <row r="41" ht="15.75" customHeight="1">
      <c r="D41" s="261">
        <v>10750.0</v>
      </c>
      <c r="F41" s="123" t="s">
        <v>1453</v>
      </c>
    </row>
    <row r="42" ht="15.75" customHeight="1">
      <c r="D42" s="129">
        <v>100.0</v>
      </c>
      <c r="F42" s="50" t="s">
        <v>1454</v>
      </c>
    </row>
    <row r="43" ht="15.75" customHeight="1">
      <c r="D43" s="129">
        <v>1000.0</v>
      </c>
      <c r="F43" s="50" t="s">
        <v>1455</v>
      </c>
    </row>
    <row r="44" ht="15.75" customHeight="1">
      <c r="D44" s="129">
        <v>200.0</v>
      </c>
      <c r="F44" s="50" t="s">
        <v>1456</v>
      </c>
    </row>
    <row r="45" ht="15.75" customHeight="1">
      <c r="D45" s="129">
        <v>1000.0</v>
      </c>
      <c r="F45" s="50" t="s">
        <v>1457</v>
      </c>
    </row>
    <row r="46" ht="15.75" customHeight="1">
      <c r="D46" s="129">
        <v>1050.0</v>
      </c>
      <c r="F46" s="50" t="s">
        <v>1458</v>
      </c>
    </row>
    <row r="47" ht="15.75" customHeight="1">
      <c r="D47" s="129">
        <v>500.0</v>
      </c>
      <c r="F47" s="50" t="s">
        <v>1459</v>
      </c>
    </row>
    <row r="48" ht="15.75" customHeight="1">
      <c r="D48" s="129">
        <v>550.0</v>
      </c>
      <c r="F48" s="50" t="s">
        <v>1460</v>
      </c>
    </row>
    <row r="49" ht="15.75" customHeight="1"/>
    <row r="50" ht="15.75" customHeight="1"/>
    <row r="51" ht="15.75" customHeight="1">
      <c r="D51" s="129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2"/>
    <mergeCell ref="D1:F2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7.0"/>
    <col customWidth="1" min="3" max="3" width="19.75"/>
    <col customWidth="1" min="4" max="4" width="16.5"/>
    <col customWidth="1" min="5" max="5" width="25.38"/>
    <col customWidth="1" min="6" max="6" width="6.0"/>
    <col customWidth="1" min="7" max="7" width="5.0"/>
    <col customWidth="1" min="8" max="8" width="4.13"/>
    <col customWidth="1" min="9" max="9" width="4.88"/>
    <col customWidth="1" min="10" max="10" width="13.5"/>
    <col customWidth="1" min="11" max="11" width="25.13"/>
    <col customWidth="1" min="12" max="12" width="4.75"/>
    <col customWidth="1" min="13" max="13" width="5.38"/>
    <col customWidth="1" min="14" max="14" width="7.63"/>
    <col customWidth="1" min="15" max="15" width="6.25"/>
    <col customWidth="1" min="16" max="16" width="7.0"/>
    <col customWidth="1" min="17" max="17" width="12.63"/>
    <col customWidth="1" min="18" max="18" width="19.38"/>
    <col customWidth="1" min="19" max="26" width="12.63"/>
  </cols>
  <sheetData>
    <row r="1" ht="15.75" customHeight="1">
      <c r="A1" s="163" t="s">
        <v>1</v>
      </c>
      <c r="B1" s="163" t="s">
        <v>2</v>
      </c>
      <c r="C1" s="163" t="s">
        <v>4</v>
      </c>
      <c r="D1" s="163" t="s">
        <v>1290</v>
      </c>
      <c r="E1" s="165" t="s">
        <v>1055</v>
      </c>
      <c r="F1" s="166" t="s">
        <v>1090</v>
      </c>
      <c r="G1" s="183"/>
      <c r="H1" s="168">
        <v>0.03</v>
      </c>
      <c r="I1" s="167" t="s">
        <v>1291</v>
      </c>
      <c r="J1" s="170"/>
      <c r="K1" s="171"/>
      <c r="L1" s="322" t="s">
        <v>1461</v>
      </c>
      <c r="M1" s="176"/>
      <c r="N1" s="167" t="s">
        <v>17</v>
      </c>
      <c r="O1" s="170"/>
      <c r="P1" s="171"/>
    </row>
    <row r="2" ht="15.75" customHeight="1">
      <c r="A2" s="173"/>
      <c r="B2" s="173"/>
      <c r="C2" s="173"/>
      <c r="D2" s="173"/>
      <c r="E2" s="60"/>
      <c r="F2" s="225" t="s">
        <v>7</v>
      </c>
      <c r="G2" s="175" t="s">
        <v>9</v>
      </c>
      <c r="H2" s="176"/>
      <c r="I2" s="174" t="s">
        <v>23</v>
      </c>
      <c r="J2" s="323" t="s">
        <v>5</v>
      </c>
      <c r="K2" s="171"/>
      <c r="L2" s="324">
        <v>0.2</v>
      </c>
      <c r="M2" s="325">
        <v>0.05</v>
      </c>
      <c r="N2" s="226" t="s">
        <v>1059</v>
      </c>
      <c r="O2" s="184" t="s">
        <v>1060</v>
      </c>
      <c r="P2" s="186" t="s">
        <v>1293</v>
      </c>
    </row>
    <row r="3" ht="15.75" customHeight="1">
      <c r="A3" s="199" t="s">
        <v>29</v>
      </c>
      <c r="B3" s="199"/>
      <c r="C3" s="199"/>
      <c r="D3" s="199"/>
      <c r="E3" s="199"/>
      <c r="F3" s="227"/>
      <c r="G3" s="228"/>
      <c r="H3" s="202"/>
      <c r="I3" s="199"/>
      <c r="J3" s="199"/>
      <c r="K3" s="202"/>
      <c r="L3" s="326"/>
      <c r="M3" s="202"/>
      <c r="N3" s="228"/>
      <c r="O3" s="199"/>
      <c r="P3" s="200"/>
      <c r="Q3" s="277"/>
      <c r="R3" s="277"/>
      <c r="S3" s="277"/>
      <c r="T3" s="277"/>
      <c r="U3" s="277"/>
      <c r="V3" s="277"/>
      <c r="W3" s="277"/>
      <c r="X3" s="277"/>
      <c r="Y3" s="277"/>
      <c r="Z3" s="277"/>
    </row>
    <row r="4" ht="15.75" customHeight="1">
      <c r="A4">
        <v>20.0</v>
      </c>
      <c r="B4" t="s">
        <v>34</v>
      </c>
      <c r="C4" t="s">
        <v>1318</v>
      </c>
      <c r="D4" s="252" t="s">
        <v>1462</v>
      </c>
      <c r="E4" t="s">
        <v>35</v>
      </c>
      <c r="F4" s="327">
        <v>10580.0</v>
      </c>
      <c r="G4" s="328">
        <v>1380.0</v>
      </c>
      <c r="H4" s="284">
        <f>round(F4*3%,0)</f>
        <v>317</v>
      </c>
      <c r="I4" s="329">
        <v>930.0</v>
      </c>
      <c r="J4" s="320" t="s">
        <v>38</v>
      </c>
      <c r="K4" s="330"/>
      <c r="L4" s="331">
        <f>round((F4-H4-I4)*20%,0)</f>
        <v>1867</v>
      </c>
      <c r="M4" s="332" t="s">
        <v>1463</v>
      </c>
      <c r="N4" s="292">
        <f>round(F4-H4-I4,0)</f>
        <v>9333</v>
      </c>
      <c r="O4" s="252">
        <v>20.0</v>
      </c>
      <c r="P4" s="295">
        <v>1860.0</v>
      </c>
    </row>
    <row r="5" ht="15.75" customHeight="1">
      <c r="A5" s="199" t="s">
        <v>30</v>
      </c>
      <c r="B5" s="199"/>
      <c r="C5" s="199"/>
      <c r="D5" s="199"/>
      <c r="E5" s="199"/>
      <c r="F5" s="227"/>
      <c r="G5" s="228"/>
      <c r="H5" s="202"/>
      <c r="I5" s="199"/>
      <c r="J5" s="199"/>
      <c r="K5" s="202"/>
      <c r="L5" s="326"/>
      <c r="M5" s="202"/>
      <c r="N5" s="228"/>
      <c r="O5" s="199"/>
      <c r="P5" s="202"/>
    </row>
    <row r="6" ht="15.75" customHeight="1">
      <c r="A6" s="199" t="s">
        <v>31</v>
      </c>
      <c r="B6" s="199"/>
      <c r="C6" s="199"/>
      <c r="D6" s="199"/>
      <c r="E6" s="199"/>
      <c r="F6" s="227"/>
      <c r="G6" s="228"/>
      <c r="H6" s="202"/>
      <c r="I6" s="199"/>
      <c r="J6" s="199"/>
      <c r="K6" s="202"/>
      <c r="L6" s="326"/>
      <c r="M6" s="202"/>
      <c r="N6" s="228"/>
      <c r="O6" s="199"/>
      <c r="P6" s="202"/>
    </row>
    <row r="7" ht="15.75" customHeight="1">
      <c r="A7">
        <v>24.0</v>
      </c>
      <c r="B7" t="s">
        <v>34</v>
      </c>
      <c r="C7" t="s">
        <v>83</v>
      </c>
      <c r="D7" s="252" t="s">
        <v>1464</v>
      </c>
      <c r="E7" t="s">
        <v>1465</v>
      </c>
      <c r="F7" s="327">
        <v>3800.0</v>
      </c>
      <c r="G7" s="328">
        <v>0.0</v>
      </c>
      <c r="H7" s="284">
        <f>round(F7*3%,0)</f>
        <v>114</v>
      </c>
      <c r="I7" s="329">
        <v>600.0</v>
      </c>
      <c r="J7" s="320" t="s">
        <v>38</v>
      </c>
      <c r="K7" s="330"/>
      <c r="L7" s="331">
        <f>round((F7-H7-I7)*20%,0)</f>
        <v>617</v>
      </c>
      <c r="M7" s="332" t="s">
        <v>1463</v>
      </c>
      <c r="N7" s="292">
        <f>round(F7-H7-I7-L7,0)</f>
        <v>2469</v>
      </c>
      <c r="O7" s="252">
        <v>86.0</v>
      </c>
      <c r="P7" s="295">
        <v>600.0</v>
      </c>
    </row>
    <row r="8" ht="15.75" customHeight="1">
      <c r="A8" s="199" t="s">
        <v>32</v>
      </c>
      <c r="B8" s="199"/>
      <c r="C8" s="199"/>
      <c r="D8" s="199"/>
      <c r="E8" s="199"/>
      <c r="F8" s="227"/>
      <c r="G8" s="228"/>
      <c r="H8" s="202"/>
      <c r="I8" s="199"/>
      <c r="J8" s="199"/>
      <c r="K8" s="202"/>
      <c r="L8" s="326"/>
      <c r="M8" s="202"/>
      <c r="N8" s="228"/>
      <c r="O8" s="199"/>
      <c r="P8" s="202"/>
    </row>
    <row r="9" ht="15.75" customHeight="1">
      <c r="A9">
        <v>14.0</v>
      </c>
      <c r="B9" t="s">
        <v>54</v>
      </c>
      <c r="C9" t="s">
        <v>1466</v>
      </c>
      <c r="D9" s="252" t="s">
        <v>1467</v>
      </c>
      <c r="E9" t="s">
        <v>1468</v>
      </c>
      <c r="F9" s="327">
        <v>6990.0</v>
      </c>
      <c r="G9" s="328">
        <v>0.0</v>
      </c>
      <c r="H9" s="284">
        <f t="shared" ref="H9:H12" si="1">round(F9*3%,0)</f>
        <v>210</v>
      </c>
      <c r="I9" s="329">
        <v>500.0</v>
      </c>
      <c r="J9" s="320" t="s">
        <v>38</v>
      </c>
      <c r="K9" s="330"/>
      <c r="L9" s="331">
        <f>round((F9-H9-I9)*20%,0)</f>
        <v>1256</v>
      </c>
      <c r="M9" s="332" t="s">
        <v>1463</v>
      </c>
      <c r="N9" s="292">
        <f>round(F9-H9-I9-L9,0)</f>
        <v>5024</v>
      </c>
      <c r="O9" s="252">
        <v>24.0</v>
      </c>
      <c r="P9" s="295">
        <v>1000.0</v>
      </c>
    </row>
    <row r="10" ht="15.75" customHeight="1">
      <c r="A10">
        <v>15.0</v>
      </c>
      <c r="B10" t="s">
        <v>54</v>
      </c>
      <c r="C10" t="s">
        <v>1469</v>
      </c>
      <c r="D10" s="252" t="s">
        <v>1470</v>
      </c>
      <c r="E10" t="s">
        <v>1471</v>
      </c>
      <c r="F10" s="327">
        <v>0.0</v>
      </c>
      <c r="G10" s="328">
        <v>0.0</v>
      </c>
      <c r="H10" s="284">
        <f t="shared" si="1"/>
        <v>0</v>
      </c>
      <c r="I10" s="329" t="s">
        <v>1472</v>
      </c>
      <c r="J10" s="320" t="s">
        <v>38</v>
      </c>
      <c r="K10" s="330"/>
      <c r="L10" s="333" t="s">
        <v>1463</v>
      </c>
      <c r="M10" s="332" t="s">
        <v>1463</v>
      </c>
      <c r="N10" s="292"/>
      <c r="O10" s="252">
        <f>5*(N10/5-P10)</f>
        <v>0</v>
      </c>
      <c r="P10" s="295">
        <f>round(N10/5,-1)</f>
        <v>0</v>
      </c>
    </row>
    <row r="11" ht="15.75" customHeight="1">
      <c r="A11">
        <v>20.0</v>
      </c>
      <c r="B11" t="s">
        <v>34</v>
      </c>
      <c r="C11" t="s">
        <v>1321</v>
      </c>
      <c r="D11" s="252" t="s">
        <v>1473</v>
      </c>
      <c r="E11" t="s">
        <v>1474</v>
      </c>
      <c r="F11" s="327">
        <v>11160.0</v>
      </c>
      <c r="G11" s="328">
        <v>0.0</v>
      </c>
      <c r="H11" s="284">
        <f t="shared" si="1"/>
        <v>335</v>
      </c>
      <c r="I11" s="329">
        <v>2800.0</v>
      </c>
      <c r="J11" s="320" t="s">
        <v>1475</v>
      </c>
      <c r="K11" s="330"/>
      <c r="L11" s="331">
        <f>round((F11-H11-I11)*20%,0)</f>
        <v>1605</v>
      </c>
      <c r="M11" s="332" t="s">
        <v>1463</v>
      </c>
      <c r="N11" s="292">
        <f t="shared" ref="N11:N12" si="2">round(sum(F11-H11-I11-L11-G11),0)</f>
        <v>6420</v>
      </c>
      <c r="O11" s="252">
        <v>-16.0</v>
      </c>
      <c r="P11" s="295">
        <v>1300.0</v>
      </c>
    </row>
    <row r="12" ht="15.75" customHeight="1">
      <c r="A12">
        <v>28.0</v>
      </c>
      <c r="B12" t="s">
        <v>34</v>
      </c>
      <c r="C12" t="s">
        <v>1078</v>
      </c>
      <c r="D12" s="252" t="s">
        <v>1476</v>
      </c>
      <c r="E12" t="s">
        <v>35</v>
      </c>
      <c r="F12" s="327">
        <v>12712.0</v>
      </c>
      <c r="G12" s="328">
        <v>1362.0</v>
      </c>
      <c r="H12" s="284">
        <f t="shared" si="1"/>
        <v>381</v>
      </c>
      <c r="I12" s="329">
        <v>910.0</v>
      </c>
      <c r="J12" s="320" t="s">
        <v>38</v>
      </c>
      <c r="K12" s="330"/>
      <c r="L12" s="331">
        <v>0.0</v>
      </c>
      <c r="M12" s="334" t="s">
        <v>1477</v>
      </c>
      <c r="N12" s="292">
        <f t="shared" si="2"/>
        <v>10059</v>
      </c>
      <c r="O12" s="252">
        <v>-12.0</v>
      </c>
      <c r="P12" s="295">
        <v>2000.0</v>
      </c>
    </row>
    <row r="13" ht="15.75" customHeight="1">
      <c r="A13" s="199" t="s">
        <v>33</v>
      </c>
      <c r="B13" s="199"/>
      <c r="C13" s="199"/>
      <c r="D13" s="199"/>
      <c r="E13" s="199"/>
      <c r="F13" s="227"/>
      <c r="G13" s="228"/>
      <c r="H13" s="202"/>
      <c r="I13" s="199"/>
      <c r="J13" s="199"/>
      <c r="K13" s="202"/>
      <c r="L13" s="326"/>
      <c r="M13" s="202"/>
      <c r="N13" s="228"/>
      <c r="O13" s="199"/>
      <c r="P13" s="202"/>
    </row>
    <row r="14" ht="15.75" customHeight="1">
      <c r="A14">
        <v>18.0</v>
      </c>
      <c r="B14" t="s">
        <v>34</v>
      </c>
      <c r="C14" t="s">
        <v>1124</v>
      </c>
      <c r="D14" s="252" t="s">
        <v>1478</v>
      </c>
      <c r="E14" t="s">
        <v>1479</v>
      </c>
      <c r="F14" s="282">
        <v>9087.0</v>
      </c>
      <c r="G14" s="328">
        <v>0.0</v>
      </c>
      <c r="H14" s="284">
        <f t="shared" ref="H14:H16" si="3">round(F14*3%,0)</f>
        <v>273</v>
      </c>
      <c r="I14" s="329">
        <v>930.0</v>
      </c>
      <c r="J14" s="320" t="s">
        <v>38</v>
      </c>
      <c r="K14" s="330"/>
      <c r="L14" s="331">
        <f t="shared" ref="L14:L16" si="4">round((F14-H14-I14)*20%,0)</f>
        <v>1577</v>
      </c>
      <c r="M14" s="332" t="s">
        <v>1463</v>
      </c>
      <c r="N14" s="292">
        <f t="shared" ref="N14:N16" si="5">round(sum(F14-H14-I14-L14-G14),0)</f>
        <v>6307</v>
      </c>
      <c r="O14" s="252">
        <f t="shared" ref="O14:O16" si="6">5*(N14/5-P14)</f>
        <v>6307</v>
      </c>
      <c r="P14" s="295">
        <f>round(N14/5,-10)</f>
        <v>0</v>
      </c>
    </row>
    <row r="15" ht="15.75" customHeight="1">
      <c r="A15">
        <v>19.0</v>
      </c>
      <c r="B15" t="s">
        <v>34</v>
      </c>
      <c r="C15" t="s">
        <v>1480</v>
      </c>
      <c r="D15" s="252" t="s">
        <v>1481</v>
      </c>
      <c r="E15" t="s">
        <v>1482</v>
      </c>
      <c r="F15" s="282">
        <v>8620.0</v>
      </c>
      <c r="G15" s="328">
        <v>0.0</v>
      </c>
      <c r="H15" s="284">
        <f t="shared" si="3"/>
        <v>259</v>
      </c>
      <c r="I15" s="335">
        <v>1080.0</v>
      </c>
      <c r="J15" s="336" t="s">
        <v>1483</v>
      </c>
      <c r="K15" s="330"/>
      <c r="L15" s="331">
        <f t="shared" si="4"/>
        <v>1456</v>
      </c>
      <c r="M15" s="332" t="s">
        <v>1463</v>
      </c>
      <c r="N15" s="292">
        <f t="shared" si="5"/>
        <v>5825</v>
      </c>
      <c r="O15" s="252">
        <f t="shared" si="6"/>
        <v>-175</v>
      </c>
      <c r="P15" s="295">
        <f>round(N15/5,-2)</f>
        <v>1200</v>
      </c>
    </row>
    <row r="16" ht="15.75" customHeight="1">
      <c r="A16">
        <v>20.0</v>
      </c>
      <c r="B16" t="s">
        <v>34</v>
      </c>
      <c r="C16" t="s">
        <v>1294</v>
      </c>
      <c r="D16" s="252" t="s">
        <v>1484</v>
      </c>
      <c r="E16" t="s">
        <v>35</v>
      </c>
      <c r="F16" s="282">
        <v>12090.0</v>
      </c>
      <c r="G16" s="328">
        <v>1395.0</v>
      </c>
      <c r="H16" s="284">
        <f t="shared" si="3"/>
        <v>363</v>
      </c>
      <c r="I16" s="329">
        <v>1627.0</v>
      </c>
      <c r="J16" s="320" t="s">
        <v>1485</v>
      </c>
      <c r="K16" s="330"/>
      <c r="L16" s="331">
        <f t="shared" si="4"/>
        <v>2020</v>
      </c>
      <c r="M16" s="332" t="s">
        <v>1463</v>
      </c>
      <c r="N16" s="292">
        <f t="shared" si="5"/>
        <v>6685</v>
      </c>
      <c r="O16" s="252">
        <f t="shared" si="6"/>
        <v>-15</v>
      </c>
      <c r="P16" s="295">
        <f>round(N16/5,-1)</f>
        <v>1340</v>
      </c>
    </row>
    <row r="17" ht="15.75" customHeight="1">
      <c r="A17" s="199" t="s">
        <v>39</v>
      </c>
      <c r="B17" s="199"/>
      <c r="C17" s="199"/>
      <c r="D17" s="199"/>
      <c r="E17" s="199"/>
      <c r="F17" s="227"/>
      <c r="G17" s="228"/>
      <c r="H17" s="202"/>
      <c r="I17" s="199"/>
      <c r="J17" s="199"/>
      <c r="K17" s="202"/>
      <c r="L17" s="326"/>
      <c r="M17" s="202"/>
      <c r="N17" s="228"/>
      <c r="O17" s="199"/>
      <c r="P17" s="202"/>
    </row>
    <row r="18" ht="15.75" customHeight="1">
      <c r="A18">
        <v>1.0</v>
      </c>
      <c r="B18" t="s">
        <v>34</v>
      </c>
      <c r="C18" t="s">
        <v>1486</v>
      </c>
      <c r="D18" s="252" t="s">
        <v>1487</v>
      </c>
      <c r="E18" t="s">
        <v>35</v>
      </c>
      <c r="F18" s="327">
        <v>11475.0</v>
      </c>
      <c r="G18" s="328">
        <v>1377.0</v>
      </c>
      <c r="H18" s="284">
        <f t="shared" ref="H18:H25" si="7">round(F18*3%,0)</f>
        <v>344</v>
      </c>
      <c r="I18" s="329">
        <v>1607.0</v>
      </c>
      <c r="J18" s="320" t="s">
        <v>1485</v>
      </c>
      <c r="K18" s="330"/>
      <c r="L18" s="331">
        <v>0.0</v>
      </c>
      <c r="M18" s="334" t="s">
        <v>1488</v>
      </c>
      <c r="N18" s="292">
        <f t="shared" ref="N18:N21" si="8">round(sum(F18-H18-I18-L18-G18),0)</f>
        <v>8147</v>
      </c>
      <c r="O18" s="252">
        <f t="shared" ref="O18:O25" si="9">5*(N18/5-P18)</f>
        <v>147</v>
      </c>
      <c r="P18" s="295">
        <f>round(N18/5,-2)</f>
        <v>1600</v>
      </c>
    </row>
    <row r="19" ht="15.75" customHeight="1">
      <c r="A19">
        <v>2.0</v>
      </c>
      <c r="B19" t="s">
        <v>34</v>
      </c>
      <c r="C19" t="s">
        <v>1486</v>
      </c>
      <c r="D19" s="252" t="s">
        <v>1489</v>
      </c>
      <c r="E19" t="s">
        <v>35</v>
      </c>
      <c r="F19" s="327">
        <v>12852.0</v>
      </c>
      <c r="G19" s="328">
        <v>1377.0</v>
      </c>
      <c r="H19" s="284">
        <f t="shared" si="7"/>
        <v>386</v>
      </c>
      <c r="I19" s="329">
        <v>918.0</v>
      </c>
      <c r="J19" s="320" t="s">
        <v>38</v>
      </c>
      <c r="K19" s="330"/>
      <c r="L19" s="331">
        <f t="shared" ref="L19:L24" si="10">round((F19-H19-I19)*20%,0)</f>
        <v>2310</v>
      </c>
      <c r="M19" s="332" t="s">
        <v>1463</v>
      </c>
      <c r="N19" s="305">
        <f t="shared" si="8"/>
        <v>7861</v>
      </c>
      <c r="O19" s="252">
        <f t="shared" si="9"/>
        <v>-139</v>
      </c>
      <c r="P19" s="295">
        <f>round(N19/5,-2)</f>
        <v>1600</v>
      </c>
    </row>
    <row r="20" ht="15.75" customHeight="1">
      <c r="A20">
        <v>9.0</v>
      </c>
      <c r="B20" t="s">
        <v>34</v>
      </c>
      <c r="C20" t="s">
        <v>1078</v>
      </c>
      <c r="D20" s="252" t="s">
        <v>1490</v>
      </c>
      <c r="E20" t="s">
        <v>35</v>
      </c>
      <c r="F20" s="327">
        <v>12555.0</v>
      </c>
      <c r="G20" s="328">
        <v>1395.0</v>
      </c>
      <c r="H20" s="284">
        <f t="shared" si="7"/>
        <v>377</v>
      </c>
      <c r="I20" s="329">
        <v>930.0</v>
      </c>
      <c r="J20" s="320" t="s">
        <v>38</v>
      </c>
      <c r="K20" s="330"/>
      <c r="L20" s="331">
        <f t="shared" si="10"/>
        <v>2250</v>
      </c>
      <c r="M20" s="332" t="s">
        <v>1463</v>
      </c>
      <c r="N20" s="305">
        <f t="shared" si="8"/>
        <v>7603</v>
      </c>
      <c r="O20" s="252">
        <f t="shared" si="9"/>
        <v>103</v>
      </c>
      <c r="P20" s="295">
        <f t="shared" ref="P20:P21" si="11">round(N20/5,-2)</f>
        <v>1500</v>
      </c>
    </row>
    <row r="21" ht="15.75" customHeight="1">
      <c r="A21">
        <v>16.0</v>
      </c>
      <c r="B21" t="s">
        <v>34</v>
      </c>
      <c r="C21" t="s">
        <v>1491</v>
      </c>
      <c r="D21" s="252" t="s">
        <v>1492</v>
      </c>
      <c r="E21" t="s">
        <v>35</v>
      </c>
      <c r="F21" s="327">
        <v>12555.0</v>
      </c>
      <c r="G21" s="328">
        <v>1395.0</v>
      </c>
      <c r="H21" s="284">
        <f t="shared" si="7"/>
        <v>377</v>
      </c>
      <c r="I21" s="335">
        <v>1030.0</v>
      </c>
      <c r="J21" s="336" t="s">
        <v>1493</v>
      </c>
      <c r="K21" s="330"/>
      <c r="L21" s="331">
        <f t="shared" si="10"/>
        <v>2230</v>
      </c>
      <c r="M21" s="332" t="s">
        <v>1463</v>
      </c>
      <c r="N21" s="305">
        <f t="shared" si="8"/>
        <v>7523</v>
      </c>
      <c r="O21" s="252">
        <f t="shared" si="9"/>
        <v>23</v>
      </c>
      <c r="P21" s="295">
        <f t="shared" si="11"/>
        <v>1500</v>
      </c>
    </row>
    <row r="22" ht="15.75" customHeight="1">
      <c r="A22" s="50">
        <v>22.0</v>
      </c>
      <c r="B22" s="50" t="s">
        <v>54</v>
      </c>
      <c r="C22" s="50" t="s">
        <v>1494</v>
      </c>
      <c r="D22" s="281" t="s">
        <v>1495</v>
      </c>
      <c r="E22" s="50" t="s">
        <v>1496</v>
      </c>
      <c r="F22" s="282">
        <v>3500.0</v>
      </c>
      <c r="G22" s="283">
        <v>0.0</v>
      </c>
      <c r="H22" s="284">
        <f t="shared" si="7"/>
        <v>105</v>
      </c>
      <c r="I22" s="335">
        <v>500.0</v>
      </c>
      <c r="J22" s="320" t="s">
        <v>38</v>
      </c>
      <c r="K22" s="330"/>
      <c r="L22" s="331">
        <f t="shared" si="10"/>
        <v>579</v>
      </c>
      <c r="M22" s="332" t="s">
        <v>1463</v>
      </c>
      <c r="N22" s="305">
        <f>round(sum(F22-I22-G22),0)</f>
        <v>3000</v>
      </c>
      <c r="O22" s="252">
        <f t="shared" si="9"/>
        <v>3000</v>
      </c>
      <c r="P22" s="295">
        <f>round(N22/5,-10)</f>
        <v>0</v>
      </c>
    </row>
    <row r="23" ht="15.75" customHeight="1">
      <c r="A23" s="50">
        <v>23.0</v>
      </c>
      <c r="B23" s="50" t="s">
        <v>34</v>
      </c>
      <c r="C23" s="50" t="s">
        <v>1497</v>
      </c>
      <c r="D23" s="281" t="s">
        <v>1498</v>
      </c>
      <c r="E23" s="50" t="s">
        <v>35</v>
      </c>
      <c r="F23" s="282">
        <v>12555.0</v>
      </c>
      <c r="G23" s="283">
        <v>0.0</v>
      </c>
      <c r="H23" s="284">
        <f t="shared" si="7"/>
        <v>377</v>
      </c>
      <c r="I23" s="329">
        <v>930.0</v>
      </c>
      <c r="J23" s="320" t="s">
        <v>38</v>
      </c>
      <c r="K23" s="330"/>
      <c r="L23" s="331">
        <f t="shared" si="10"/>
        <v>2250</v>
      </c>
      <c r="M23" s="332" t="s">
        <v>1463</v>
      </c>
      <c r="N23" s="305">
        <f t="shared" ref="N23:N25" si="12">round(sum(F23-H23-I23-L23-G23),0)</f>
        <v>8998</v>
      </c>
      <c r="O23" s="252">
        <f t="shared" si="9"/>
        <v>-2</v>
      </c>
      <c r="P23" s="295">
        <f>round(N23/5,-2)</f>
        <v>1800</v>
      </c>
    </row>
    <row r="24" ht="15.75" customHeight="1">
      <c r="A24" s="50">
        <v>28.0</v>
      </c>
      <c r="B24" s="50" t="s">
        <v>34</v>
      </c>
      <c r="C24" s="50" t="s">
        <v>1124</v>
      </c>
      <c r="D24" s="281" t="s">
        <v>1499</v>
      </c>
      <c r="E24" s="50" t="s">
        <v>1500</v>
      </c>
      <c r="F24" s="282">
        <v>6742.0</v>
      </c>
      <c r="G24" s="283">
        <v>0.0</v>
      </c>
      <c r="H24" s="284">
        <f t="shared" si="7"/>
        <v>202</v>
      </c>
      <c r="I24" s="329">
        <v>930.0</v>
      </c>
      <c r="J24" s="320" t="s">
        <v>38</v>
      </c>
      <c r="K24" s="330"/>
      <c r="L24" s="331">
        <f t="shared" si="10"/>
        <v>1122</v>
      </c>
      <c r="M24" s="332" t="s">
        <v>1463</v>
      </c>
      <c r="N24" s="305">
        <f t="shared" si="12"/>
        <v>4488</v>
      </c>
      <c r="O24" s="252">
        <f t="shared" si="9"/>
        <v>4488</v>
      </c>
      <c r="P24" s="295">
        <f>round(N24/5,-10)</f>
        <v>0</v>
      </c>
    </row>
    <row r="25" ht="15.75" customHeight="1">
      <c r="A25">
        <v>30.0</v>
      </c>
      <c r="B25" t="s">
        <v>34</v>
      </c>
      <c r="C25" t="s">
        <v>1501</v>
      </c>
      <c r="D25" s="252" t="s">
        <v>1502</v>
      </c>
      <c r="E25" t="s">
        <v>35</v>
      </c>
      <c r="F25" s="327">
        <v>12501.0</v>
      </c>
      <c r="G25" s="328">
        <v>1389.0</v>
      </c>
      <c r="H25" s="284">
        <f t="shared" si="7"/>
        <v>375</v>
      </c>
      <c r="I25" s="335">
        <v>1620.0</v>
      </c>
      <c r="J25" s="336" t="s">
        <v>1485</v>
      </c>
      <c r="K25" s="330"/>
      <c r="L25" s="337">
        <v>2240.0</v>
      </c>
      <c r="M25" s="332" t="s">
        <v>1463</v>
      </c>
      <c r="N25" s="305">
        <f t="shared" si="12"/>
        <v>6877</v>
      </c>
      <c r="O25" s="252">
        <f t="shared" si="9"/>
        <v>-623</v>
      </c>
      <c r="P25" s="293">
        <v>1500.0</v>
      </c>
    </row>
    <row r="26" ht="15.75" customHeight="1">
      <c r="A26" s="199" t="s">
        <v>42</v>
      </c>
      <c r="B26" s="199"/>
      <c r="C26" s="199"/>
      <c r="D26" s="199"/>
      <c r="E26" s="199"/>
      <c r="F26" s="227"/>
      <c r="G26" s="228"/>
      <c r="H26" s="202"/>
      <c r="I26" s="199"/>
      <c r="J26" s="199"/>
      <c r="K26" s="202"/>
      <c r="L26" s="326"/>
      <c r="M26" s="202"/>
      <c r="N26" s="228"/>
      <c r="O26" s="199"/>
      <c r="P26" s="202"/>
      <c r="Q26" s="277"/>
      <c r="R26" s="277"/>
      <c r="S26" s="277"/>
      <c r="T26" s="277"/>
      <c r="U26" s="277"/>
      <c r="V26" s="277"/>
      <c r="W26" s="277"/>
      <c r="X26" s="277"/>
      <c r="Y26" s="277"/>
      <c r="Z26" s="277"/>
    </row>
    <row r="27" ht="15.75" customHeight="1">
      <c r="A27">
        <v>7.0</v>
      </c>
      <c r="B27" t="s">
        <v>34</v>
      </c>
      <c r="C27" t="s">
        <v>1503</v>
      </c>
      <c r="D27" s="281" t="s">
        <v>1504</v>
      </c>
      <c r="E27" t="s">
        <v>35</v>
      </c>
      <c r="F27" s="327">
        <v>15048.0</v>
      </c>
      <c r="G27" s="328">
        <v>1368.0</v>
      </c>
      <c r="H27" s="284">
        <f t="shared" ref="H27:H30" si="13">round(F27*3%,0)</f>
        <v>451</v>
      </c>
      <c r="I27" s="329">
        <v>3000.0</v>
      </c>
      <c r="J27" s="320" t="s">
        <v>1505</v>
      </c>
      <c r="K27" s="330"/>
      <c r="L27" s="331">
        <v>0.0</v>
      </c>
      <c r="M27" s="334" t="s">
        <v>1506</v>
      </c>
      <c r="N27" s="305">
        <f t="shared" ref="N27:N31" si="14">round(sum(F27-H27-I27-L27-G27),0)</f>
        <v>10229</v>
      </c>
      <c r="O27" s="252">
        <f t="shared" ref="O27:O31" si="15">5*(N27/5-P27)</f>
        <v>-21</v>
      </c>
      <c r="P27" s="295">
        <f>round(N27/5,-1)</f>
        <v>2050</v>
      </c>
    </row>
    <row r="28" ht="15.75" customHeight="1">
      <c r="A28">
        <v>8.0</v>
      </c>
      <c r="B28" t="s">
        <v>34</v>
      </c>
      <c r="C28" t="s">
        <v>1078</v>
      </c>
      <c r="D28" s="252" t="s">
        <v>1507</v>
      </c>
      <c r="E28" t="s">
        <v>35</v>
      </c>
      <c r="F28" s="327">
        <v>11392.0</v>
      </c>
      <c r="G28" s="328">
        <v>1395.0</v>
      </c>
      <c r="H28" s="284">
        <f t="shared" si="13"/>
        <v>342</v>
      </c>
      <c r="I28" s="335">
        <v>1380.0</v>
      </c>
      <c r="J28" s="336" t="s">
        <v>1508</v>
      </c>
      <c r="K28" s="330"/>
      <c r="L28" s="331">
        <f>round((F28-H28-I28)*20%,0)</f>
        <v>1934</v>
      </c>
      <c r="M28" s="332" t="s">
        <v>1463</v>
      </c>
      <c r="N28" s="305">
        <f t="shared" si="14"/>
        <v>6341</v>
      </c>
      <c r="O28" s="252">
        <f t="shared" si="15"/>
        <v>6341</v>
      </c>
      <c r="P28" s="295">
        <f>round(N28/5,-10)</f>
        <v>0</v>
      </c>
    </row>
    <row r="29" ht="15.75" customHeight="1">
      <c r="A29">
        <v>14.0</v>
      </c>
      <c r="B29" t="s">
        <v>34</v>
      </c>
      <c r="C29" s="50" t="s">
        <v>1509</v>
      </c>
      <c r="D29" s="252" t="s">
        <v>1510</v>
      </c>
      <c r="E29" t="s">
        <v>35</v>
      </c>
      <c r="F29" s="327">
        <v>12768.0</v>
      </c>
      <c r="G29" s="328">
        <v>1370.0</v>
      </c>
      <c r="H29" s="284">
        <f t="shared" si="13"/>
        <v>383</v>
      </c>
      <c r="I29" s="335">
        <v>910.0</v>
      </c>
      <c r="J29" s="320" t="s">
        <v>38</v>
      </c>
      <c r="K29" s="330"/>
      <c r="L29" s="331">
        <v>0.0</v>
      </c>
      <c r="M29" s="334" t="s">
        <v>1477</v>
      </c>
      <c r="N29" s="305">
        <f t="shared" si="14"/>
        <v>10105</v>
      </c>
      <c r="O29" s="252">
        <f t="shared" si="15"/>
        <v>105</v>
      </c>
      <c r="P29" s="295">
        <f>round(N29/5,-2)</f>
        <v>2000</v>
      </c>
    </row>
    <row r="30" ht="15.75" customHeight="1">
      <c r="A30">
        <v>21.0</v>
      </c>
      <c r="B30" t="s">
        <v>34</v>
      </c>
      <c r="C30" t="s">
        <v>594</v>
      </c>
      <c r="D30" s="252" t="s">
        <v>1511</v>
      </c>
      <c r="E30" t="s">
        <v>35</v>
      </c>
      <c r="F30" s="327">
        <v>12796.0</v>
      </c>
      <c r="G30" s="328">
        <v>1372.0</v>
      </c>
      <c r="H30" s="284">
        <f t="shared" si="13"/>
        <v>384</v>
      </c>
      <c r="I30" s="335">
        <v>915.0</v>
      </c>
      <c r="J30" s="320" t="s">
        <v>38</v>
      </c>
      <c r="K30" s="330"/>
      <c r="L30" s="331">
        <v>0.0</v>
      </c>
      <c r="M30" s="334" t="s">
        <v>1477</v>
      </c>
      <c r="N30" s="305">
        <f t="shared" si="14"/>
        <v>10125</v>
      </c>
      <c r="O30" s="252">
        <f t="shared" si="15"/>
        <v>125</v>
      </c>
      <c r="P30" s="295">
        <f>round(N30/5,-2)</f>
        <v>2000</v>
      </c>
    </row>
    <row r="31" ht="15.75" customHeight="1">
      <c r="A31">
        <v>28.0</v>
      </c>
      <c r="B31" t="s">
        <v>34</v>
      </c>
      <c r="C31" t="s">
        <v>1512</v>
      </c>
      <c r="D31" s="252" t="s">
        <v>1513</v>
      </c>
      <c r="E31" t="s">
        <v>35</v>
      </c>
      <c r="F31" s="327">
        <v>13680.0</v>
      </c>
      <c r="G31" s="328">
        <v>1370.0</v>
      </c>
      <c r="H31" s="284">
        <f>round(G31*3%,0)</f>
        <v>41</v>
      </c>
      <c r="I31" s="335">
        <v>1700.0</v>
      </c>
      <c r="J31" s="336" t="s">
        <v>1514</v>
      </c>
      <c r="K31" s="330"/>
      <c r="L31" s="331">
        <v>0.0</v>
      </c>
      <c r="M31" s="334" t="s">
        <v>1477</v>
      </c>
      <c r="N31" s="305">
        <f t="shared" si="14"/>
        <v>10569</v>
      </c>
      <c r="O31" s="252">
        <f t="shared" si="15"/>
        <v>269</v>
      </c>
      <c r="P31" s="293">
        <v>2060.0</v>
      </c>
    </row>
    <row r="32" ht="15.75" customHeight="1">
      <c r="A32" s="199" t="s">
        <v>44</v>
      </c>
      <c r="B32" s="199"/>
      <c r="C32" s="199"/>
      <c r="D32" s="199"/>
      <c r="E32" s="199"/>
      <c r="F32" s="227"/>
      <c r="G32" s="228"/>
      <c r="H32" s="202"/>
      <c r="I32" s="199"/>
      <c r="J32" s="199"/>
      <c r="K32" s="202"/>
      <c r="L32" s="326"/>
      <c r="M32" s="202"/>
      <c r="N32" s="228"/>
      <c r="O32" s="199"/>
      <c r="P32" s="202"/>
    </row>
    <row r="33" ht="15.75" customHeight="1">
      <c r="A33">
        <v>4.0</v>
      </c>
      <c r="B33" t="s">
        <v>34</v>
      </c>
      <c r="C33" t="s">
        <v>1318</v>
      </c>
      <c r="D33" s="252" t="s">
        <v>1515</v>
      </c>
      <c r="E33" t="s">
        <v>35</v>
      </c>
      <c r="F33" s="327">
        <v>12992.0</v>
      </c>
      <c r="G33" s="328">
        <v>1392.0</v>
      </c>
      <c r="H33" s="284">
        <f>round(G33*3%,0)</f>
        <v>42</v>
      </c>
      <c r="I33" s="329">
        <v>930.0</v>
      </c>
      <c r="J33" s="320" t="s">
        <v>38</v>
      </c>
      <c r="K33" s="330"/>
      <c r="L33" s="337">
        <v>2334.0</v>
      </c>
      <c r="M33" s="332" t="s">
        <v>1463</v>
      </c>
      <c r="N33" s="305">
        <f t="shared" ref="N33:N37" si="16">round(sum(F33-H33-I33-L33-G33),0)</f>
        <v>8294</v>
      </c>
      <c r="O33" s="252">
        <f>5*(N33/5-P33)</f>
        <v>294</v>
      </c>
      <c r="P33" s="293">
        <v>1600.0</v>
      </c>
    </row>
    <row r="34" ht="15.75" customHeight="1">
      <c r="A34">
        <v>17.0</v>
      </c>
      <c r="B34" t="s">
        <v>34</v>
      </c>
      <c r="C34" s="50" t="s">
        <v>1516</v>
      </c>
      <c r="D34" s="281" t="s">
        <v>1517</v>
      </c>
      <c r="E34" t="s">
        <v>1518</v>
      </c>
      <c r="F34" s="282">
        <v>6757.0</v>
      </c>
      <c r="G34" s="328">
        <v>0.0</v>
      </c>
      <c r="H34" s="304">
        <v>0.0</v>
      </c>
      <c r="I34" s="335">
        <v>1365.0</v>
      </c>
      <c r="J34" s="336" t="s">
        <v>1519</v>
      </c>
      <c r="K34" s="330"/>
      <c r="L34" s="331">
        <f t="shared" ref="L34:L35" si="17">round((F34-H34-I34)*20%,0)</f>
        <v>1078</v>
      </c>
      <c r="M34" s="332" t="s">
        <v>1463</v>
      </c>
      <c r="N34" s="305">
        <f t="shared" si="16"/>
        <v>4314</v>
      </c>
      <c r="O34" s="281">
        <v>0.0</v>
      </c>
      <c r="P34" s="293">
        <v>900.0</v>
      </c>
    </row>
    <row r="35" ht="15.75" customHeight="1">
      <c r="A35" s="50">
        <v>18.0</v>
      </c>
      <c r="B35" s="50" t="s">
        <v>54</v>
      </c>
      <c r="C35" s="50" t="s">
        <v>1520</v>
      </c>
      <c r="D35" s="281" t="s">
        <v>1521</v>
      </c>
      <c r="E35" s="50" t="s">
        <v>1341</v>
      </c>
      <c r="F35" s="282">
        <v>3000.0</v>
      </c>
      <c r="G35" s="283">
        <v>0.0</v>
      </c>
      <c r="H35" s="284">
        <f>round(F35*3%,0)</f>
        <v>90</v>
      </c>
      <c r="I35" s="335">
        <v>650.0</v>
      </c>
      <c r="J35" s="336" t="s">
        <v>1522</v>
      </c>
      <c r="K35" s="330"/>
      <c r="L35" s="331">
        <f t="shared" si="17"/>
        <v>452</v>
      </c>
      <c r="M35" s="332" t="s">
        <v>1463</v>
      </c>
      <c r="N35" s="305">
        <f t="shared" si="16"/>
        <v>1808</v>
      </c>
      <c r="O35" s="252">
        <f t="shared" ref="O35:O37" si="18">5*(N35/5-P35)</f>
        <v>-192</v>
      </c>
      <c r="P35" s="295">
        <f>round(N35/5,-2)</f>
        <v>400</v>
      </c>
    </row>
    <row r="36" ht="15.75" customHeight="1">
      <c r="A36">
        <v>19.0</v>
      </c>
      <c r="B36" t="s">
        <v>34</v>
      </c>
      <c r="C36" t="s">
        <v>1124</v>
      </c>
      <c r="D36" s="252" t="s">
        <v>1523</v>
      </c>
      <c r="E36" t="s">
        <v>35</v>
      </c>
      <c r="F36" s="327">
        <v>11433.0</v>
      </c>
      <c r="G36" s="328">
        <v>1400.0</v>
      </c>
      <c r="H36" s="284">
        <f>round(G36*3%,0)</f>
        <v>42</v>
      </c>
      <c r="I36" s="329">
        <v>930.0</v>
      </c>
      <c r="J36" s="320" t="s">
        <v>38</v>
      </c>
      <c r="K36" s="330"/>
      <c r="L36" s="337">
        <v>2032.0</v>
      </c>
      <c r="M36" s="332" t="s">
        <v>1463</v>
      </c>
      <c r="N36" s="305">
        <f t="shared" si="16"/>
        <v>7029</v>
      </c>
      <c r="O36" s="252">
        <f t="shared" si="18"/>
        <v>779</v>
      </c>
      <c r="P36" s="293">
        <v>1250.0</v>
      </c>
    </row>
    <row r="37" ht="15.75" customHeight="1">
      <c r="A37" s="50">
        <v>31.0</v>
      </c>
      <c r="B37" s="50" t="s">
        <v>54</v>
      </c>
      <c r="C37" s="50" t="s">
        <v>1347</v>
      </c>
      <c r="D37" s="281" t="s">
        <v>1524</v>
      </c>
      <c r="E37" s="50" t="s">
        <v>569</v>
      </c>
      <c r="F37" s="282">
        <v>1500.0</v>
      </c>
      <c r="G37" s="283">
        <v>0.0</v>
      </c>
      <c r="H37" s="304">
        <v>0.0</v>
      </c>
      <c r="I37" s="335">
        <v>1350.0</v>
      </c>
      <c r="J37" s="336" t="s">
        <v>1525</v>
      </c>
      <c r="K37" s="330"/>
      <c r="L37" s="331">
        <f>round((F37-H37-I37)*20%,0)</f>
        <v>30</v>
      </c>
      <c r="M37" s="332" t="s">
        <v>1463</v>
      </c>
      <c r="N37" s="305">
        <f t="shared" si="16"/>
        <v>120</v>
      </c>
      <c r="O37" s="252">
        <f t="shared" si="18"/>
        <v>120</v>
      </c>
      <c r="P37" s="293">
        <v>0.0</v>
      </c>
    </row>
    <row r="38" ht="15.75" customHeight="1">
      <c r="A38" s="199" t="s">
        <v>47</v>
      </c>
      <c r="B38" s="199"/>
      <c r="C38" s="199"/>
      <c r="D38" s="199"/>
      <c r="E38" s="199"/>
      <c r="F38" s="227"/>
      <c r="G38" s="228"/>
      <c r="H38" s="202"/>
      <c r="I38" s="199"/>
      <c r="J38" s="199"/>
      <c r="K38" s="202"/>
      <c r="L38" s="326"/>
      <c r="M38" s="202"/>
      <c r="N38" s="228"/>
      <c r="O38" s="199"/>
      <c r="P38" s="202"/>
    </row>
    <row r="39" ht="15.75" customHeight="1">
      <c r="A39">
        <v>1.0</v>
      </c>
      <c r="B39" t="s">
        <v>34</v>
      </c>
      <c r="C39" t="s">
        <v>1486</v>
      </c>
      <c r="D39" s="252" t="s">
        <v>1526</v>
      </c>
      <c r="E39" t="s">
        <v>35</v>
      </c>
      <c r="F39" s="327">
        <v>13680.0</v>
      </c>
      <c r="G39" s="328">
        <v>1370.0</v>
      </c>
      <c r="H39" s="284">
        <f>round(G39*3%,0)</f>
        <v>41</v>
      </c>
      <c r="I39" s="329">
        <v>1600.0</v>
      </c>
      <c r="J39" s="320" t="s">
        <v>1485</v>
      </c>
      <c r="K39" s="330"/>
      <c r="L39" s="331">
        <v>0.0</v>
      </c>
      <c r="M39" s="334" t="s">
        <v>1506</v>
      </c>
      <c r="N39" s="305">
        <f t="shared" ref="N39:N44" si="19">round(sum(F39-H39-I39-L39-G39),0)</f>
        <v>10669</v>
      </c>
      <c r="O39" s="252">
        <f t="shared" ref="O39:O44" si="20">5*(N39/5-P39)</f>
        <v>369</v>
      </c>
      <c r="P39" s="293">
        <v>2060.0</v>
      </c>
    </row>
    <row r="40" ht="15.75" customHeight="1">
      <c r="A40" s="50">
        <v>2.0</v>
      </c>
      <c r="B40" t="s">
        <v>34</v>
      </c>
      <c r="C40" t="s">
        <v>1527</v>
      </c>
      <c r="D40" s="252" t="s">
        <v>1528</v>
      </c>
      <c r="E40" t="s">
        <v>35</v>
      </c>
      <c r="F40" s="327">
        <v>11392.0</v>
      </c>
      <c r="G40" s="328">
        <v>1395.0</v>
      </c>
      <c r="H40" s="284">
        <f>round(F40*3%,0)</f>
        <v>342</v>
      </c>
      <c r="I40" s="329">
        <v>930.0</v>
      </c>
      <c r="J40" s="320" t="s">
        <v>38</v>
      </c>
      <c r="K40" s="330"/>
      <c r="L40" s="331">
        <f>round((F40-H40-I40)*20%,0)</f>
        <v>2024</v>
      </c>
      <c r="M40" s="332" t="s">
        <v>1463</v>
      </c>
      <c r="N40" s="305">
        <f t="shared" si="19"/>
        <v>6701</v>
      </c>
      <c r="O40" s="252">
        <f t="shared" si="20"/>
        <v>1</v>
      </c>
      <c r="P40" s="295">
        <f>round(N40/5,-1.2)</f>
        <v>1340</v>
      </c>
    </row>
    <row r="41" ht="15.75" customHeight="1">
      <c r="A41">
        <v>8.0</v>
      </c>
      <c r="B41" t="s">
        <v>34</v>
      </c>
      <c r="C41" t="s">
        <v>1486</v>
      </c>
      <c r="D41" s="252" t="s">
        <v>1529</v>
      </c>
      <c r="E41" t="s">
        <v>35</v>
      </c>
      <c r="F41" s="327">
        <v>12555.0</v>
      </c>
      <c r="G41" s="328">
        <v>1395.0</v>
      </c>
      <c r="H41" s="284">
        <f t="shared" ref="H41:H44" si="21">round(G41*3%,0)</f>
        <v>42</v>
      </c>
      <c r="I41" s="329">
        <v>930.0</v>
      </c>
      <c r="J41" s="320" t="s">
        <v>38</v>
      </c>
      <c r="K41" s="330"/>
      <c r="L41" s="337">
        <v>2250.0</v>
      </c>
      <c r="M41" s="332" t="s">
        <v>1463</v>
      </c>
      <c r="N41" s="305">
        <f t="shared" si="19"/>
        <v>7938</v>
      </c>
      <c r="O41" s="252">
        <f t="shared" si="20"/>
        <v>438</v>
      </c>
      <c r="P41" s="293">
        <v>1500.0</v>
      </c>
    </row>
    <row r="42" ht="15.75" customHeight="1">
      <c r="A42">
        <v>15.0</v>
      </c>
      <c r="B42" t="s">
        <v>34</v>
      </c>
      <c r="C42" t="s">
        <v>1486</v>
      </c>
      <c r="D42" s="252" t="s">
        <v>1530</v>
      </c>
      <c r="E42" t="s">
        <v>35</v>
      </c>
      <c r="F42" s="327">
        <v>12555.0</v>
      </c>
      <c r="G42" s="328">
        <v>1395.0</v>
      </c>
      <c r="H42" s="284">
        <f t="shared" si="21"/>
        <v>42</v>
      </c>
      <c r="I42" s="329">
        <v>930.0</v>
      </c>
      <c r="J42" s="320" t="s">
        <v>38</v>
      </c>
      <c r="K42" s="330"/>
      <c r="L42" s="337">
        <v>2250.0</v>
      </c>
      <c r="M42" s="332" t="s">
        <v>1463</v>
      </c>
      <c r="N42" s="305">
        <f t="shared" si="19"/>
        <v>7938</v>
      </c>
      <c r="O42" s="252">
        <f t="shared" si="20"/>
        <v>438</v>
      </c>
      <c r="P42" s="293">
        <v>1500.0</v>
      </c>
    </row>
    <row r="43" ht="15.75" customHeight="1">
      <c r="A43">
        <v>21.0</v>
      </c>
      <c r="B43" t="s">
        <v>34</v>
      </c>
      <c r="C43" t="s">
        <v>1078</v>
      </c>
      <c r="D43" s="252" t="s">
        <v>1531</v>
      </c>
      <c r="E43" t="s">
        <v>70</v>
      </c>
      <c r="F43" s="327">
        <v>11392.0</v>
      </c>
      <c r="G43" s="328">
        <v>1395.0</v>
      </c>
      <c r="H43" s="284">
        <f t="shared" si="21"/>
        <v>42</v>
      </c>
      <c r="I43" s="329">
        <v>930.0</v>
      </c>
      <c r="J43" s="320" t="s">
        <v>38</v>
      </c>
      <c r="K43" s="330"/>
      <c r="L43" s="337">
        <v>2024.0</v>
      </c>
      <c r="M43" s="332" t="s">
        <v>1463</v>
      </c>
      <c r="N43" s="305">
        <f t="shared" si="19"/>
        <v>7001</v>
      </c>
      <c r="O43" s="252">
        <f t="shared" si="20"/>
        <v>301</v>
      </c>
      <c r="P43" s="293">
        <v>1340.0</v>
      </c>
    </row>
    <row r="44" ht="15.75" customHeight="1">
      <c r="A44">
        <v>22.0</v>
      </c>
      <c r="B44" t="s">
        <v>34</v>
      </c>
      <c r="C44" s="50" t="s">
        <v>1532</v>
      </c>
      <c r="D44" s="252" t="s">
        <v>1533</v>
      </c>
      <c r="E44" t="s">
        <v>35</v>
      </c>
      <c r="F44" s="327">
        <v>12501.0</v>
      </c>
      <c r="G44" s="328">
        <v>1390.0</v>
      </c>
      <c r="H44" s="284">
        <f t="shared" si="21"/>
        <v>42</v>
      </c>
      <c r="I44" s="335">
        <v>1130.0</v>
      </c>
      <c r="J44" s="336" t="s">
        <v>1534</v>
      </c>
      <c r="K44" s="330"/>
      <c r="L44" s="337">
        <v>2239.0</v>
      </c>
      <c r="M44" s="332" t="s">
        <v>1463</v>
      </c>
      <c r="N44" s="305">
        <f t="shared" si="19"/>
        <v>7700</v>
      </c>
      <c r="O44" s="252">
        <f t="shared" si="20"/>
        <v>200</v>
      </c>
      <c r="P44" s="293">
        <v>1500.0</v>
      </c>
    </row>
    <row r="45" ht="15.75" customHeight="1">
      <c r="A45" s="199" t="s">
        <v>50</v>
      </c>
      <c r="B45" s="199"/>
      <c r="C45" s="199"/>
      <c r="D45" s="199"/>
      <c r="E45" s="199"/>
      <c r="F45" s="227"/>
      <c r="G45" s="228"/>
      <c r="H45" s="202"/>
      <c r="I45" s="199"/>
      <c r="J45" s="199"/>
      <c r="K45" s="199"/>
      <c r="L45" s="326"/>
      <c r="M45" s="202"/>
      <c r="N45" s="228"/>
      <c r="O45" s="199"/>
      <c r="P45" s="202"/>
    </row>
    <row r="46" ht="15.75" customHeight="1">
      <c r="A46" s="50">
        <v>12.0</v>
      </c>
      <c r="B46" s="50" t="s">
        <v>54</v>
      </c>
      <c r="C46" s="50" t="s">
        <v>1078</v>
      </c>
      <c r="D46" s="281" t="s">
        <v>1535</v>
      </c>
      <c r="E46" s="50" t="s">
        <v>1536</v>
      </c>
      <c r="F46" s="282">
        <v>0.0</v>
      </c>
      <c r="G46" s="283">
        <v>0.0</v>
      </c>
      <c r="H46" s="284">
        <f t="shared" ref="H46:H47" si="22">round(F46*3%,0)</f>
        <v>0</v>
      </c>
      <c r="I46" s="335">
        <v>0.0</v>
      </c>
      <c r="J46" s="320" t="s">
        <v>38</v>
      </c>
      <c r="K46" s="330"/>
      <c r="L46" s="331">
        <f t="shared" ref="L46:L47" si="23">round((F46-H46-I46)*20%,0)</f>
        <v>0</v>
      </c>
      <c r="M46" s="332" t="s">
        <v>1463</v>
      </c>
      <c r="N46" s="305">
        <f t="shared" ref="N46:N50" si="24">round(sum(F46-H46-I46-L46-G46),0)</f>
        <v>0</v>
      </c>
      <c r="O46" s="252">
        <f t="shared" ref="O46:O50" si="25">5*(N46/5-P46)</f>
        <v>0</v>
      </c>
      <c r="P46" s="295">
        <f>round(N46/5,-2)</f>
        <v>0</v>
      </c>
    </row>
    <row r="47" ht="15.75" customHeight="1">
      <c r="A47" s="50">
        <v>13.0</v>
      </c>
      <c r="B47" s="50" t="s">
        <v>54</v>
      </c>
      <c r="C47" s="50" t="s">
        <v>1537</v>
      </c>
      <c r="D47" s="281" t="s">
        <v>1538</v>
      </c>
      <c r="E47" s="50" t="s">
        <v>1133</v>
      </c>
      <c r="F47" s="282">
        <v>4660.0</v>
      </c>
      <c r="G47" s="283">
        <v>0.0</v>
      </c>
      <c r="H47" s="284">
        <f t="shared" si="22"/>
        <v>140</v>
      </c>
      <c r="I47" s="335">
        <v>950.0</v>
      </c>
      <c r="J47" s="336" t="s">
        <v>1539</v>
      </c>
      <c r="K47" s="330"/>
      <c r="L47" s="331">
        <f t="shared" si="23"/>
        <v>714</v>
      </c>
      <c r="M47" s="332" t="s">
        <v>1463</v>
      </c>
      <c r="N47" s="305">
        <f t="shared" si="24"/>
        <v>2856</v>
      </c>
      <c r="O47" s="252">
        <f t="shared" si="25"/>
        <v>-144</v>
      </c>
      <c r="P47" s="293">
        <v>600.0</v>
      </c>
    </row>
    <row r="48" ht="15.75" customHeight="1">
      <c r="A48">
        <v>13.0</v>
      </c>
      <c r="B48" t="s">
        <v>34</v>
      </c>
      <c r="C48" t="s">
        <v>1486</v>
      </c>
      <c r="D48" s="252" t="s">
        <v>1540</v>
      </c>
      <c r="E48" t="s">
        <v>35</v>
      </c>
      <c r="F48" s="327">
        <v>13920.0</v>
      </c>
      <c r="G48" s="328">
        <v>1392.0</v>
      </c>
      <c r="H48" s="284">
        <f>round(G48*3%,0)</f>
        <v>42</v>
      </c>
      <c r="I48" s="335">
        <v>1850.0</v>
      </c>
      <c r="J48" s="336" t="s">
        <v>1541</v>
      </c>
      <c r="K48" s="330"/>
      <c r="L48" s="337">
        <v>2330.0</v>
      </c>
      <c r="M48" s="332" t="s">
        <v>1463</v>
      </c>
      <c r="N48" s="305">
        <f t="shared" si="24"/>
        <v>8306</v>
      </c>
      <c r="O48" s="252">
        <f t="shared" si="25"/>
        <v>206</v>
      </c>
      <c r="P48" s="293">
        <v>1620.0</v>
      </c>
    </row>
    <row r="49" ht="15.75" customHeight="1">
      <c r="A49" s="50">
        <v>27.0</v>
      </c>
      <c r="B49" t="s">
        <v>34</v>
      </c>
      <c r="C49" s="50" t="s">
        <v>329</v>
      </c>
      <c r="D49" s="281" t="s">
        <v>1542</v>
      </c>
      <c r="E49" t="s">
        <v>35</v>
      </c>
      <c r="F49" s="282">
        <v>13020.0</v>
      </c>
      <c r="G49" s="283">
        <v>1395.0</v>
      </c>
      <c r="H49" s="284">
        <f>round(F49*3%,0)</f>
        <v>391</v>
      </c>
      <c r="I49" s="335">
        <v>1130.0</v>
      </c>
      <c r="J49" s="336" t="s">
        <v>1543</v>
      </c>
      <c r="K49" s="330"/>
      <c r="L49" s="331">
        <f>round((F49-H49-I49)*20%,0)</f>
        <v>2300</v>
      </c>
      <c r="M49" s="332" t="s">
        <v>1463</v>
      </c>
      <c r="N49" s="305">
        <f t="shared" si="24"/>
        <v>7804</v>
      </c>
      <c r="O49" s="252">
        <f t="shared" si="25"/>
        <v>4</v>
      </c>
      <c r="P49" s="295">
        <f>round(N49/5,-1)</f>
        <v>1560</v>
      </c>
    </row>
    <row r="50" ht="15.75" customHeight="1">
      <c r="A50" s="50">
        <v>28.0</v>
      </c>
      <c r="B50" s="50" t="s">
        <v>54</v>
      </c>
      <c r="C50" s="50" t="s">
        <v>1337</v>
      </c>
      <c r="D50" s="281"/>
      <c r="E50" s="50" t="s">
        <v>1544</v>
      </c>
      <c r="F50" s="282">
        <v>4660.0</v>
      </c>
      <c r="G50" s="283">
        <v>0.0</v>
      </c>
      <c r="H50" s="304">
        <v>0.0</v>
      </c>
      <c r="I50" s="335">
        <v>550.0</v>
      </c>
      <c r="J50" s="320" t="s">
        <v>38</v>
      </c>
      <c r="K50" s="330"/>
      <c r="L50" s="337">
        <v>804.0</v>
      </c>
      <c r="M50" s="332" t="s">
        <v>1463</v>
      </c>
      <c r="N50" s="305">
        <f t="shared" si="24"/>
        <v>3306</v>
      </c>
      <c r="O50" s="252">
        <f t="shared" si="25"/>
        <v>-194</v>
      </c>
      <c r="P50" s="295">
        <f>round(N50/5,-2)</f>
        <v>700</v>
      </c>
    </row>
    <row r="51" ht="15.75" customHeight="1">
      <c r="A51" s="199" t="s">
        <v>97</v>
      </c>
      <c r="B51" s="199"/>
      <c r="C51" s="199"/>
      <c r="D51" s="199"/>
      <c r="E51" s="199"/>
      <c r="F51" s="227"/>
      <c r="G51" s="228"/>
      <c r="H51" s="202"/>
      <c r="I51" s="199"/>
      <c r="J51" s="199"/>
      <c r="K51" s="202"/>
      <c r="L51" s="199"/>
      <c r="M51" s="199"/>
      <c r="N51" s="228"/>
      <c r="O51" s="199"/>
      <c r="P51" s="202"/>
    </row>
    <row r="52" ht="15.75" customHeight="1">
      <c r="A52" s="50">
        <v>10.0</v>
      </c>
      <c r="B52" t="s">
        <v>34</v>
      </c>
      <c r="C52" s="50" t="s">
        <v>1545</v>
      </c>
      <c r="D52" s="281" t="s">
        <v>1546</v>
      </c>
      <c r="E52" s="50" t="s">
        <v>1547</v>
      </c>
      <c r="F52" s="282">
        <v>9553.0</v>
      </c>
      <c r="G52" s="283">
        <v>0.0</v>
      </c>
      <c r="H52" s="284">
        <f>round(F52*3%,0)</f>
        <v>287</v>
      </c>
      <c r="I52" s="335">
        <v>1730.0</v>
      </c>
      <c r="J52" s="336" t="s">
        <v>1548</v>
      </c>
      <c r="K52" s="330"/>
      <c r="L52" s="331">
        <f>round((F52-H52-I52)*20%,0)</f>
        <v>1507</v>
      </c>
      <c r="M52" s="332" t="s">
        <v>1463</v>
      </c>
      <c r="N52" s="305">
        <f t="shared" ref="N52:N55" si="26">round(sum(F52-H52-I52-L52-G52),0)</f>
        <v>6029</v>
      </c>
      <c r="O52" s="252">
        <f>5*(N52/5-P52)</f>
        <v>-21</v>
      </c>
      <c r="P52" s="295">
        <f>round(N52/5,-1)</f>
        <v>1210</v>
      </c>
    </row>
    <row r="53" ht="15.75" customHeight="1">
      <c r="A53">
        <v>11.0</v>
      </c>
      <c r="B53" t="s">
        <v>34</v>
      </c>
      <c r="C53" t="s">
        <v>1328</v>
      </c>
      <c r="D53" s="252" t="s">
        <v>1549</v>
      </c>
      <c r="E53" t="s">
        <v>35</v>
      </c>
      <c r="F53" s="327">
        <v>10695.0</v>
      </c>
      <c r="G53" s="328">
        <v>0.0</v>
      </c>
      <c r="H53" s="284">
        <f>round(G53*3%,0)</f>
        <v>0</v>
      </c>
      <c r="I53" s="335">
        <v>1140.0</v>
      </c>
      <c r="J53" s="336" t="s">
        <v>1550</v>
      </c>
      <c r="K53" s="330"/>
      <c r="L53" s="337">
        <v>1887.0</v>
      </c>
      <c r="M53" s="332" t="s">
        <v>1463</v>
      </c>
      <c r="N53" s="305">
        <f t="shared" si="26"/>
        <v>7668</v>
      </c>
      <c r="O53" s="252">
        <f>5*(N53/5-P53)+(1650-950)</f>
        <v>118</v>
      </c>
      <c r="P53" s="293">
        <v>1650.0</v>
      </c>
    </row>
    <row r="54" ht="15.75" customHeight="1">
      <c r="A54" s="50">
        <v>15.0</v>
      </c>
      <c r="B54" s="50" t="s">
        <v>54</v>
      </c>
      <c r="C54" s="50" t="s">
        <v>1124</v>
      </c>
      <c r="D54" s="281" t="s">
        <v>1551</v>
      </c>
      <c r="E54" s="50" t="s">
        <v>1552</v>
      </c>
      <c r="F54" s="282">
        <v>3500.0</v>
      </c>
      <c r="G54" s="283">
        <v>0.0</v>
      </c>
      <c r="H54" s="284">
        <f t="shared" ref="H54:H55" si="27">round(F54*3%,0)</f>
        <v>105</v>
      </c>
      <c r="I54" s="335">
        <v>700.0</v>
      </c>
      <c r="J54" s="336" t="s">
        <v>1553</v>
      </c>
      <c r="K54" s="330"/>
      <c r="L54" s="331">
        <f t="shared" ref="L54:L55" si="28">round((F54-H54-I54)*20%,0)</f>
        <v>539</v>
      </c>
      <c r="M54" s="332" t="s">
        <v>1463</v>
      </c>
      <c r="N54" s="305">
        <f t="shared" si="26"/>
        <v>2156</v>
      </c>
      <c r="O54" s="252">
        <f>5*(N54/5-P54)</f>
        <v>-94</v>
      </c>
      <c r="P54" s="293">
        <v>450.0</v>
      </c>
      <c r="Q54" s="50"/>
    </row>
    <row r="55" ht="15.75" customHeight="1">
      <c r="A55" s="50">
        <v>29.0</v>
      </c>
      <c r="B55" t="s">
        <v>34</v>
      </c>
      <c r="C55" s="50" t="s">
        <v>1554</v>
      </c>
      <c r="D55" s="281" t="s">
        <v>1555</v>
      </c>
      <c r="E55" s="50" t="s">
        <v>1556</v>
      </c>
      <c r="F55" s="282">
        <v>9553.0</v>
      </c>
      <c r="G55" s="283">
        <v>0.0</v>
      </c>
      <c r="H55" s="284">
        <f t="shared" si="27"/>
        <v>287</v>
      </c>
      <c r="I55" s="335">
        <v>1880.0</v>
      </c>
      <c r="J55" s="336" t="s">
        <v>1557</v>
      </c>
      <c r="K55" s="330"/>
      <c r="L55" s="331">
        <f t="shared" si="28"/>
        <v>1477</v>
      </c>
      <c r="M55" s="332" t="s">
        <v>1463</v>
      </c>
      <c r="N55" s="305">
        <f t="shared" si="26"/>
        <v>5909</v>
      </c>
      <c r="O55" s="252">
        <f>5*(N55/5-P55)</f>
        <v>-91</v>
      </c>
      <c r="P55" s="293">
        <v>1200.0</v>
      </c>
      <c r="Q55" s="50"/>
    </row>
    <row r="56" ht="15.75" customHeight="1">
      <c r="A56" s="199" t="s">
        <v>52</v>
      </c>
      <c r="B56" s="199"/>
      <c r="C56" s="199"/>
      <c r="D56" s="199"/>
      <c r="E56" s="199"/>
      <c r="F56" s="227"/>
      <c r="G56" s="228"/>
      <c r="H56" s="202"/>
      <c r="I56" s="199"/>
      <c r="J56" s="199"/>
      <c r="K56" s="202"/>
      <c r="L56" s="199"/>
      <c r="M56" s="202"/>
      <c r="N56" s="228"/>
      <c r="O56" s="199"/>
      <c r="P56" s="202"/>
    </row>
    <row r="57" ht="15.75" customHeight="1">
      <c r="A57" s="50">
        <v>6.0</v>
      </c>
      <c r="B57" s="50" t="s">
        <v>34</v>
      </c>
      <c r="C57" s="50" t="s">
        <v>1078</v>
      </c>
      <c r="D57" s="50" t="s">
        <v>1524</v>
      </c>
      <c r="E57" s="50" t="s">
        <v>613</v>
      </c>
      <c r="F57" s="338">
        <v>0.0</v>
      </c>
      <c r="G57" s="283">
        <v>0.0</v>
      </c>
      <c r="H57" s="304">
        <v>0.0</v>
      </c>
      <c r="I57" s="335">
        <v>0.0</v>
      </c>
      <c r="J57" s="320" t="s">
        <v>38</v>
      </c>
      <c r="K57" s="330"/>
      <c r="L57" s="331">
        <f t="shared" ref="L57:L62" si="29">round((F57-H57-I57)*20%,0)</f>
        <v>0</v>
      </c>
      <c r="M57" s="332" t="s">
        <v>1463</v>
      </c>
      <c r="N57" s="305">
        <f t="shared" ref="N57:N62" si="30">round(sum(F57-H57-I57-L57-G57),0)</f>
        <v>0</v>
      </c>
      <c r="O57" s="252">
        <f>5*(N57/5-P57)</f>
        <v>0</v>
      </c>
      <c r="P57" s="293">
        <v>0.0</v>
      </c>
    </row>
    <row r="58" ht="15.75" customHeight="1">
      <c r="A58" s="50">
        <v>7.0</v>
      </c>
      <c r="B58" t="s">
        <v>34</v>
      </c>
      <c r="C58" s="50" t="s">
        <v>1558</v>
      </c>
      <c r="D58" s="50" t="s">
        <v>1559</v>
      </c>
      <c r="E58" s="50" t="s">
        <v>1560</v>
      </c>
      <c r="F58" s="338">
        <v>7413.0</v>
      </c>
      <c r="G58" s="339">
        <v>0.0</v>
      </c>
      <c r="H58" s="284">
        <f t="shared" ref="H58:H62" si="31">round(F58*3%,0)</f>
        <v>222</v>
      </c>
      <c r="I58" s="335">
        <v>1880.0</v>
      </c>
      <c r="J58" s="336" t="s">
        <v>1557</v>
      </c>
      <c r="K58" s="330"/>
      <c r="L58" s="331">
        <f t="shared" si="29"/>
        <v>1062</v>
      </c>
      <c r="M58" s="332" t="s">
        <v>1463</v>
      </c>
      <c r="N58" s="305">
        <f t="shared" si="30"/>
        <v>4249</v>
      </c>
      <c r="O58" s="252">
        <f t="shared" ref="O58:O62" si="32">5*(N58/5-P58)</f>
        <v>-251</v>
      </c>
      <c r="P58" s="293">
        <v>900.0</v>
      </c>
    </row>
    <row r="59" ht="15.75" customHeight="1">
      <c r="A59" s="50">
        <v>12.0</v>
      </c>
      <c r="B59" t="s">
        <v>34</v>
      </c>
      <c r="C59" s="50" t="s">
        <v>1561</v>
      </c>
      <c r="D59" s="50" t="s">
        <v>1562</v>
      </c>
      <c r="E59" s="50" t="s">
        <v>1563</v>
      </c>
      <c r="F59" s="338">
        <v>8621.0</v>
      </c>
      <c r="G59" s="339">
        <v>0.0</v>
      </c>
      <c r="H59" s="284">
        <f t="shared" si="31"/>
        <v>259</v>
      </c>
      <c r="I59" s="335">
        <v>1180.0</v>
      </c>
      <c r="J59" s="336" t="s">
        <v>1564</v>
      </c>
      <c r="K59" s="330"/>
      <c r="L59" s="331">
        <f t="shared" si="29"/>
        <v>1436</v>
      </c>
      <c r="M59" s="332"/>
      <c r="N59" s="305">
        <f t="shared" si="30"/>
        <v>5746</v>
      </c>
      <c r="O59" s="252">
        <f t="shared" si="32"/>
        <v>-4</v>
      </c>
      <c r="P59" s="295">
        <f>round(N59/5,-1)</f>
        <v>1150</v>
      </c>
    </row>
    <row r="60" ht="15.75" customHeight="1">
      <c r="A60" s="50">
        <v>14.0</v>
      </c>
      <c r="B60" t="s">
        <v>34</v>
      </c>
      <c r="C60" s="50" t="s">
        <v>1565</v>
      </c>
      <c r="D60" s="50" t="s">
        <v>1566</v>
      </c>
      <c r="E60" s="50" t="s">
        <v>1567</v>
      </c>
      <c r="F60" s="338">
        <v>10250.0</v>
      </c>
      <c r="G60" s="339">
        <v>0.0</v>
      </c>
      <c r="H60" s="284">
        <f t="shared" si="31"/>
        <v>308</v>
      </c>
      <c r="I60" s="335">
        <v>1880.0</v>
      </c>
      <c r="J60" s="336" t="s">
        <v>1557</v>
      </c>
      <c r="K60" s="330"/>
      <c r="L60" s="331">
        <f t="shared" si="29"/>
        <v>1612</v>
      </c>
      <c r="M60" s="332" t="s">
        <v>1463</v>
      </c>
      <c r="N60" s="305">
        <f t="shared" si="30"/>
        <v>6450</v>
      </c>
      <c r="O60" s="252">
        <f t="shared" si="32"/>
        <v>-200</v>
      </c>
      <c r="P60" s="293">
        <v>1330.0</v>
      </c>
    </row>
    <row r="61" ht="15.75" customHeight="1">
      <c r="A61" s="50">
        <v>14.0</v>
      </c>
      <c r="B61" s="50" t="s">
        <v>34</v>
      </c>
      <c r="C61" s="50" t="s">
        <v>1568</v>
      </c>
      <c r="D61" s="50" t="s">
        <v>1569</v>
      </c>
      <c r="E61" s="50" t="s">
        <v>1570</v>
      </c>
      <c r="F61" s="338">
        <v>9320.0</v>
      </c>
      <c r="G61" s="339">
        <v>0.0</v>
      </c>
      <c r="H61" s="284">
        <f t="shared" si="31"/>
        <v>280</v>
      </c>
      <c r="I61" s="335">
        <v>1730.0</v>
      </c>
      <c r="J61" s="336" t="s">
        <v>1571</v>
      </c>
      <c r="K61" s="330"/>
      <c r="L61" s="331">
        <f t="shared" si="29"/>
        <v>1462</v>
      </c>
      <c r="M61" s="332" t="s">
        <v>1463</v>
      </c>
      <c r="N61" s="305">
        <f t="shared" si="30"/>
        <v>5848</v>
      </c>
      <c r="O61" s="252">
        <f t="shared" si="32"/>
        <v>-152</v>
      </c>
      <c r="P61" s="293">
        <v>1200.0</v>
      </c>
    </row>
    <row r="62" ht="15.75" customHeight="1">
      <c r="A62" s="50">
        <v>30.0</v>
      </c>
      <c r="B62" s="50" t="s">
        <v>54</v>
      </c>
      <c r="C62" s="50" t="s">
        <v>302</v>
      </c>
      <c r="D62" s="50" t="s">
        <v>1572</v>
      </c>
      <c r="E62" s="50" t="s">
        <v>103</v>
      </c>
      <c r="F62" s="338">
        <v>6990.0</v>
      </c>
      <c r="G62" s="339">
        <v>0.0</v>
      </c>
      <c r="H62" s="284">
        <f t="shared" si="31"/>
        <v>210</v>
      </c>
      <c r="I62" s="335">
        <v>930.0</v>
      </c>
      <c r="J62" s="336" t="s">
        <v>1573</v>
      </c>
      <c r="K62" s="330"/>
      <c r="L62" s="331">
        <f t="shared" si="29"/>
        <v>1170</v>
      </c>
      <c r="M62" s="332" t="s">
        <v>1463</v>
      </c>
      <c r="N62" s="305">
        <f t="shared" si="30"/>
        <v>4680</v>
      </c>
      <c r="O62" s="252">
        <f t="shared" si="32"/>
        <v>-70</v>
      </c>
      <c r="P62" s="293">
        <v>950.0</v>
      </c>
    </row>
    <row r="63" ht="15.75" customHeight="1"/>
    <row r="64" ht="15.75" customHeight="1">
      <c r="P64">
        <f>SUM(P4:P62)</f>
        <v>54820</v>
      </c>
    </row>
    <row r="65" ht="15.75" customHeight="1"/>
    <row r="66" ht="15.75" customHeight="1">
      <c r="J66" s="165" t="s">
        <v>1148</v>
      </c>
      <c r="K66" s="57"/>
      <c r="Q66" s="277"/>
      <c r="R66" s="277"/>
      <c r="S66" s="277"/>
      <c r="T66" s="277"/>
      <c r="U66" s="277"/>
      <c r="V66" s="277"/>
      <c r="W66" s="277"/>
      <c r="X66" s="277"/>
      <c r="Y66" s="277"/>
      <c r="Z66" s="277"/>
    </row>
    <row r="67" ht="15.75" customHeight="1">
      <c r="D67" s="252"/>
      <c r="F67" s="258"/>
      <c r="G67" s="258"/>
      <c r="H67" s="258"/>
      <c r="I67" s="258"/>
      <c r="J67" s="60"/>
      <c r="K67" s="142"/>
      <c r="L67" s="320"/>
      <c r="M67" s="320"/>
      <c r="N67" s="320">
        <f>SUM(P4:P62)/4.5</f>
        <v>12182.22222</v>
      </c>
    </row>
    <row r="68" ht="15.75" customHeight="1">
      <c r="D68" s="252"/>
      <c r="F68" s="258"/>
      <c r="G68" s="258"/>
      <c r="H68" s="258"/>
      <c r="I68" s="258"/>
      <c r="J68" s="248"/>
      <c r="K68" s="249" t="s">
        <v>1152</v>
      </c>
      <c r="L68" s="258"/>
      <c r="M68" s="258"/>
      <c r="N68" s="258"/>
    </row>
    <row r="69" ht="15.75" customHeight="1">
      <c r="D69" s="258"/>
      <c r="F69" s="258"/>
      <c r="G69" s="258"/>
      <c r="H69" s="258"/>
      <c r="I69" s="258"/>
      <c r="J69" s="60"/>
      <c r="K69" s="173" t="s">
        <v>1155</v>
      </c>
      <c r="L69" s="258"/>
      <c r="M69" s="258"/>
      <c r="N69" s="258"/>
      <c r="O69" s="277"/>
      <c r="P69" s="277"/>
      <c r="Q69" s="277"/>
      <c r="R69" s="277"/>
      <c r="S69" s="277"/>
      <c r="T69" s="277"/>
      <c r="U69" s="277"/>
      <c r="V69" s="277"/>
      <c r="W69" s="277"/>
      <c r="X69" s="277"/>
      <c r="Y69" s="277"/>
      <c r="Z69" s="277"/>
    </row>
    <row r="70" ht="15.75" customHeight="1">
      <c r="D70" s="252"/>
      <c r="F70" s="258"/>
      <c r="G70" s="258"/>
      <c r="H70" s="258"/>
      <c r="I70" s="258"/>
      <c r="J70" s="320"/>
      <c r="L70" s="258"/>
      <c r="M70" s="258"/>
      <c r="N70" s="258"/>
    </row>
    <row r="71" ht="15.75" customHeight="1">
      <c r="J71" s="320"/>
      <c r="L71" s="258"/>
      <c r="M71" s="258"/>
      <c r="N71" s="258"/>
    </row>
    <row r="72" ht="15.75" customHeight="1">
      <c r="J72" s="320"/>
      <c r="L72" s="258"/>
      <c r="M72" s="258"/>
      <c r="N72" s="258"/>
    </row>
    <row r="73" ht="15.75" customHeight="1">
      <c r="L73" s="320"/>
      <c r="M73" s="320"/>
      <c r="N73" s="320"/>
      <c r="O73" s="320"/>
      <c r="P73" s="320"/>
    </row>
    <row r="74" ht="15.75" customHeight="1">
      <c r="L74" s="320"/>
      <c r="M74" s="320"/>
      <c r="N74" s="320"/>
      <c r="O74" s="320"/>
      <c r="P74" s="320"/>
      <c r="Q74" s="277"/>
      <c r="R74" s="277"/>
      <c r="S74" s="277"/>
      <c r="T74" s="277"/>
      <c r="U74" s="277"/>
      <c r="V74" s="277"/>
      <c r="W74" s="277"/>
      <c r="X74" s="277"/>
      <c r="Y74" s="277"/>
      <c r="Z74" s="277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>
      <c r="O80" s="277"/>
      <c r="P80" s="277"/>
      <c r="Q80" s="277"/>
      <c r="R80" s="277"/>
      <c r="S80" s="277"/>
      <c r="T80" s="277"/>
      <c r="U80" s="277"/>
      <c r="V80" s="277"/>
      <c r="W80" s="277"/>
      <c r="X80" s="277"/>
      <c r="Y80" s="277"/>
      <c r="Z80" s="277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>
      <c r="D88" s="258"/>
      <c r="E88" s="258"/>
      <c r="F88" s="320"/>
      <c r="G88" s="320"/>
      <c r="H88" s="258"/>
      <c r="I88" s="320"/>
      <c r="J88" s="320"/>
      <c r="L88" s="320"/>
      <c r="M88" s="320"/>
      <c r="N88" s="258"/>
    </row>
    <row r="89" ht="15.75" customHeight="1">
      <c r="D89" s="252"/>
      <c r="F89" s="320"/>
      <c r="G89" s="320"/>
      <c r="H89" s="258"/>
      <c r="I89" s="320"/>
      <c r="J89" s="320"/>
      <c r="L89" s="320"/>
      <c r="M89" s="320"/>
      <c r="N89" s="258"/>
    </row>
    <row r="90" ht="15.75" customHeight="1">
      <c r="D90" s="258"/>
      <c r="F90" s="320"/>
      <c r="G90" s="320"/>
      <c r="H90" s="258"/>
      <c r="I90" s="320"/>
      <c r="J90" s="320"/>
      <c r="L90" s="320"/>
      <c r="M90" s="320"/>
      <c r="N90" s="258"/>
    </row>
    <row r="91" ht="15.75" customHeight="1">
      <c r="O91" s="277"/>
      <c r="P91" s="277"/>
      <c r="Q91" s="277"/>
      <c r="R91" s="277"/>
      <c r="S91" s="277"/>
      <c r="T91" s="277"/>
      <c r="U91" s="277"/>
      <c r="V91" s="277"/>
      <c r="W91" s="277"/>
      <c r="X91" s="277"/>
      <c r="Y91" s="277"/>
      <c r="Z91" s="277"/>
    </row>
    <row r="92" ht="15.75" customHeight="1">
      <c r="D92" s="258"/>
      <c r="F92" s="320"/>
      <c r="G92" s="320"/>
      <c r="H92" s="258"/>
      <c r="I92" s="320"/>
      <c r="J92" s="320"/>
      <c r="L92" s="320"/>
      <c r="M92" s="320"/>
      <c r="N92" s="258"/>
    </row>
    <row r="93" ht="15.75" customHeight="1">
      <c r="D93" s="258"/>
      <c r="F93" s="320"/>
      <c r="G93" s="320"/>
      <c r="H93" s="258"/>
      <c r="I93" s="320"/>
      <c r="J93" s="320"/>
      <c r="L93" s="320"/>
      <c r="M93" s="320"/>
      <c r="N93" s="258"/>
    </row>
    <row r="94" ht="15.75" customHeight="1">
      <c r="D94" s="258"/>
      <c r="F94" s="320"/>
      <c r="G94" s="320"/>
      <c r="H94" s="258"/>
      <c r="I94" s="320"/>
      <c r="J94" s="320"/>
      <c r="L94" s="320"/>
      <c r="M94" s="320"/>
      <c r="N94" s="258"/>
    </row>
    <row r="95" ht="15.75" customHeight="1">
      <c r="D95" s="258"/>
      <c r="F95" s="320"/>
      <c r="G95" s="320"/>
      <c r="H95" s="258"/>
      <c r="I95" s="320"/>
      <c r="J95" s="320"/>
      <c r="L95" s="320"/>
      <c r="M95" s="320"/>
      <c r="N95" s="258"/>
    </row>
    <row r="96" ht="15.75" customHeight="1">
      <c r="D96" s="258"/>
      <c r="F96" s="320"/>
      <c r="G96" s="320"/>
      <c r="H96" s="258"/>
      <c r="I96" s="320"/>
      <c r="J96" s="320"/>
      <c r="L96" s="320"/>
      <c r="M96" s="320"/>
      <c r="N96" s="258"/>
    </row>
    <row r="97" ht="15.75" customHeight="1">
      <c r="D97" s="258"/>
      <c r="F97" s="320"/>
      <c r="G97" s="320"/>
      <c r="H97" s="258"/>
      <c r="I97" s="320"/>
      <c r="J97" s="320"/>
      <c r="L97" s="320"/>
      <c r="M97" s="320"/>
      <c r="N97" s="258"/>
    </row>
    <row r="98" ht="15.75" customHeight="1">
      <c r="D98" s="258"/>
      <c r="F98" s="320"/>
      <c r="G98" s="320"/>
      <c r="H98" s="258"/>
      <c r="I98" s="320"/>
      <c r="J98" s="320"/>
      <c r="L98" s="320"/>
      <c r="M98" s="320"/>
      <c r="N98" s="258"/>
    </row>
    <row r="99" ht="15.75" customHeight="1">
      <c r="D99" s="258"/>
      <c r="F99" s="320"/>
      <c r="G99" s="320"/>
      <c r="H99" s="258"/>
      <c r="I99" s="320"/>
      <c r="J99" s="320"/>
      <c r="L99" s="320"/>
      <c r="M99" s="320"/>
      <c r="N99" s="258"/>
    </row>
    <row r="100" ht="15.75" customHeight="1">
      <c r="D100" s="258"/>
      <c r="F100" s="320"/>
      <c r="G100" s="320"/>
      <c r="H100" s="258"/>
      <c r="I100" s="320"/>
      <c r="J100" s="320"/>
      <c r="L100" s="320"/>
      <c r="M100" s="320"/>
      <c r="N100" s="258"/>
    </row>
    <row r="101" ht="15.75" customHeight="1">
      <c r="D101" s="258"/>
      <c r="F101" s="320"/>
      <c r="G101" s="320"/>
      <c r="H101" s="258"/>
      <c r="I101" s="320"/>
      <c r="J101" s="320"/>
      <c r="L101" s="320"/>
      <c r="M101" s="320"/>
      <c r="N101" s="258"/>
    </row>
    <row r="102" ht="15.75" customHeight="1">
      <c r="O102" s="277"/>
      <c r="P102" s="277"/>
      <c r="Q102" s="277"/>
      <c r="R102" s="277"/>
      <c r="S102" s="277"/>
      <c r="T102" s="277"/>
      <c r="U102" s="277"/>
      <c r="V102" s="277"/>
      <c r="W102" s="277"/>
      <c r="X102" s="277"/>
      <c r="Y102" s="277"/>
      <c r="Z102" s="277"/>
    </row>
    <row r="103" ht="15.75" customHeight="1">
      <c r="D103" s="258"/>
      <c r="F103" s="320"/>
      <c r="G103" s="320"/>
      <c r="H103" s="258"/>
      <c r="I103" s="320"/>
      <c r="J103" s="320"/>
      <c r="L103" s="320"/>
      <c r="M103" s="320"/>
      <c r="N103" s="258"/>
    </row>
    <row r="104" ht="15.75" customHeight="1">
      <c r="D104" s="258"/>
      <c r="F104" s="258"/>
      <c r="G104" s="258"/>
      <c r="H104" s="258"/>
      <c r="I104" s="258"/>
      <c r="J104" s="320"/>
      <c r="L104" s="320"/>
      <c r="M104" s="320"/>
      <c r="N104" s="258"/>
    </row>
    <row r="105" ht="15.75" customHeight="1">
      <c r="D105" s="258"/>
      <c r="F105" s="320"/>
      <c r="G105" s="320"/>
      <c r="H105" s="258"/>
      <c r="I105" s="320"/>
      <c r="J105" s="320"/>
      <c r="L105" s="320"/>
      <c r="M105" s="320"/>
      <c r="N105" s="258"/>
    </row>
    <row r="106" ht="15.75" customHeight="1">
      <c r="D106" s="258"/>
      <c r="F106" s="320"/>
      <c r="G106" s="320"/>
      <c r="H106" s="258"/>
      <c r="I106" s="320"/>
      <c r="J106" s="320"/>
      <c r="L106" s="320"/>
      <c r="M106" s="320"/>
      <c r="N106" s="258"/>
    </row>
    <row r="107" ht="15.75" customHeight="1">
      <c r="D107" s="258"/>
      <c r="F107" s="320"/>
      <c r="G107" s="320"/>
      <c r="H107" s="258"/>
      <c r="I107" s="320"/>
      <c r="J107" s="320"/>
      <c r="L107" s="320"/>
      <c r="M107" s="320"/>
      <c r="N107" s="258"/>
    </row>
    <row r="108" ht="15.75" customHeight="1">
      <c r="D108" s="258"/>
      <c r="F108" s="320"/>
      <c r="G108" s="320"/>
      <c r="H108" s="258"/>
      <c r="I108" s="320"/>
      <c r="J108" s="320"/>
      <c r="L108" s="320"/>
      <c r="M108" s="320"/>
      <c r="N108" s="258"/>
    </row>
    <row r="109" ht="15.75" customHeight="1">
      <c r="D109" s="258"/>
      <c r="F109" s="320"/>
      <c r="G109" s="320"/>
      <c r="H109" s="258"/>
      <c r="I109" s="320"/>
      <c r="J109" s="320"/>
      <c r="L109" s="320"/>
      <c r="M109" s="320"/>
      <c r="N109" s="258"/>
    </row>
    <row r="110" ht="15.75" customHeight="1">
      <c r="O110" s="277"/>
      <c r="P110" s="277"/>
      <c r="Q110" s="277"/>
      <c r="R110" s="277"/>
      <c r="S110" s="277"/>
      <c r="T110" s="277"/>
      <c r="U110" s="277"/>
      <c r="V110" s="277"/>
      <c r="W110" s="277"/>
      <c r="X110" s="277"/>
      <c r="Y110" s="277"/>
      <c r="Z110" s="277"/>
    </row>
    <row r="111" ht="15.75" customHeight="1">
      <c r="D111" s="258"/>
      <c r="F111" s="320"/>
      <c r="G111" s="320"/>
      <c r="H111" s="320"/>
      <c r="I111" s="320"/>
      <c r="J111" s="320"/>
      <c r="L111" s="320"/>
      <c r="M111" s="320"/>
      <c r="N111" s="258"/>
    </row>
    <row r="112" ht="15.75" customHeight="1">
      <c r="D112" s="258"/>
      <c r="F112" s="320"/>
      <c r="G112" s="320"/>
      <c r="H112" s="258"/>
      <c r="I112" s="320"/>
      <c r="J112" s="320"/>
      <c r="L112" s="320"/>
      <c r="M112" s="320"/>
      <c r="N112" s="258"/>
    </row>
    <row r="113" ht="15.75" customHeight="1">
      <c r="D113" s="258"/>
      <c r="F113" s="320"/>
      <c r="G113" s="320"/>
      <c r="H113" s="320"/>
      <c r="I113" s="320"/>
      <c r="J113" s="320"/>
      <c r="L113" s="320"/>
      <c r="M113" s="320"/>
      <c r="N113" s="258"/>
    </row>
    <row r="114" ht="15.75" customHeight="1">
      <c r="D114" s="258"/>
      <c r="F114" s="320"/>
      <c r="G114" s="320"/>
      <c r="H114" s="258"/>
      <c r="I114" s="320"/>
      <c r="J114" s="320"/>
      <c r="L114" s="320"/>
      <c r="M114" s="320"/>
      <c r="N114" s="258"/>
    </row>
    <row r="115" ht="15.75" customHeight="1">
      <c r="D115" s="258"/>
      <c r="F115" s="320"/>
      <c r="G115" s="320"/>
      <c r="H115" s="320"/>
      <c r="I115" s="320"/>
      <c r="J115" s="320"/>
      <c r="L115" s="320"/>
      <c r="M115" s="320"/>
      <c r="N115" s="258"/>
    </row>
    <row r="116" ht="15.75" customHeight="1">
      <c r="D116" s="258"/>
      <c r="F116" s="320"/>
      <c r="G116" s="320"/>
      <c r="H116" s="258"/>
      <c r="I116" s="320"/>
      <c r="J116" s="320"/>
      <c r="L116" s="320"/>
      <c r="M116" s="320"/>
      <c r="N116" s="258"/>
    </row>
    <row r="117" ht="15.75" customHeight="1">
      <c r="D117" s="258"/>
      <c r="F117" s="320"/>
      <c r="G117" s="320"/>
      <c r="H117" s="320"/>
      <c r="I117" s="320"/>
      <c r="J117" s="320"/>
      <c r="L117" s="320"/>
      <c r="M117" s="320"/>
      <c r="N117" s="258"/>
    </row>
    <row r="118" ht="15.75" customHeight="1">
      <c r="D118" s="258"/>
      <c r="F118" s="320"/>
      <c r="G118" s="320"/>
      <c r="H118" s="320"/>
      <c r="I118" s="320"/>
      <c r="J118" s="320"/>
      <c r="L118" s="320"/>
      <c r="M118" s="320"/>
      <c r="N118" s="258"/>
    </row>
    <row r="119" ht="15.75" customHeight="1">
      <c r="O119" s="277"/>
      <c r="P119" s="277"/>
      <c r="Q119" s="277"/>
      <c r="R119" s="277"/>
      <c r="S119" s="277"/>
      <c r="T119" s="277"/>
      <c r="U119" s="277"/>
      <c r="V119" s="277"/>
      <c r="W119" s="277"/>
      <c r="X119" s="277"/>
      <c r="Y119" s="277"/>
      <c r="Z119" s="277"/>
    </row>
    <row r="120" ht="15.75" customHeight="1">
      <c r="D120" s="252"/>
      <c r="F120" s="258"/>
      <c r="G120" s="258"/>
      <c r="H120" s="258"/>
      <c r="I120" s="258"/>
      <c r="J120" s="320"/>
      <c r="L120" s="258"/>
      <c r="M120" s="320"/>
      <c r="N120" s="258"/>
    </row>
    <row r="121" ht="15.75" customHeight="1">
      <c r="D121" s="252"/>
      <c r="F121" s="258"/>
      <c r="G121" s="258"/>
      <c r="H121" s="258"/>
      <c r="I121" s="258"/>
      <c r="J121" s="320"/>
      <c r="L121" s="320"/>
      <c r="M121" s="320"/>
      <c r="N121" s="258"/>
    </row>
    <row r="122" ht="15.75" customHeight="1">
      <c r="D122" s="252"/>
      <c r="F122" s="258"/>
      <c r="G122" s="258"/>
      <c r="H122" s="258"/>
      <c r="I122" s="258"/>
      <c r="J122" s="320"/>
      <c r="L122" s="320"/>
      <c r="M122" s="320"/>
      <c r="N122" s="258"/>
    </row>
    <row r="123" ht="15.75" customHeight="1">
      <c r="D123" s="258"/>
      <c r="F123" s="258"/>
      <c r="G123" s="258"/>
      <c r="H123" s="258"/>
      <c r="I123" s="258"/>
      <c r="J123" s="320"/>
      <c r="L123" s="258"/>
      <c r="M123" s="258"/>
      <c r="N123" s="258"/>
    </row>
    <row r="124" ht="15.75" customHeight="1">
      <c r="D124" s="252"/>
      <c r="F124" s="258"/>
      <c r="G124" s="258"/>
      <c r="H124" s="258"/>
      <c r="I124" s="258"/>
      <c r="J124" s="320"/>
      <c r="L124" s="320"/>
      <c r="M124" s="320"/>
      <c r="N124" s="258"/>
    </row>
    <row r="125" ht="15.75" customHeight="1">
      <c r="D125" s="252"/>
      <c r="F125" s="258"/>
      <c r="G125" s="258"/>
      <c r="H125" s="258"/>
      <c r="I125" s="258"/>
      <c r="J125" s="320"/>
      <c r="L125" s="258"/>
      <c r="M125" s="258"/>
      <c r="N125" s="258"/>
    </row>
    <row r="126" ht="15.75" customHeight="1">
      <c r="D126" s="258"/>
      <c r="F126" s="258"/>
      <c r="G126" s="258"/>
      <c r="H126" s="320"/>
      <c r="I126" s="258"/>
      <c r="J126" s="320"/>
      <c r="L126" s="320"/>
      <c r="M126" s="320"/>
      <c r="N126" s="258"/>
    </row>
    <row r="127" ht="15.75" customHeight="1">
      <c r="O127" s="277"/>
      <c r="P127" s="277"/>
      <c r="Q127" s="277"/>
      <c r="R127" s="277"/>
      <c r="S127" s="277"/>
      <c r="T127" s="277"/>
      <c r="U127" s="277"/>
      <c r="V127" s="277"/>
      <c r="W127" s="277"/>
      <c r="X127" s="277"/>
      <c r="Y127" s="277"/>
      <c r="Z127" s="277"/>
    </row>
    <row r="128" ht="15.75" customHeight="1">
      <c r="D128" s="252"/>
      <c r="F128" s="258"/>
      <c r="G128" s="258"/>
      <c r="H128" s="258"/>
      <c r="I128" s="258"/>
      <c r="J128" s="320"/>
      <c r="L128" s="320"/>
      <c r="M128" s="320"/>
      <c r="N128" s="258"/>
    </row>
    <row r="129" ht="15.75" customHeight="1">
      <c r="D129" s="252"/>
      <c r="F129" s="258"/>
      <c r="G129" s="258"/>
      <c r="H129" s="258"/>
      <c r="I129" s="258"/>
      <c r="J129" s="320"/>
      <c r="L129" s="320"/>
      <c r="M129" s="320"/>
      <c r="N129" s="258"/>
    </row>
    <row r="130" ht="15.75" customHeight="1">
      <c r="D130" s="252"/>
      <c r="F130" s="258"/>
      <c r="G130" s="258"/>
      <c r="H130" s="258"/>
      <c r="I130" s="258"/>
      <c r="J130" s="320"/>
      <c r="L130" s="320"/>
      <c r="M130" s="320"/>
      <c r="N130" s="258"/>
    </row>
    <row r="131" ht="15.75" customHeight="1">
      <c r="D131" s="252"/>
      <c r="F131" s="258"/>
      <c r="G131" s="258"/>
      <c r="H131" s="258"/>
      <c r="I131" s="258"/>
      <c r="J131" s="320"/>
      <c r="L131" s="258"/>
      <c r="M131" s="258"/>
      <c r="N131" s="258"/>
    </row>
    <row r="132" ht="15.75" customHeight="1">
      <c r="O132" s="277"/>
      <c r="P132" s="277"/>
      <c r="Q132" s="277"/>
      <c r="R132" s="277"/>
      <c r="S132" s="277"/>
      <c r="T132" s="277"/>
      <c r="U132" s="277"/>
      <c r="V132" s="277"/>
      <c r="W132" s="277"/>
      <c r="X132" s="277"/>
      <c r="Y132" s="277"/>
      <c r="Z132" s="277"/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mergeCells count="103">
    <mergeCell ref="I1:K1"/>
    <mergeCell ref="L1:M1"/>
    <mergeCell ref="N1:P1"/>
    <mergeCell ref="A1:A2"/>
    <mergeCell ref="B1:B2"/>
    <mergeCell ref="C1:C2"/>
    <mergeCell ref="D1:D2"/>
    <mergeCell ref="E1:E2"/>
    <mergeCell ref="F1:G1"/>
    <mergeCell ref="H1:H2"/>
    <mergeCell ref="J2:K2"/>
    <mergeCell ref="J4:K4"/>
    <mergeCell ref="J7:K7"/>
    <mergeCell ref="J9:K9"/>
    <mergeCell ref="J10:K10"/>
    <mergeCell ref="J11:K11"/>
    <mergeCell ref="R11:S11"/>
    <mergeCell ref="J12:K12"/>
    <mergeCell ref="J14:K14"/>
    <mergeCell ref="J15:K15"/>
    <mergeCell ref="J16:K16"/>
    <mergeCell ref="J18:K18"/>
    <mergeCell ref="J19:K19"/>
    <mergeCell ref="J20:K20"/>
    <mergeCell ref="J21:K21"/>
    <mergeCell ref="J22:K22"/>
    <mergeCell ref="J23:K23"/>
    <mergeCell ref="J24:K24"/>
    <mergeCell ref="J25:K25"/>
    <mergeCell ref="J27:K27"/>
    <mergeCell ref="J28:K28"/>
    <mergeCell ref="J29:K29"/>
    <mergeCell ref="J30:K30"/>
    <mergeCell ref="J31:K31"/>
    <mergeCell ref="J33:K33"/>
    <mergeCell ref="J34:K34"/>
    <mergeCell ref="J35:K35"/>
    <mergeCell ref="J36:K36"/>
    <mergeCell ref="J37:K37"/>
    <mergeCell ref="J39:K39"/>
    <mergeCell ref="J40:K40"/>
    <mergeCell ref="J41:K41"/>
    <mergeCell ref="J42:K42"/>
    <mergeCell ref="J43:K43"/>
    <mergeCell ref="J44:K44"/>
    <mergeCell ref="J130:K130"/>
    <mergeCell ref="J131:K131"/>
    <mergeCell ref="J122:K122"/>
    <mergeCell ref="J123:K123"/>
    <mergeCell ref="J124:K124"/>
    <mergeCell ref="J125:K125"/>
    <mergeCell ref="J126:K126"/>
    <mergeCell ref="J128:K128"/>
    <mergeCell ref="J129:K129"/>
    <mergeCell ref="J46:K46"/>
    <mergeCell ref="J47:K47"/>
    <mergeCell ref="J48:K48"/>
    <mergeCell ref="J49:K49"/>
    <mergeCell ref="J50:K50"/>
    <mergeCell ref="J52:K52"/>
    <mergeCell ref="J53:K53"/>
    <mergeCell ref="J54:K54"/>
    <mergeCell ref="J55:K55"/>
    <mergeCell ref="J57:K57"/>
    <mergeCell ref="J58:K58"/>
    <mergeCell ref="J59:K59"/>
    <mergeCell ref="J60:K60"/>
    <mergeCell ref="J61:K61"/>
    <mergeCell ref="J62:K62"/>
    <mergeCell ref="J66:K67"/>
    <mergeCell ref="J70:K70"/>
    <mergeCell ref="J71:K71"/>
    <mergeCell ref="J72:K72"/>
    <mergeCell ref="J88:K88"/>
    <mergeCell ref="J89:K89"/>
    <mergeCell ref="J90:K90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3:K103"/>
    <mergeCell ref="J104:K104"/>
    <mergeCell ref="J105:K105"/>
    <mergeCell ref="J106:K106"/>
    <mergeCell ref="J107:K107"/>
    <mergeCell ref="J108:K108"/>
    <mergeCell ref="J109:K109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20:K120"/>
    <mergeCell ref="J121:K121"/>
  </mergeCells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9.63"/>
    <col customWidth="1" min="3" max="3" width="22.63"/>
    <col customWidth="1" min="4" max="4" width="11.5"/>
    <col customWidth="1" min="5" max="5" width="25.75"/>
    <col customWidth="1" min="6" max="6" width="9.0"/>
    <col customWidth="1" min="7" max="7" width="7.0"/>
    <col customWidth="1" min="8" max="8" width="6.88"/>
    <col customWidth="1" min="9" max="9" width="15.0"/>
    <col customWidth="1" min="10" max="10" width="14.75"/>
    <col customWidth="1" min="11" max="11" width="7.75"/>
    <col customWidth="1" min="12" max="12" width="6.38"/>
    <col customWidth="1" min="13" max="13" width="7.75"/>
    <col customWidth="1" min="14" max="14" width="7.13"/>
    <col customWidth="1" min="15" max="24" width="12.63"/>
  </cols>
  <sheetData>
    <row r="1" ht="15.75" customHeight="1">
      <c r="A1" s="163" t="s">
        <v>1</v>
      </c>
      <c r="B1" s="163" t="s">
        <v>2</v>
      </c>
      <c r="C1" s="163" t="s">
        <v>4</v>
      </c>
      <c r="D1" s="163" t="s">
        <v>1290</v>
      </c>
      <c r="E1" s="163" t="s">
        <v>1055</v>
      </c>
      <c r="F1" s="163" t="s">
        <v>1090</v>
      </c>
      <c r="G1" s="163" t="s">
        <v>1574</v>
      </c>
      <c r="H1" s="323" t="s">
        <v>1291</v>
      </c>
      <c r="I1" s="170"/>
      <c r="J1" s="184"/>
      <c r="K1" s="323" t="s">
        <v>1461</v>
      </c>
      <c r="L1" s="184"/>
      <c r="M1" s="165" t="s">
        <v>17</v>
      </c>
      <c r="N1" s="57"/>
    </row>
    <row r="2" ht="15.75" customHeight="1">
      <c r="A2" s="173"/>
      <c r="B2" s="173"/>
      <c r="C2" s="173"/>
      <c r="D2" s="173"/>
      <c r="E2" s="173"/>
      <c r="F2" s="173"/>
      <c r="G2" s="173"/>
      <c r="H2" s="340" t="s">
        <v>23</v>
      </c>
      <c r="I2" s="323" t="s">
        <v>5</v>
      </c>
      <c r="J2" s="184"/>
      <c r="K2" s="341">
        <v>0.2</v>
      </c>
      <c r="L2" s="341">
        <v>0.05</v>
      </c>
      <c r="M2" s="340" t="s">
        <v>12</v>
      </c>
      <c r="N2" s="340" t="s">
        <v>1575</v>
      </c>
    </row>
    <row r="3" ht="15.75" customHeight="1">
      <c r="A3" s="199" t="s">
        <v>29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277"/>
      <c r="P3" s="277"/>
      <c r="Q3" s="277"/>
      <c r="R3" s="277"/>
      <c r="S3" s="277"/>
      <c r="T3" s="277"/>
      <c r="U3" s="277"/>
      <c r="V3" s="277"/>
      <c r="W3" s="277"/>
      <c r="X3" s="277"/>
    </row>
    <row r="4" ht="15.75" customHeight="1">
      <c r="A4">
        <v>14.0</v>
      </c>
      <c r="B4" t="s">
        <v>854</v>
      </c>
      <c r="C4" t="s">
        <v>1516</v>
      </c>
      <c r="D4" s="258" t="s">
        <v>1463</v>
      </c>
      <c r="E4" t="s">
        <v>1576</v>
      </c>
      <c r="F4" s="320">
        <v>4500.0</v>
      </c>
      <c r="G4" s="320">
        <v>0.0</v>
      </c>
      <c r="H4" s="320">
        <v>900.0</v>
      </c>
      <c r="I4" s="320" t="s">
        <v>1577</v>
      </c>
      <c r="K4" s="320" t="s">
        <v>1463</v>
      </c>
      <c r="L4" s="320" t="s">
        <v>1463</v>
      </c>
      <c r="M4" s="320">
        <v>100.0</v>
      </c>
      <c r="N4" s="320">
        <f t="shared" ref="N4:N7" si="1">round(F4-G4-H4-M4,0)</f>
        <v>3500</v>
      </c>
    </row>
    <row r="5" ht="15.75" customHeight="1">
      <c r="A5">
        <v>20.0</v>
      </c>
      <c r="B5" t="s">
        <v>70</v>
      </c>
      <c r="C5" t="s">
        <v>1578</v>
      </c>
      <c r="D5" s="258" t="s">
        <v>1463</v>
      </c>
      <c r="E5" t="s">
        <v>1576</v>
      </c>
      <c r="F5" s="320">
        <v>5175.0</v>
      </c>
      <c r="G5" s="320">
        <v>0.0</v>
      </c>
      <c r="H5" s="320">
        <v>675.0</v>
      </c>
      <c r="I5" s="320" t="s">
        <v>38</v>
      </c>
      <c r="K5" s="320" t="s">
        <v>1463</v>
      </c>
      <c r="L5" s="320" t="s">
        <v>1463</v>
      </c>
      <c r="M5" s="320">
        <v>0.0</v>
      </c>
      <c r="N5" s="320">
        <f t="shared" si="1"/>
        <v>4500</v>
      </c>
    </row>
    <row r="6" ht="15.75" customHeight="1">
      <c r="A6">
        <v>21.0</v>
      </c>
      <c r="B6" t="s">
        <v>854</v>
      </c>
      <c r="C6" t="s">
        <v>1579</v>
      </c>
      <c r="D6" s="258" t="s">
        <v>1463</v>
      </c>
      <c r="E6" t="s">
        <v>1576</v>
      </c>
      <c r="F6" s="320">
        <v>9000.0</v>
      </c>
      <c r="G6" s="320">
        <v>0.0</v>
      </c>
      <c r="H6" s="320">
        <v>900.0</v>
      </c>
      <c r="I6" s="320" t="s">
        <v>38</v>
      </c>
      <c r="K6" s="320" t="s">
        <v>1463</v>
      </c>
      <c r="L6" s="320" t="s">
        <v>1463</v>
      </c>
      <c r="M6" s="320">
        <v>200.0</v>
      </c>
      <c r="N6" s="320">
        <f t="shared" si="1"/>
        <v>7900</v>
      </c>
    </row>
    <row r="7" ht="15.75" customHeight="1">
      <c r="A7">
        <v>28.0</v>
      </c>
      <c r="B7" t="s">
        <v>70</v>
      </c>
      <c r="C7" t="s">
        <v>1580</v>
      </c>
      <c r="D7" s="258" t="s">
        <v>1463</v>
      </c>
      <c r="E7" t="s">
        <v>1576</v>
      </c>
      <c r="F7" s="320">
        <v>9450.0</v>
      </c>
      <c r="G7" s="320">
        <v>0.0</v>
      </c>
      <c r="H7" s="320">
        <v>1575.0</v>
      </c>
      <c r="I7" s="320" t="s">
        <v>1577</v>
      </c>
      <c r="K7" s="320" t="s">
        <v>1463</v>
      </c>
      <c r="L7" s="320" t="s">
        <v>1463</v>
      </c>
      <c r="M7" s="320">
        <v>450.0</v>
      </c>
      <c r="N7" s="320">
        <f t="shared" si="1"/>
        <v>7425</v>
      </c>
    </row>
    <row r="8" ht="15.75" customHeight="1">
      <c r="A8" s="199" t="s">
        <v>30</v>
      </c>
      <c r="B8" s="199"/>
      <c r="C8" s="199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277"/>
      <c r="P8" s="277"/>
      <c r="Q8" s="277"/>
      <c r="R8" s="277"/>
      <c r="S8" s="277"/>
      <c r="T8" s="277"/>
      <c r="U8" s="277"/>
      <c r="V8" s="277"/>
      <c r="W8" s="277"/>
      <c r="X8" s="277"/>
    </row>
    <row r="9" ht="15.75" customHeight="1">
      <c r="A9">
        <v>4.0</v>
      </c>
      <c r="B9" t="s">
        <v>35</v>
      </c>
      <c r="C9" t="s">
        <v>87</v>
      </c>
      <c r="D9" s="258" t="s">
        <v>1463</v>
      </c>
      <c r="E9" t="s">
        <v>1576</v>
      </c>
      <c r="F9" s="320">
        <v>10848.0</v>
      </c>
      <c r="G9" s="320">
        <v>0.0</v>
      </c>
      <c r="H9" s="320">
        <v>1582.0</v>
      </c>
      <c r="I9" s="320" t="s">
        <v>1577</v>
      </c>
      <c r="K9" s="320" t="s">
        <v>1463</v>
      </c>
      <c r="L9" s="320" t="s">
        <v>1463</v>
      </c>
      <c r="M9" s="258">
        <v>225.0</v>
      </c>
      <c r="N9" s="320">
        <f t="shared" ref="N9:N13" si="2">round(F9-G9-H9-M9,0)</f>
        <v>9041</v>
      </c>
    </row>
    <row r="10" ht="15.75" customHeight="1">
      <c r="A10">
        <v>11.0</v>
      </c>
      <c r="B10" t="s">
        <v>35</v>
      </c>
      <c r="C10" t="s">
        <v>87</v>
      </c>
      <c r="D10" s="258" t="s">
        <v>1463</v>
      </c>
      <c r="E10" t="s">
        <v>1576</v>
      </c>
      <c r="F10" s="320">
        <v>10848.0</v>
      </c>
      <c r="G10" s="320">
        <v>0.0</v>
      </c>
      <c r="H10" s="320">
        <v>1582.0</v>
      </c>
      <c r="I10" s="320" t="s">
        <v>1577</v>
      </c>
      <c r="K10" s="320" t="s">
        <v>1463</v>
      </c>
      <c r="L10" s="320" t="s">
        <v>1463</v>
      </c>
      <c r="M10" s="258">
        <v>225.0</v>
      </c>
      <c r="N10" s="320">
        <f t="shared" si="2"/>
        <v>9041</v>
      </c>
    </row>
    <row r="11" ht="15.75" customHeight="1">
      <c r="A11">
        <v>14.0</v>
      </c>
      <c r="B11" t="s">
        <v>569</v>
      </c>
      <c r="C11" t="s">
        <v>1363</v>
      </c>
      <c r="D11" s="258" t="s">
        <v>1463</v>
      </c>
      <c r="F11" s="320">
        <v>2500.0</v>
      </c>
      <c r="G11" s="320">
        <v>0.0</v>
      </c>
      <c r="H11" s="320">
        <v>500.0</v>
      </c>
      <c r="I11" s="320" t="s">
        <v>1307</v>
      </c>
      <c r="K11" s="320" t="s">
        <v>1463</v>
      </c>
      <c r="L11" s="320" t="s">
        <v>1463</v>
      </c>
      <c r="M11" s="258">
        <v>0.0</v>
      </c>
      <c r="N11" s="320">
        <f t="shared" si="2"/>
        <v>2000</v>
      </c>
    </row>
    <row r="12" ht="15.75" customHeight="1">
      <c r="A12">
        <v>17.0</v>
      </c>
      <c r="B12" t="s">
        <v>569</v>
      </c>
      <c r="C12" t="s">
        <v>1581</v>
      </c>
      <c r="D12" s="258" t="s">
        <v>1463</v>
      </c>
      <c r="F12" s="320">
        <v>2000.0</v>
      </c>
      <c r="G12" s="320">
        <v>0.0</v>
      </c>
      <c r="H12" s="320">
        <v>700.0</v>
      </c>
      <c r="I12" s="320" t="s">
        <v>1582</v>
      </c>
      <c r="K12" s="320" t="s">
        <v>1463</v>
      </c>
      <c r="L12" s="320" t="s">
        <v>1463</v>
      </c>
      <c r="M12" s="258">
        <v>0.0</v>
      </c>
      <c r="N12" s="320">
        <f t="shared" si="2"/>
        <v>1300</v>
      </c>
    </row>
    <row r="13" ht="15.75" customHeight="1">
      <c r="A13">
        <v>18.0</v>
      </c>
      <c r="B13" t="s">
        <v>35</v>
      </c>
      <c r="C13" t="s">
        <v>87</v>
      </c>
      <c r="D13" s="258" t="s">
        <v>1463</v>
      </c>
      <c r="E13" t="s">
        <v>1576</v>
      </c>
      <c r="F13" s="320">
        <v>10848.0</v>
      </c>
      <c r="G13" s="320">
        <v>0.0</v>
      </c>
      <c r="H13" s="320">
        <v>1582.0</v>
      </c>
      <c r="I13" s="320" t="s">
        <v>1577</v>
      </c>
      <c r="K13" s="320" t="s">
        <v>1463</v>
      </c>
      <c r="L13" s="320" t="s">
        <v>1463</v>
      </c>
      <c r="M13" s="258">
        <v>225.0</v>
      </c>
      <c r="N13" s="320">
        <f t="shared" si="2"/>
        <v>9041</v>
      </c>
    </row>
    <row r="14" ht="15.75" customHeight="1">
      <c r="A14" s="199" t="s">
        <v>31</v>
      </c>
      <c r="B14" s="199"/>
      <c r="C14" s="199"/>
      <c r="D14" s="199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277"/>
      <c r="P14" s="277"/>
      <c r="Q14" s="277"/>
      <c r="R14" s="277"/>
      <c r="S14" s="277"/>
      <c r="T14" s="277"/>
      <c r="U14" s="277"/>
      <c r="V14" s="277"/>
      <c r="W14" s="277"/>
      <c r="X14" s="277"/>
    </row>
    <row r="15" ht="15.75" customHeight="1">
      <c r="A15">
        <v>16.0</v>
      </c>
      <c r="B15" t="s">
        <v>569</v>
      </c>
      <c r="C15" t="s">
        <v>1304</v>
      </c>
      <c r="D15" s="258" t="s">
        <v>1463</v>
      </c>
      <c r="E15" t="s">
        <v>1583</v>
      </c>
      <c r="F15" s="320">
        <v>2500.0</v>
      </c>
      <c r="G15" s="320">
        <v>0.0</v>
      </c>
      <c r="H15" s="320">
        <v>500.0</v>
      </c>
      <c r="I15" s="320" t="s">
        <v>1577</v>
      </c>
      <c r="K15" s="320" t="s">
        <v>1463</v>
      </c>
      <c r="L15" s="320" t="s">
        <v>1463</v>
      </c>
      <c r="M15" s="258">
        <v>0.0</v>
      </c>
      <c r="N15" s="320">
        <f t="shared" ref="N15:N16" si="3">round(F15-G15-H15-M15,0)</f>
        <v>2000</v>
      </c>
    </row>
    <row r="16" ht="15.75" customHeight="1">
      <c r="A16">
        <v>24.0</v>
      </c>
      <c r="B16" t="s">
        <v>569</v>
      </c>
      <c r="C16" t="s">
        <v>1584</v>
      </c>
      <c r="D16" s="252" t="s">
        <v>1585</v>
      </c>
      <c r="F16" s="320">
        <v>3000.0</v>
      </c>
      <c r="G16" s="258">
        <f>round(F16*3%,0)</f>
        <v>90</v>
      </c>
      <c r="H16" s="320">
        <v>800.0</v>
      </c>
      <c r="I16" s="320" t="s">
        <v>1586</v>
      </c>
      <c r="K16" s="320" t="s">
        <v>1463</v>
      </c>
      <c r="L16" s="320" t="s">
        <v>1463</v>
      </c>
      <c r="M16" s="258">
        <v>0.0</v>
      </c>
      <c r="N16" s="320">
        <f t="shared" si="3"/>
        <v>2110</v>
      </c>
    </row>
    <row r="17" ht="15.75" customHeight="1">
      <c r="A17" s="199" t="s">
        <v>32</v>
      </c>
      <c r="B17" s="199"/>
      <c r="C17" s="199"/>
      <c r="D17" s="199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277"/>
      <c r="P17" s="277"/>
      <c r="Q17" s="277"/>
      <c r="R17" s="277"/>
      <c r="S17" s="277"/>
      <c r="T17" s="277"/>
      <c r="U17" s="277"/>
      <c r="V17" s="277"/>
      <c r="W17" s="277"/>
      <c r="X17" s="277"/>
    </row>
    <row r="18" ht="15.75" customHeight="1">
      <c r="A18">
        <v>1.0</v>
      </c>
      <c r="B18" t="s">
        <v>569</v>
      </c>
      <c r="C18" t="s">
        <v>1318</v>
      </c>
      <c r="D18" s="258" t="s">
        <v>1463</v>
      </c>
      <c r="E18" t="s">
        <v>1587</v>
      </c>
      <c r="F18" s="320">
        <v>0.0</v>
      </c>
      <c r="G18" s="258">
        <f>round(F18*3%,0)</f>
        <v>0</v>
      </c>
      <c r="H18" s="320">
        <v>0.0</v>
      </c>
      <c r="I18" s="320" t="s">
        <v>1588</v>
      </c>
      <c r="K18" s="320" t="s">
        <v>1463</v>
      </c>
      <c r="L18" s="320" t="s">
        <v>1463</v>
      </c>
      <c r="M18" s="258">
        <v>0.0</v>
      </c>
      <c r="N18" s="320">
        <f t="shared" ref="N18:N21" si="4">round(F18-G18-H18-M18,0)</f>
        <v>0</v>
      </c>
    </row>
    <row r="19" ht="15.75" customHeight="1">
      <c r="A19">
        <v>1.0</v>
      </c>
      <c r="B19" t="s">
        <v>854</v>
      </c>
      <c r="C19" t="s">
        <v>1078</v>
      </c>
      <c r="D19" s="258" t="s">
        <v>1463</v>
      </c>
      <c r="E19" t="s">
        <v>1589</v>
      </c>
      <c r="F19" s="320">
        <v>4550.0</v>
      </c>
      <c r="G19" s="258">
        <v>0.0</v>
      </c>
      <c r="H19" s="320">
        <v>910.0</v>
      </c>
      <c r="I19" s="320" t="s">
        <v>38</v>
      </c>
      <c r="K19" s="320" t="s">
        <v>1463</v>
      </c>
      <c r="L19" s="320" t="s">
        <v>1463</v>
      </c>
      <c r="M19" s="258">
        <v>225.0</v>
      </c>
      <c r="N19" s="320">
        <f t="shared" si="4"/>
        <v>3415</v>
      </c>
    </row>
    <row r="20" ht="15.75" customHeight="1">
      <c r="A20">
        <v>22.0</v>
      </c>
      <c r="B20" t="s">
        <v>70</v>
      </c>
      <c r="C20" t="s">
        <v>1321</v>
      </c>
      <c r="D20" s="258" t="s">
        <v>1463</v>
      </c>
      <c r="E20" t="s">
        <v>1576</v>
      </c>
      <c r="F20" s="320">
        <v>10896.0</v>
      </c>
      <c r="G20" s="258">
        <v>0.0</v>
      </c>
      <c r="H20" s="320">
        <v>1589.0</v>
      </c>
      <c r="I20" s="320" t="s">
        <v>1577</v>
      </c>
      <c r="K20" s="320" t="s">
        <v>1463</v>
      </c>
      <c r="L20" s="320" t="s">
        <v>1463</v>
      </c>
      <c r="M20" s="258">
        <v>225.0</v>
      </c>
      <c r="N20" s="320">
        <f t="shared" si="4"/>
        <v>9082</v>
      </c>
    </row>
    <row r="21" ht="15.75" customHeight="1">
      <c r="A21">
        <v>29.0</v>
      </c>
      <c r="B21" t="s">
        <v>595</v>
      </c>
      <c r="C21" t="s">
        <v>1590</v>
      </c>
      <c r="D21" s="258" t="s">
        <v>1463</v>
      </c>
      <c r="E21" t="s">
        <v>1576</v>
      </c>
      <c r="F21" s="320">
        <v>10237.0</v>
      </c>
      <c r="G21" s="258">
        <v>0.0</v>
      </c>
      <c r="H21" s="320">
        <v>910.0</v>
      </c>
      <c r="I21" s="320" t="s">
        <v>38</v>
      </c>
      <c r="K21" s="320" t="s">
        <v>1463</v>
      </c>
      <c r="L21" s="320" t="s">
        <v>1463</v>
      </c>
      <c r="M21" s="258">
        <v>225.0</v>
      </c>
      <c r="N21" s="320">
        <f t="shared" si="4"/>
        <v>9102</v>
      </c>
    </row>
    <row r="22" ht="15.75" customHeight="1">
      <c r="A22" s="199" t="s">
        <v>33</v>
      </c>
      <c r="B22" s="199"/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277"/>
      <c r="P22" s="277"/>
      <c r="Q22" s="277"/>
      <c r="R22" s="277"/>
      <c r="S22" s="277"/>
      <c r="T22" s="277"/>
      <c r="U22" s="277"/>
      <c r="V22" s="277"/>
      <c r="W22" s="277"/>
      <c r="X22" s="277"/>
    </row>
    <row r="23" ht="15.75" customHeight="1">
      <c r="A23">
        <v>6.0</v>
      </c>
      <c r="B23" t="s">
        <v>35</v>
      </c>
      <c r="C23" t="s">
        <v>1591</v>
      </c>
      <c r="D23" s="258" t="s">
        <v>1463</v>
      </c>
      <c r="E23" t="s">
        <v>1576</v>
      </c>
      <c r="F23" s="320">
        <v>10896.0</v>
      </c>
      <c r="G23" s="258">
        <v>0.0</v>
      </c>
      <c r="H23" s="320">
        <v>3409.0</v>
      </c>
      <c r="I23" s="320" t="s">
        <v>1592</v>
      </c>
      <c r="K23" s="320" t="s">
        <v>1463</v>
      </c>
      <c r="L23" s="320" t="s">
        <v>1463</v>
      </c>
      <c r="M23" s="258">
        <v>0.0</v>
      </c>
      <c r="N23" s="320">
        <f t="shared" ref="N23:N27" si="5">round(F23-G23-H23-M23,0)</f>
        <v>7487</v>
      </c>
    </row>
    <row r="24" ht="15.75" customHeight="1">
      <c r="A24">
        <v>13.0</v>
      </c>
      <c r="B24" t="s">
        <v>35</v>
      </c>
      <c r="C24" t="s">
        <v>1590</v>
      </c>
      <c r="D24" s="258" t="s">
        <v>1463</v>
      </c>
      <c r="E24" t="s">
        <v>1576</v>
      </c>
      <c r="F24" s="320">
        <v>10896.0</v>
      </c>
      <c r="G24" s="258">
        <v>0.0</v>
      </c>
      <c r="H24" s="320">
        <v>1589.0</v>
      </c>
      <c r="I24" s="320" t="s">
        <v>1577</v>
      </c>
      <c r="K24" s="320" t="s">
        <v>1463</v>
      </c>
      <c r="L24" s="320" t="s">
        <v>1463</v>
      </c>
      <c r="M24" s="258">
        <v>225.0</v>
      </c>
      <c r="N24" s="320">
        <f t="shared" si="5"/>
        <v>9082</v>
      </c>
    </row>
    <row r="25" ht="15.75" customHeight="1">
      <c r="A25">
        <v>19.0</v>
      </c>
      <c r="B25" t="s">
        <v>854</v>
      </c>
      <c r="C25" t="s">
        <v>1593</v>
      </c>
      <c r="D25" s="258" t="s">
        <v>1463</v>
      </c>
      <c r="E25" t="s">
        <v>1594</v>
      </c>
      <c r="F25" s="320">
        <v>5472.0</v>
      </c>
      <c r="G25" s="258">
        <v>0.0</v>
      </c>
      <c r="H25" s="320">
        <v>912.0</v>
      </c>
      <c r="I25" s="320" t="s">
        <v>1577</v>
      </c>
      <c r="K25" s="320" t="s">
        <v>1463</v>
      </c>
      <c r="L25" s="320" t="s">
        <v>1463</v>
      </c>
      <c r="M25" s="258">
        <v>0.0</v>
      </c>
      <c r="N25" s="320">
        <f t="shared" si="5"/>
        <v>4560</v>
      </c>
    </row>
    <row r="26" ht="15.75" customHeight="1">
      <c r="A26">
        <v>20.0</v>
      </c>
      <c r="B26" t="s">
        <v>595</v>
      </c>
      <c r="C26" t="s">
        <v>1078</v>
      </c>
      <c r="D26" s="258" t="s">
        <v>1463</v>
      </c>
      <c r="E26" t="s">
        <v>1576</v>
      </c>
      <c r="F26" s="320">
        <v>10260.0</v>
      </c>
      <c r="G26" s="258">
        <v>0.0</v>
      </c>
      <c r="H26" s="320">
        <v>912.0</v>
      </c>
      <c r="I26" s="320" t="s">
        <v>38</v>
      </c>
      <c r="K26" s="320" t="s">
        <v>1463</v>
      </c>
      <c r="L26" s="320" t="s">
        <v>1463</v>
      </c>
      <c r="M26" s="258">
        <v>225.0</v>
      </c>
      <c r="N26" s="320">
        <f t="shared" si="5"/>
        <v>9123</v>
      </c>
    </row>
    <row r="27" ht="15.75" customHeight="1">
      <c r="A27">
        <v>27.0</v>
      </c>
      <c r="B27" t="s">
        <v>35</v>
      </c>
      <c r="C27" t="s">
        <v>1321</v>
      </c>
      <c r="D27" s="258" t="s">
        <v>1463</v>
      </c>
      <c r="E27" t="s">
        <v>1576</v>
      </c>
      <c r="F27" s="320">
        <v>8892.0</v>
      </c>
      <c r="G27" s="258">
        <v>0.0</v>
      </c>
      <c r="H27" s="320">
        <v>1596.0</v>
      </c>
      <c r="I27" s="320" t="s">
        <v>1577</v>
      </c>
      <c r="K27" s="320" t="s">
        <v>1463</v>
      </c>
      <c r="L27" s="320" t="s">
        <v>1463</v>
      </c>
      <c r="M27" s="258">
        <v>450.0</v>
      </c>
      <c r="N27" s="320">
        <f t="shared" si="5"/>
        <v>6846</v>
      </c>
    </row>
    <row r="28" ht="15.75" customHeight="1">
      <c r="A28" s="199" t="s">
        <v>39</v>
      </c>
      <c r="B28" s="199"/>
      <c r="C28" s="199"/>
      <c r="D28" s="199"/>
      <c r="E28" s="199"/>
      <c r="F28" s="199"/>
      <c r="G28" s="199"/>
      <c r="H28" s="199"/>
      <c r="I28" s="199"/>
      <c r="J28" s="199"/>
      <c r="K28" s="199"/>
      <c r="L28" s="199"/>
      <c r="M28" s="199"/>
      <c r="N28" s="199"/>
      <c r="O28" s="277"/>
      <c r="P28" s="277"/>
      <c r="Q28" s="277"/>
      <c r="R28" s="277"/>
      <c r="S28" s="277"/>
      <c r="T28" s="277"/>
      <c r="U28" s="277"/>
      <c r="V28" s="277"/>
      <c r="W28" s="277"/>
      <c r="X28" s="277"/>
    </row>
    <row r="29" ht="15.75" customHeight="1">
      <c r="A29">
        <v>3.0</v>
      </c>
      <c r="B29" t="s">
        <v>35</v>
      </c>
      <c r="C29" t="s">
        <v>1595</v>
      </c>
      <c r="D29" s="258" t="s">
        <v>1463</v>
      </c>
      <c r="E29" t="s">
        <v>1576</v>
      </c>
      <c r="F29" s="320">
        <v>10968.0</v>
      </c>
      <c r="G29" s="258">
        <v>0.0</v>
      </c>
      <c r="H29" s="320">
        <v>1600.0</v>
      </c>
      <c r="I29" s="320" t="s">
        <v>1577</v>
      </c>
      <c r="K29" s="320" t="s">
        <v>1463</v>
      </c>
      <c r="L29" s="320" t="s">
        <v>1463</v>
      </c>
      <c r="M29" s="258">
        <v>225.0</v>
      </c>
      <c r="N29" s="320">
        <f t="shared" ref="N29:N38" si="6">round(F29-G29-H29-M29,0)</f>
        <v>9143</v>
      </c>
    </row>
    <row r="30" ht="15.75" customHeight="1">
      <c r="A30">
        <v>10.0</v>
      </c>
      <c r="B30" t="s">
        <v>35</v>
      </c>
      <c r="C30" t="s">
        <v>1596</v>
      </c>
      <c r="D30" s="258" t="s">
        <v>1463</v>
      </c>
      <c r="E30" t="s">
        <v>1576</v>
      </c>
      <c r="F30" s="320">
        <v>5472.0</v>
      </c>
      <c r="G30" s="258">
        <v>0.0</v>
      </c>
      <c r="H30" s="320">
        <v>912.0</v>
      </c>
      <c r="I30" s="320" t="s">
        <v>38</v>
      </c>
      <c r="K30" s="320" t="s">
        <v>1463</v>
      </c>
      <c r="L30" s="320" t="s">
        <v>1463</v>
      </c>
      <c r="M30" s="258">
        <v>0.0</v>
      </c>
      <c r="N30" s="320">
        <f t="shared" si="6"/>
        <v>4560</v>
      </c>
    </row>
    <row r="31" ht="15.75" customHeight="1">
      <c r="A31">
        <v>10.0</v>
      </c>
      <c r="B31" t="s">
        <v>35</v>
      </c>
      <c r="C31" t="s">
        <v>1595</v>
      </c>
      <c r="D31" s="252" t="s">
        <v>1597</v>
      </c>
      <c r="F31" s="320">
        <v>9120.0</v>
      </c>
      <c r="G31" s="258">
        <f>round(F31*3%,0)</f>
        <v>274</v>
      </c>
      <c r="H31" s="320">
        <v>1592.0</v>
      </c>
      <c r="I31" s="320" t="s">
        <v>1577</v>
      </c>
      <c r="K31" s="320" t="s">
        <v>1463</v>
      </c>
      <c r="L31" s="320" t="s">
        <v>1463</v>
      </c>
      <c r="M31" s="258">
        <v>0.0</v>
      </c>
      <c r="N31" s="320">
        <f t="shared" si="6"/>
        <v>7254</v>
      </c>
    </row>
    <row r="32" ht="15.75" customHeight="1">
      <c r="A32">
        <v>17.0</v>
      </c>
      <c r="B32" t="s">
        <v>35</v>
      </c>
      <c r="C32" t="s">
        <v>1598</v>
      </c>
      <c r="D32" s="258" t="s">
        <v>1463</v>
      </c>
      <c r="E32" t="s">
        <v>1576</v>
      </c>
      <c r="F32" s="320">
        <v>10282.0</v>
      </c>
      <c r="G32" s="258">
        <v>0.0</v>
      </c>
      <c r="H32" s="320">
        <v>914.0</v>
      </c>
      <c r="I32" s="320" t="s">
        <v>38</v>
      </c>
      <c r="K32" s="320" t="s">
        <v>1463</v>
      </c>
      <c r="L32" s="320" t="s">
        <v>1463</v>
      </c>
      <c r="M32" s="258">
        <v>0.0</v>
      </c>
      <c r="N32" s="320">
        <f t="shared" si="6"/>
        <v>9368</v>
      </c>
    </row>
    <row r="33" ht="15.75" customHeight="1">
      <c r="A33">
        <v>23.0</v>
      </c>
      <c r="B33" t="s">
        <v>854</v>
      </c>
      <c r="C33" t="s">
        <v>1599</v>
      </c>
      <c r="D33" s="252" t="s">
        <v>1600</v>
      </c>
      <c r="E33" t="s">
        <v>1601</v>
      </c>
      <c r="F33" s="320">
        <v>6622.0</v>
      </c>
      <c r="G33" s="258">
        <f t="shared" ref="G33:G34" si="7">round(F33*3%,0)</f>
        <v>199</v>
      </c>
      <c r="H33" s="320">
        <v>900.0</v>
      </c>
      <c r="I33" s="320" t="s">
        <v>38</v>
      </c>
      <c r="K33" s="320" t="s">
        <v>1463</v>
      </c>
      <c r="L33" s="320" t="s">
        <v>1463</v>
      </c>
      <c r="M33" s="258">
        <v>0.0</v>
      </c>
      <c r="N33" s="320">
        <f t="shared" si="6"/>
        <v>5523</v>
      </c>
    </row>
    <row r="34" ht="15.75" customHeight="1">
      <c r="A34">
        <v>23.0</v>
      </c>
      <c r="B34" t="s">
        <v>854</v>
      </c>
      <c r="C34" t="s">
        <v>1602</v>
      </c>
      <c r="D34" s="252" t="s">
        <v>1603</v>
      </c>
      <c r="E34" s="50" t="s">
        <v>1604</v>
      </c>
      <c r="F34" s="320">
        <v>9550.0</v>
      </c>
      <c r="G34" s="258">
        <f t="shared" si="7"/>
        <v>287</v>
      </c>
      <c r="H34" s="320">
        <v>3428.0</v>
      </c>
      <c r="I34" s="320" t="s">
        <v>1605</v>
      </c>
      <c r="K34" s="320" t="s">
        <v>1463</v>
      </c>
      <c r="L34" s="320" t="s">
        <v>1463</v>
      </c>
      <c r="M34" s="258">
        <v>0.0</v>
      </c>
      <c r="N34" s="320">
        <f t="shared" si="6"/>
        <v>5835</v>
      </c>
    </row>
    <row r="35" ht="15.75" customHeight="1">
      <c r="A35">
        <v>24.0</v>
      </c>
      <c r="B35" t="s">
        <v>35</v>
      </c>
      <c r="C35" t="s">
        <v>1578</v>
      </c>
      <c r="D35" s="258" t="s">
        <v>1463</v>
      </c>
      <c r="E35" s="50" t="s">
        <v>1576</v>
      </c>
      <c r="F35" s="320">
        <v>10968.0</v>
      </c>
      <c r="G35" s="258">
        <v>0.0</v>
      </c>
      <c r="H35" s="320">
        <v>1600.0</v>
      </c>
      <c r="I35" s="320" t="s">
        <v>38</v>
      </c>
      <c r="K35" s="320" t="s">
        <v>1463</v>
      </c>
      <c r="L35" s="320" t="s">
        <v>1463</v>
      </c>
      <c r="M35" s="258">
        <v>225.0</v>
      </c>
      <c r="N35" s="320">
        <f t="shared" si="6"/>
        <v>9143</v>
      </c>
    </row>
    <row r="36" ht="15.75" customHeight="1">
      <c r="A36">
        <v>28.0</v>
      </c>
      <c r="B36" t="s">
        <v>569</v>
      </c>
      <c r="C36" t="s">
        <v>1347</v>
      </c>
      <c r="D36" s="258" t="s">
        <v>1463</v>
      </c>
      <c r="E36" s="258"/>
      <c r="F36" s="320">
        <v>1000.0</v>
      </c>
      <c r="G36" s="258">
        <v>0.0</v>
      </c>
      <c r="H36" s="320">
        <v>1000.0</v>
      </c>
      <c r="I36" s="320" t="s">
        <v>1606</v>
      </c>
      <c r="K36" s="320" t="s">
        <v>1463</v>
      </c>
      <c r="L36" s="320" t="s">
        <v>1463</v>
      </c>
      <c r="M36" s="258">
        <v>0.0</v>
      </c>
      <c r="N36" s="320">
        <f t="shared" si="6"/>
        <v>0</v>
      </c>
    </row>
    <row r="37" ht="15.75" customHeight="1">
      <c r="A37">
        <v>30.0</v>
      </c>
      <c r="B37" t="s">
        <v>854</v>
      </c>
      <c r="C37" t="s">
        <v>1318</v>
      </c>
      <c r="D37" s="252" t="s">
        <v>1607</v>
      </c>
      <c r="E37" t="s">
        <v>1608</v>
      </c>
      <c r="F37" s="320">
        <v>7735.0</v>
      </c>
      <c r="G37" s="258">
        <f>round(F37*3%,0)</f>
        <v>232</v>
      </c>
      <c r="H37" s="320">
        <v>900.0</v>
      </c>
      <c r="I37" s="320" t="s">
        <v>38</v>
      </c>
      <c r="K37" s="320" t="s">
        <v>1463</v>
      </c>
      <c r="L37" s="320" t="s">
        <v>1463</v>
      </c>
      <c r="M37" s="258">
        <v>0.0</v>
      </c>
      <c r="N37" s="320">
        <f t="shared" si="6"/>
        <v>6603</v>
      </c>
    </row>
    <row r="38" ht="15.75" customHeight="1">
      <c r="A38">
        <v>30.0</v>
      </c>
      <c r="B38" t="s">
        <v>854</v>
      </c>
      <c r="C38" t="s">
        <v>1609</v>
      </c>
      <c r="D38" s="258" t="s">
        <v>1463</v>
      </c>
      <c r="E38" t="s">
        <v>1610</v>
      </c>
      <c r="F38" s="320">
        <v>5688.0</v>
      </c>
      <c r="G38" s="258">
        <v>0.0</v>
      </c>
      <c r="H38" s="320">
        <v>1138.0</v>
      </c>
      <c r="I38" s="320" t="s">
        <v>1577</v>
      </c>
      <c r="K38" s="320" t="s">
        <v>1463</v>
      </c>
      <c r="L38" s="320" t="s">
        <v>1463</v>
      </c>
      <c r="M38" s="258">
        <v>0.0</v>
      </c>
      <c r="N38" s="320">
        <f t="shared" si="6"/>
        <v>4550</v>
      </c>
    </row>
    <row r="39" ht="15.75" customHeight="1">
      <c r="A39" s="199" t="s">
        <v>42</v>
      </c>
      <c r="B39" s="199"/>
      <c r="C39" s="199"/>
      <c r="D39" s="199"/>
      <c r="E39" s="199"/>
      <c r="F39" s="199"/>
      <c r="G39" s="199"/>
      <c r="H39" s="199"/>
      <c r="I39" s="199"/>
      <c r="J39" s="199"/>
      <c r="K39" s="199"/>
      <c r="L39" s="199"/>
      <c r="M39" s="199"/>
      <c r="N39" s="199"/>
      <c r="O39" s="277"/>
      <c r="P39" s="277"/>
      <c r="Q39" s="277"/>
      <c r="R39" s="277"/>
      <c r="S39" s="277"/>
      <c r="T39" s="277"/>
      <c r="U39" s="277"/>
      <c r="V39" s="277"/>
      <c r="W39" s="277"/>
      <c r="X39" s="277"/>
    </row>
    <row r="40" ht="15.75" customHeight="1">
      <c r="A40">
        <v>1.0</v>
      </c>
      <c r="B40" t="s">
        <v>569</v>
      </c>
      <c r="C40" t="s">
        <v>1611</v>
      </c>
      <c r="D40" s="258" t="s">
        <v>1612</v>
      </c>
      <c r="F40" s="320">
        <v>3000.0</v>
      </c>
      <c r="G40" s="258">
        <f t="shared" ref="G40:G41" si="8">round(F40*3%,0)</f>
        <v>90</v>
      </c>
      <c r="H40" s="320">
        <v>500.0</v>
      </c>
      <c r="I40" s="320" t="s">
        <v>38</v>
      </c>
      <c r="K40" s="320" t="s">
        <v>1463</v>
      </c>
      <c r="L40" s="320" t="s">
        <v>1463</v>
      </c>
      <c r="M40" s="258">
        <v>0.0</v>
      </c>
      <c r="N40" s="320">
        <f t="shared" ref="N40:N49" si="9">round(F40-G40-H40-M40,0)</f>
        <v>2410</v>
      </c>
    </row>
    <row r="41" ht="15.75" customHeight="1">
      <c r="A41">
        <v>1.0</v>
      </c>
      <c r="B41" t="s">
        <v>854</v>
      </c>
      <c r="C41" t="s">
        <v>1613</v>
      </c>
      <c r="D41" s="258" t="s">
        <v>1614</v>
      </c>
      <c r="E41" t="s">
        <v>1615</v>
      </c>
      <c r="F41" s="320">
        <v>6600.0</v>
      </c>
      <c r="G41" s="258">
        <f t="shared" si="8"/>
        <v>198</v>
      </c>
      <c r="H41" s="320">
        <v>900.0</v>
      </c>
      <c r="I41" s="320" t="s">
        <v>38</v>
      </c>
      <c r="K41" s="320" t="s">
        <v>1463</v>
      </c>
      <c r="L41" s="320" t="s">
        <v>1463</v>
      </c>
      <c r="M41" s="258">
        <v>0.0</v>
      </c>
      <c r="N41" s="320">
        <f t="shared" si="9"/>
        <v>5502</v>
      </c>
    </row>
    <row r="42" ht="15.75" customHeight="1">
      <c r="A42">
        <v>6.0</v>
      </c>
      <c r="B42" t="s">
        <v>854</v>
      </c>
      <c r="C42" t="s">
        <v>1616</v>
      </c>
      <c r="D42" s="258" t="s">
        <v>1463</v>
      </c>
      <c r="F42" s="320">
        <v>450.0</v>
      </c>
      <c r="G42" s="258">
        <v>0.0</v>
      </c>
      <c r="H42" s="320">
        <v>450.0</v>
      </c>
      <c r="I42" s="320" t="s">
        <v>1617</v>
      </c>
      <c r="K42" s="320" t="s">
        <v>1463</v>
      </c>
      <c r="L42" s="320" t="s">
        <v>1463</v>
      </c>
      <c r="M42" s="258">
        <v>0.0</v>
      </c>
      <c r="N42" s="320">
        <f t="shared" si="9"/>
        <v>0</v>
      </c>
    </row>
    <row r="43" ht="15.75" customHeight="1">
      <c r="A43">
        <v>7.0</v>
      </c>
      <c r="B43" t="s">
        <v>35</v>
      </c>
      <c r="C43" t="s">
        <v>1590</v>
      </c>
      <c r="D43" s="258" t="s">
        <v>1463</v>
      </c>
      <c r="E43" t="s">
        <v>1576</v>
      </c>
      <c r="F43" s="320">
        <v>10328.0</v>
      </c>
      <c r="G43" s="258">
        <v>0.0</v>
      </c>
      <c r="H43" s="320">
        <v>918.0</v>
      </c>
      <c r="I43" s="320" t="s">
        <v>38</v>
      </c>
      <c r="K43" s="320" t="s">
        <v>1463</v>
      </c>
      <c r="L43" s="320" t="s">
        <v>1463</v>
      </c>
      <c r="M43" s="258">
        <v>0.0</v>
      </c>
      <c r="N43" s="320">
        <f t="shared" si="9"/>
        <v>9410</v>
      </c>
    </row>
    <row r="44" ht="15.75" customHeight="1">
      <c r="A44">
        <v>8.0</v>
      </c>
      <c r="B44" t="s">
        <v>35</v>
      </c>
      <c r="C44" t="s">
        <v>1321</v>
      </c>
      <c r="D44" s="258" t="s">
        <v>1463</v>
      </c>
      <c r="E44" t="s">
        <v>1576</v>
      </c>
      <c r="F44" s="320">
        <v>10787.0</v>
      </c>
      <c r="G44" s="258">
        <v>0.0</v>
      </c>
      <c r="H44" s="320">
        <v>1607.0</v>
      </c>
      <c r="I44" s="320" t="s">
        <v>1577</v>
      </c>
      <c r="K44" s="320" t="s">
        <v>1463</v>
      </c>
      <c r="L44" s="320" t="s">
        <v>1463</v>
      </c>
      <c r="M44" s="258">
        <v>225.0</v>
      </c>
      <c r="N44" s="320">
        <f t="shared" si="9"/>
        <v>8955</v>
      </c>
    </row>
    <row r="45" ht="15.75" customHeight="1">
      <c r="A45">
        <v>15.0</v>
      </c>
      <c r="B45" t="s">
        <v>35</v>
      </c>
      <c r="C45" t="s">
        <v>1618</v>
      </c>
      <c r="D45" s="258" t="s">
        <v>1463</v>
      </c>
      <c r="E45" t="s">
        <v>1576</v>
      </c>
      <c r="F45" s="320">
        <v>8208.0</v>
      </c>
      <c r="G45" s="258">
        <v>0.0</v>
      </c>
      <c r="H45" s="320">
        <v>1012.0</v>
      </c>
      <c r="I45" s="320" t="s">
        <v>1619</v>
      </c>
      <c r="K45" s="320" t="s">
        <v>1463</v>
      </c>
      <c r="L45" s="320" t="s">
        <v>1463</v>
      </c>
      <c r="M45" s="258">
        <v>0.0</v>
      </c>
      <c r="N45" s="320">
        <f t="shared" si="9"/>
        <v>7196</v>
      </c>
    </row>
    <row r="46" ht="15.75" customHeight="1">
      <c r="A46">
        <v>22.0</v>
      </c>
      <c r="B46" t="s">
        <v>35</v>
      </c>
      <c r="C46" t="s">
        <v>1124</v>
      </c>
      <c r="D46" s="258" t="s">
        <v>1463</v>
      </c>
      <c r="E46" t="s">
        <v>1576</v>
      </c>
      <c r="F46" s="320">
        <v>10283.0</v>
      </c>
      <c r="G46" s="258">
        <v>0.0</v>
      </c>
      <c r="H46" s="320">
        <v>914.0</v>
      </c>
      <c r="I46" s="320" t="s">
        <v>38</v>
      </c>
      <c r="K46" s="320" t="s">
        <v>1463</v>
      </c>
      <c r="L46" s="320" t="s">
        <v>1463</v>
      </c>
      <c r="M46" s="258">
        <v>225.0</v>
      </c>
      <c r="N46" s="320">
        <f t="shared" si="9"/>
        <v>9144</v>
      </c>
    </row>
    <row r="47" ht="15.75" customHeight="1">
      <c r="A47">
        <v>28.0</v>
      </c>
      <c r="B47" t="s">
        <v>35</v>
      </c>
      <c r="C47" t="s">
        <v>1078</v>
      </c>
      <c r="D47" s="258" t="s">
        <v>1463</v>
      </c>
      <c r="E47" t="s">
        <v>1576</v>
      </c>
      <c r="F47" s="320">
        <v>10260.0</v>
      </c>
      <c r="G47" s="258">
        <v>0.0</v>
      </c>
      <c r="H47" s="320">
        <v>912.0</v>
      </c>
      <c r="I47" s="320" t="s">
        <v>38</v>
      </c>
      <c r="K47" s="320" t="s">
        <v>1463</v>
      </c>
      <c r="L47" s="320" t="s">
        <v>1463</v>
      </c>
      <c r="M47" s="258">
        <v>225.0</v>
      </c>
      <c r="N47" s="320">
        <f t="shared" si="9"/>
        <v>9123</v>
      </c>
    </row>
    <row r="48" ht="15.75" customHeight="1">
      <c r="A48">
        <v>29.0</v>
      </c>
      <c r="B48" t="s">
        <v>35</v>
      </c>
      <c r="C48" t="s">
        <v>1620</v>
      </c>
      <c r="D48" s="258" t="s">
        <v>1463</v>
      </c>
      <c r="E48" t="s">
        <v>1576</v>
      </c>
      <c r="F48" s="320">
        <v>10944.0</v>
      </c>
      <c r="G48" s="258">
        <v>0.0</v>
      </c>
      <c r="H48" s="320">
        <v>1596.0</v>
      </c>
      <c r="I48" s="320" t="s">
        <v>1577</v>
      </c>
      <c r="K48" s="320" t="s">
        <v>1463</v>
      </c>
      <c r="L48" s="320" t="s">
        <v>1463</v>
      </c>
      <c r="M48" s="258">
        <v>0.0</v>
      </c>
      <c r="N48" s="320">
        <f t="shared" si="9"/>
        <v>9348</v>
      </c>
    </row>
    <row r="49" ht="15.75" customHeight="1">
      <c r="A49">
        <v>30.0</v>
      </c>
      <c r="B49" t="s">
        <v>35</v>
      </c>
      <c r="C49" t="s">
        <v>1593</v>
      </c>
      <c r="D49" s="258" t="s">
        <v>1463</v>
      </c>
      <c r="E49" t="s">
        <v>1576</v>
      </c>
      <c r="F49" s="320">
        <v>10260.0</v>
      </c>
      <c r="G49" s="258">
        <v>0.0</v>
      </c>
      <c r="H49" s="320">
        <v>912.0</v>
      </c>
      <c r="I49" s="320" t="s">
        <v>38</v>
      </c>
      <c r="K49" s="320" t="s">
        <v>1463</v>
      </c>
      <c r="L49" s="320" t="s">
        <v>1463</v>
      </c>
      <c r="M49" s="258">
        <v>0.0</v>
      </c>
      <c r="N49" s="320">
        <f t="shared" si="9"/>
        <v>9348</v>
      </c>
    </row>
    <row r="50" ht="15.75" customHeight="1">
      <c r="A50" s="199" t="s">
        <v>44</v>
      </c>
      <c r="B50" s="199"/>
      <c r="C50" s="199"/>
      <c r="D50" s="199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277"/>
      <c r="P50" s="277"/>
      <c r="Q50" s="277"/>
      <c r="R50" s="277"/>
      <c r="S50" s="277"/>
      <c r="T50" s="277"/>
      <c r="U50" s="277"/>
      <c r="V50" s="277"/>
      <c r="W50" s="277"/>
      <c r="X50" s="277"/>
    </row>
    <row r="51" ht="15.75" customHeight="1">
      <c r="A51">
        <v>5.0</v>
      </c>
      <c r="B51" t="s">
        <v>569</v>
      </c>
      <c r="C51" t="s">
        <v>1466</v>
      </c>
      <c r="D51" s="258" t="s">
        <v>1463</v>
      </c>
      <c r="E51" t="s">
        <v>1621</v>
      </c>
      <c r="F51" s="320">
        <v>5413.0</v>
      </c>
      <c r="G51" s="258">
        <v>0.0</v>
      </c>
      <c r="H51" s="320">
        <v>500.0</v>
      </c>
      <c r="I51" s="320" t="s">
        <v>38</v>
      </c>
      <c r="K51" s="320" t="s">
        <v>1463</v>
      </c>
      <c r="L51" s="320" t="s">
        <v>1463</v>
      </c>
      <c r="M51" s="258">
        <v>0.0</v>
      </c>
      <c r="N51" s="320">
        <f t="shared" ref="N51:N57" si="10">round(F51-G51-H51-M51,0)</f>
        <v>4913</v>
      </c>
    </row>
    <row r="52" ht="15.75" customHeight="1">
      <c r="A52">
        <v>8.0</v>
      </c>
      <c r="B52" t="s">
        <v>569</v>
      </c>
      <c r="C52" t="s">
        <v>1622</v>
      </c>
      <c r="D52" s="258" t="s">
        <v>1463</v>
      </c>
      <c r="E52" t="s">
        <v>1623</v>
      </c>
      <c r="F52" s="258">
        <v>0.0</v>
      </c>
      <c r="G52" s="258">
        <v>0.0</v>
      </c>
      <c r="H52" s="258">
        <v>0.0</v>
      </c>
      <c r="I52" s="320" t="s">
        <v>1588</v>
      </c>
      <c r="K52" s="320" t="s">
        <v>1463</v>
      </c>
      <c r="L52" s="320" t="s">
        <v>1463</v>
      </c>
      <c r="M52" s="258">
        <v>0.0</v>
      </c>
      <c r="N52" s="320">
        <f t="shared" si="10"/>
        <v>0</v>
      </c>
    </row>
    <row r="53" ht="15.75" customHeight="1">
      <c r="A53">
        <v>12.0</v>
      </c>
      <c r="B53" t="s">
        <v>35</v>
      </c>
      <c r="C53" t="s">
        <v>1624</v>
      </c>
      <c r="D53" s="258" t="s">
        <v>1463</v>
      </c>
      <c r="F53" s="320">
        <v>7786.0</v>
      </c>
      <c r="G53" s="258">
        <v>0.0</v>
      </c>
      <c r="H53" s="320">
        <v>916.0</v>
      </c>
      <c r="I53" s="320" t="s">
        <v>38</v>
      </c>
      <c r="K53" s="320" t="s">
        <v>1463</v>
      </c>
      <c r="L53" s="320" t="s">
        <v>1463</v>
      </c>
      <c r="M53" s="258">
        <v>0.0</v>
      </c>
      <c r="N53" s="320">
        <f t="shared" si="10"/>
        <v>6870</v>
      </c>
    </row>
    <row r="54" ht="15.75" customHeight="1">
      <c r="A54">
        <v>14.0</v>
      </c>
      <c r="B54" t="s">
        <v>569</v>
      </c>
      <c r="C54" t="s">
        <v>1625</v>
      </c>
      <c r="D54" s="258" t="s">
        <v>1463</v>
      </c>
      <c r="E54" t="s">
        <v>1626</v>
      </c>
      <c r="F54" s="320">
        <v>4500.0</v>
      </c>
      <c r="G54" s="258">
        <f>round(F54*3%,0)</f>
        <v>135</v>
      </c>
      <c r="H54" s="320">
        <v>2000.0</v>
      </c>
      <c r="I54" s="320" t="s">
        <v>1627</v>
      </c>
      <c r="K54" s="320" t="s">
        <v>1463</v>
      </c>
      <c r="L54" s="320" t="s">
        <v>1463</v>
      </c>
      <c r="M54" s="258">
        <v>0.0</v>
      </c>
      <c r="N54" s="320">
        <f t="shared" si="10"/>
        <v>2365</v>
      </c>
    </row>
    <row r="55" ht="15.75" customHeight="1">
      <c r="A55">
        <v>19.0</v>
      </c>
      <c r="B55" t="s">
        <v>35</v>
      </c>
      <c r="C55" t="s">
        <v>1628</v>
      </c>
      <c r="D55" s="258" t="s">
        <v>1463</v>
      </c>
      <c r="E55" t="s">
        <v>1576</v>
      </c>
      <c r="F55" s="320">
        <v>10328.0</v>
      </c>
      <c r="G55" s="258">
        <v>0.0</v>
      </c>
      <c r="H55" s="320">
        <v>918.0</v>
      </c>
      <c r="I55" s="320" t="s">
        <v>38</v>
      </c>
      <c r="K55" s="320" t="s">
        <v>1463</v>
      </c>
      <c r="L55" s="320" t="s">
        <v>1463</v>
      </c>
      <c r="M55" s="258">
        <v>225.0</v>
      </c>
      <c r="N55" s="320">
        <f t="shared" si="10"/>
        <v>9185</v>
      </c>
    </row>
    <row r="56" ht="15.75" customHeight="1">
      <c r="A56">
        <v>20.0</v>
      </c>
      <c r="B56" t="s">
        <v>35</v>
      </c>
      <c r="C56" t="s">
        <v>1598</v>
      </c>
      <c r="D56" s="258" t="s">
        <v>1463</v>
      </c>
      <c r="E56" t="s">
        <v>1576</v>
      </c>
      <c r="F56" s="320">
        <v>9410.0</v>
      </c>
      <c r="G56" s="258">
        <v>0.0</v>
      </c>
      <c r="H56" s="320">
        <v>918.0</v>
      </c>
      <c r="I56" s="320" t="s">
        <v>38</v>
      </c>
      <c r="K56" s="320" t="s">
        <v>1463</v>
      </c>
      <c r="L56" s="320" t="s">
        <v>1463</v>
      </c>
      <c r="M56" s="258">
        <v>450.0</v>
      </c>
      <c r="N56" s="320">
        <f t="shared" si="10"/>
        <v>8042</v>
      </c>
    </row>
    <row r="57" ht="15.75" customHeight="1">
      <c r="A57">
        <v>26.0</v>
      </c>
      <c r="B57" t="s">
        <v>35</v>
      </c>
      <c r="C57" t="s">
        <v>1629</v>
      </c>
      <c r="D57" s="258" t="s">
        <v>1463</v>
      </c>
      <c r="E57" t="s">
        <v>1576</v>
      </c>
      <c r="F57" s="320">
        <v>10328.0</v>
      </c>
      <c r="G57" s="258">
        <v>0.0</v>
      </c>
      <c r="H57" s="320">
        <v>918.0</v>
      </c>
      <c r="I57" s="320" t="s">
        <v>38</v>
      </c>
      <c r="K57" s="320" t="s">
        <v>1463</v>
      </c>
      <c r="L57" s="320" t="s">
        <v>1463</v>
      </c>
      <c r="M57" s="258">
        <v>0.0</v>
      </c>
      <c r="N57" s="320">
        <f t="shared" si="10"/>
        <v>9410</v>
      </c>
    </row>
    <row r="58" ht="15.75" customHeight="1">
      <c r="A58" s="199" t="s">
        <v>47</v>
      </c>
      <c r="B58" s="199"/>
      <c r="C58" s="199"/>
      <c r="D58" s="199"/>
      <c r="E58" s="199"/>
      <c r="F58" s="199"/>
      <c r="G58" s="199"/>
      <c r="H58" s="199"/>
      <c r="I58" s="199"/>
      <c r="J58" s="199"/>
      <c r="K58" s="199"/>
      <c r="L58" s="199"/>
      <c r="M58" s="199"/>
      <c r="N58" s="199"/>
      <c r="O58" s="277"/>
      <c r="P58" s="277"/>
      <c r="Q58" s="277"/>
      <c r="R58" s="277"/>
      <c r="S58" s="277"/>
      <c r="T58" s="277"/>
      <c r="U58" s="277"/>
      <c r="V58" s="277"/>
      <c r="W58" s="277"/>
      <c r="X58" s="277"/>
    </row>
    <row r="59" ht="15.75" customHeight="1">
      <c r="A59">
        <v>2.0</v>
      </c>
      <c r="B59" t="s">
        <v>35</v>
      </c>
      <c r="C59" t="s">
        <v>1486</v>
      </c>
      <c r="D59" s="258" t="s">
        <v>1463</v>
      </c>
      <c r="E59" t="s">
        <v>1576</v>
      </c>
      <c r="F59" s="320">
        <v>10787.0</v>
      </c>
      <c r="G59" s="320">
        <v>0.0</v>
      </c>
      <c r="H59" s="320">
        <v>918.0</v>
      </c>
      <c r="I59" s="320" t="s">
        <v>38</v>
      </c>
      <c r="K59" s="320" t="s">
        <v>1463</v>
      </c>
      <c r="L59" s="320" t="s">
        <v>1463</v>
      </c>
      <c r="M59" s="258">
        <v>450.0</v>
      </c>
      <c r="N59" s="320">
        <f t="shared" ref="N59:N66" si="11">round(F59-G59-H59-M59,0)</f>
        <v>9419</v>
      </c>
    </row>
    <row r="60" ht="15.75" customHeight="1">
      <c r="A60">
        <v>3.0</v>
      </c>
      <c r="B60" t="s">
        <v>35</v>
      </c>
      <c r="C60" t="s">
        <v>87</v>
      </c>
      <c r="D60" s="258" t="s">
        <v>1630</v>
      </c>
      <c r="F60" s="320">
        <v>10260.0</v>
      </c>
      <c r="G60" s="258">
        <f>round(F60*3%,0)</f>
        <v>308</v>
      </c>
      <c r="H60" s="320">
        <v>912.0</v>
      </c>
      <c r="I60" s="320" t="s">
        <v>38</v>
      </c>
      <c r="K60" s="320" t="s">
        <v>1463</v>
      </c>
      <c r="L60" s="320" t="s">
        <v>1463</v>
      </c>
      <c r="M60" s="258">
        <v>0.0</v>
      </c>
      <c r="N60" s="320">
        <f t="shared" si="11"/>
        <v>9040</v>
      </c>
    </row>
    <row r="61" ht="15.75" customHeight="1">
      <c r="A61">
        <v>9.0</v>
      </c>
      <c r="B61" t="s">
        <v>35</v>
      </c>
      <c r="C61" t="s">
        <v>1078</v>
      </c>
      <c r="D61" s="258" t="s">
        <v>1463</v>
      </c>
      <c r="E61" t="s">
        <v>1576</v>
      </c>
      <c r="F61" s="320">
        <v>10120.0</v>
      </c>
      <c r="G61" s="320">
        <v>0.0</v>
      </c>
      <c r="H61" s="320">
        <v>920.0</v>
      </c>
      <c r="I61" s="320" t="s">
        <v>38</v>
      </c>
      <c r="K61" s="320" t="s">
        <v>1463</v>
      </c>
      <c r="L61" s="320" t="s">
        <v>1463</v>
      </c>
      <c r="M61" s="258">
        <v>0.0</v>
      </c>
      <c r="N61" s="320">
        <f t="shared" si="11"/>
        <v>9200</v>
      </c>
    </row>
    <row r="62" ht="15.75" customHeight="1">
      <c r="A62">
        <v>13.0</v>
      </c>
      <c r="B62" t="s">
        <v>854</v>
      </c>
      <c r="C62" t="s">
        <v>1631</v>
      </c>
      <c r="D62" s="258" t="s">
        <v>1463</v>
      </c>
      <c r="E62" t="s">
        <v>1632</v>
      </c>
      <c r="F62" s="320">
        <v>0.0</v>
      </c>
      <c r="G62" s="258">
        <f>round(F62*3%,0)</f>
        <v>0</v>
      </c>
      <c r="H62" s="320">
        <v>0.0</v>
      </c>
      <c r="I62" s="320" t="s">
        <v>1588</v>
      </c>
      <c r="K62" s="320" t="s">
        <v>1463</v>
      </c>
      <c r="L62" s="320" t="s">
        <v>1463</v>
      </c>
      <c r="M62" s="258">
        <v>0.0</v>
      </c>
      <c r="N62" s="320">
        <f t="shared" si="11"/>
        <v>0</v>
      </c>
    </row>
    <row r="63" ht="15.75" customHeight="1">
      <c r="A63">
        <v>16.0</v>
      </c>
      <c r="B63" t="s">
        <v>35</v>
      </c>
      <c r="C63" t="s">
        <v>1633</v>
      </c>
      <c r="D63" s="258" t="s">
        <v>1463</v>
      </c>
      <c r="E63" t="s">
        <v>1576</v>
      </c>
      <c r="F63" s="320">
        <v>11040.0</v>
      </c>
      <c r="G63" s="320">
        <v>0.0</v>
      </c>
      <c r="H63" s="320">
        <v>1610.0</v>
      </c>
      <c r="I63" s="320" t="s">
        <v>1634</v>
      </c>
      <c r="K63" s="320" t="s">
        <v>1463</v>
      </c>
      <c r="L63" s="320" t="s">
        <v>1463</v>
      </c>
      <c r="M63" s="258">
        <v>225.0</v>
      </c>
      <c r="N63" s="320">
        <f t="shared" si="11"/>
        <v>9205</v>
      </c>
    </row>
    <row r="64" ht="15.75" customHeight="1">
      <c r="A64">
        <v>17.0</v>
      </c>
      <c r="B64" t="s">
        <v>569</v>
      </c>
      <c r="C64" t="s">
        <v>1635</v>
      </c>
      <c r="D64" s="258" t="s">
        <v>1636</v>
      </c>
      <c r="E64" t="s">
        <v>1637</v>
      </c>
      <c r="F64" s="320">
        <v>5000.0</v>
      </c>
      <c r="G64" s="258">
        <f>round(F64*3%,0)</f>
        <v>150</v>
      </c>
      <c r="H64" s="320">
        <v>800.0</v>
      </c>
      <c r="I64" s="320" t="s">
        <v>1638</v>
      </c>
      <c r="K64" s="320" t="s">
        <v>1463</v>
      </c>
      <c r="L64" s="320" t="s">
        <v>1463</v>
      </c>
      <c r="M64" s="258">
        <v>0.0</v>
      </c>
      <c r="N64" s="320">
        <f t="shared" si="11"/>
        <v>4050</v>
      </c>
    </row>
    <row r="65" ht="15.75" customHeight="1">
      <c r="A65">
        <v>23.0</v>
      </c>
      <c r="B65" t="s">
        <v>35</v>
      </c>
      <c r="C65" t="s">
        <v>1486</v>
      </c>
      <c r="D65" s="258" t="s">
        <v>1463</v>
      </c>
      <c r="E65" t="s">
        <v>1639</v>
      </c>
      <c r="F65" s="320">
        <v>11040.0</v>
      </c>
      <c r="G65" s="320">
        <v>0.0</v>
      </c>
      <c r="H65" s="320">
        <v>1610.0</v>
      </c>
      <c r="I65" s="320" t="s">
        <v>1577</v>
      </c>
      <c r="K65" s="320" t="s">
        <v>1463</v>
      </c>
      <c r="L65" s="320" t="s">
        <v>1640</v>
      </c>
      <c r="M65" s="258">
        <v>225.0</v>
      </c>
      <c r="N65" s="320">
        <f t="shared" si="11"/>
        <v>9205</v>
      </c>
    </row>
    <row r="66" ht="15.75" customHeight="1">
      <c r="A66">
        <v>30.0</v>
      </c>
      <c r="B66" t="s">
        <v>35</v>
      </c>
      <c r="C66" t="s">
        <v>1641</v>
      </c>
      <c r="D66" s="258" t="s">
        <v>1463</v>
      </c>
      <c r="E66" t="s">
        <v>1639</v>
      </c>
      <c r="F66" s="320">
        <v>10350.0</v>
      </c>
      <c r="G66" s="320">
        <v>0.0</v>
      </c>
      <c r="H66" s="320">
        <v>920.0</v>
      </c>
      <c r="I66" s="320" t="s">
        <v>38</v>
      </c>
      <c r="K66" s="320" t="s">
        <v>1463</v>
      </c>
      <c r="L66" s="320" t="s">
        <v>1642</v>
      </c>
      <c r="M66" s="258">
        <v>225.0</v>
      </c>
      <c r="N66" s="320">
        <f t="shared" si="11"/>
        <v>9205</v>
      </c>
    </row>
    <row r="67" ht="15.75" customHeight="1">
      <c r="A67" s="199" t="s">
        <v>50</v>
      </c>
      <c r="B67" s="199"/>
      <c r="C67" s="199"/>
      <c r="D67" s="199"/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277"/>
      <c r="P67" s="277"/>
      <c r="Q67" s="277"/>
      <c r="R67" s="277"/>
      <c r="S67" s="277"/>
      <c r="T67" s="277"/>
      <c r="U67" s="277"/>
      <c r="V67" s="277"/>
      <c r="W67" s="277"/>
      <c r="X67" s="277"/>
    </row>
    <row r="68" ht="15.75" customHeight="1">
      <c r="A68">
        <v>3.0</v>
      </c>
      <c r="B68" t="s">
        <v>569</v>
      </c>
      <c r="C68" t="s">
        <v>1643</v>
      </c>
      <c r="D68" s="252" t="s">
        <v>1644</v>
      </c>
      <c r="E68" s="342" t="s">
        <v>1645</v>
      </c>
      <c r="F68" s="258">
        <v>0.0</v>
      </c>
      <c r="G68" s="258">
        <f t="shared" ref="G68:G72" si="12">round(F68*3%,0)</f>
        <v>0</v>
      </c>
      <c r="H68" s="258">
        <v>0.0</v>
      </c>
      <c r="I68" s="320" t="s">
        <v>1588</v>
      </c>
      <c r="K68" s="258">
        <f>round((F68-G68-H68)*20%,0)</f>
        <v>0</v>
      </c>
      <c r="L68" s="258" t="s">
        <v>1463</v>
      </c>
      <c r="M68" s="258">
        <v>0.0</v>
      </c>
      <c r="N68" s="258">
        <f>round(F68-G68-H68-K68-M68,0)</f>
        <v>0</v>
      </c>
    </row>
    <row r="69" ht="15.75" customHeight="1">
      <c r="A69">
        <v>14.0</v>
      </c>
      <c r="B69" t="s">
        <v>35</v>
      </c>
      <c r="C69" t="s">
        <v>1646</v>
      </c>
      <c r="D69" s="252" t="s">
        <v>1647</v>
      </c>
      <c r="E69" t="s">
        <v>1648</v>
      </c>
      <c r="F69" s="258">
        <v>10944.0</v>
      </c>
      <c r="G69" s="258">
        <f t="shared" si="12"/>
        <v>328</v>
      </c>
      <c r="H69" s="258">
        <v>1596.0</v>
      </c>
      <c r="I69" s="320" t="s">
        <v>1577</v>
      </c>
      <c r="K69" s="320" t="s">
        <v>1463</v>
      </c>
      <c r="L69" s="320" t="s">
        <v>1640</v>
      </c>
      <c r="M69" s="258">
        <v>0.0</v>
      </c>
      <c r="N69" s="320">
        <f t="shared" ref="N69:N70" si="13">round(F69-G69-H69-M69,0)</f>
        <v>9020</v>
      </c>
    </row>
    <row r="70" ht="15.75" customHeight="1">
      <c r="A70">
        <v>15.0</v>
      </c>
      <c r="B70" t="s">
        <v>35</v>
      </c>
      <c r="C70" t="s">
        <v>1078</v>
      </c>
      <c r="D70" s="252" t="s">
        <v>1649</v>
      </c>
      <c r="E70" t="s">
        <v>1648</v>
      </c>
      <c r="F70" s="258">
        <v>10327.0</v>
      </c>
      <c r="G70" s="258">
        <f t="shared" si="12"/>
        <v>310</v>
      </c>
      <c r="H70" s="258">
        <v>920.0</v>
      </c>
      <c r="I70" s="320" t="s">
        <v>38</v>
      </c>
      <c r="K70" s="320" t="s">
        <v>1463</v>
      </c>
      <c r="L70" s="320" t="s">
        <v>1642</v>
      </c>
      <c r="M70" s="258">
        <v>0.0</v>
      </c>
      <c r="N70" s="320">
        <f t="shared" si="13"/>
        <v>9097</v>
      </c>
    </row>
    <row r="71" ht="15.75" customHeight="1">
      <c r="A71">
        <v>20.0</v>
      </c>
      <c r="B71" t="s">
        <v>569</v>
      </c>
      <c r="C71" t="s">
        <v>1650</v>
      </c>
      <c r="D71" s="258" t="s">
        <v>1463</v>
      </c>
      <c r="E71" t="s">
        <v>1651</v>
      </c>
      <c r="F71" s="258">
        <v>0.0</v>
      </c>
      <c r="G71" s="258">
        <f t="shared" si="12"/>
        <v>0</v>
      </c>
      <c r="H71" s="258">
        <v>0.0</v>
      </c>
      <c r="I71" s="320" t="s">
        <v>1588</v>
      </c>
      <c r="K71" s="258">
        <f>round((F71-G71-H71)*20%,0)</f>
        <v>0</v>
      </c>
      <c r="L71" s="258" t="s">
        <v>1463</v>
      </c>
      <c r="M71" s="258">
        <v>0.0</v>
      </c>
      <c r="N71" s="258">
        <f>round(F71-G71-H71-K71-M71,0)</f>
        <v>0</v>
      </c>
    </row>
    <row r="72" ht="15.75" customHeight="1">
      <c r="A72">
        <v>21.0</v>
      </c>
      <c r="B72" t="s">
        <v>35</v>
      </c>
      <c r="C72" t="s">
        <v>1652</v>
      </c>
      <c r="D72" s="252" t="s">
        <v>1653</v>
      </c>
      <c r="E72" t="s">
        <v>1648</v>
      </c>
      <c r="F72" s="258">
        <v>10944.0</v>
      </c>
      <c r="G72" s="258">
        <f t="shared" si="12"/>
        <v>328</v>
      </c>
      <c r="H72" s="258">
        <v>1596.0</v>
      </c>
      <c r="I72" s="320" t="s">
        <v>1577</v>
      </c>
      <c r="K72" s="320" t="s">
        <v>1463</v>
      </c>
      <c r="L72" s="320" t="s">
        <v>1640</v>
      </c>
      <c r="M72" s="258">
        <v>0.0</v>
      </c>
      <c r="N72" s="320">
        <f>round(F72-G72-H72-M72,0)</f>
        <v>9020</v>
      </c>
    </row>
    <row r="73" ht="15.75" customHeight="1">
      <c r="A73">
        <v>27.0</v>
      </c>
      <c r="B73" t="s">
        <v>569</v>
      </c>
      <c r="C73" t="s">
        <v>1261</v>
      </c>
      <c r="D73" s="252" t="s">
        <v>1644</v>
      </c>
      <c r="E73" t="s">
        <v>1654</v>
      </c>
      <c r="F73" s="258">
        <v>1000.0</v>
      </c>
      <c r="G73" s="258">
        <v>0.0</v>
      </c>
      <c r="H73" s="258">
        <v>1000.0</v>
      </c>
      <c r="I73" s="320" t="s">
        <v>1655</v>
      </c>
      <c r="K73" s="258">
        <f>round((F73-G73-H73)*20%,0)</f>
        <v>0</v>
      </c>
      <c r="L73" s="258" t="s">
        <v>1463</v>
      </c>
      <c r="M73" s="258">
        <v>0.0</v>
      </c>
      <c r="N73" s="258">
        <f>round(F73-G73-H73-K73-M73,0)</f>
        <v>0</v>
      </c>
    </row>
    <row r="74" ht="15.75" customHeight="1">
      <c r="A74">
        <v>28.0</v>
      </c>
      <c r="B74" t="s">
        <v>35</v>
      </c>
      <c r="C74" t="s">
        <v>1078</v>
      </c>
      <c r="D74" s="258" t="s">
        <v>1463</v>
      </c>
      <c r="E74" t="s">
        <v>1639</v>
      </c>
      <c r="F74" s="258">
        <v>10350.0</v>
      </c>
      <c r="G74" s="320">
        <v>0.0</v>
      </c>
      <c r="H74" s="258">
        <v>920.0</v>
      </c>
      <c r="I74" s="320" t="s">
        <v>38</v>
      </c>
      <c r="K74" s="320" t="s">
        <v>1463</v>
      </c>
      <c r="L74" s="320" t="s">
        <v>1642</v>
      </c>
      <c r="M74" s="258">
        <v>0.0</v>
      </c>
      <c r="N74" s="320">
        <f>round(F74-G74-H74-M74,0)</f>
        <v>9430</v>
      </c>
    </row>
    <row r="75" ht="15.75" customHeight="1">
      <c r="A75" s="199" t="s">
        <v>97</v>
      </c>
      <c r="B75" s="199"/>
      <c r="C75" s="199"/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277"/>
      <c r="P75" s="277"/>
      <c r="Q75" s="277"/>
      <c r="R75" s="277"/>
      <c r="S75" s="277"/>
      <c r="T75" s="277"/>
      <c r="U75" s="277"/>
      <c r="V75" s="277"/>
      <c r="W75" s="277"/>
      <c r="X75" s="277"/>
    </row>
    <row r="76" ht="15.75" customHeight="1">
      <c r="A76">
        <v>4.0</v>
      </c>
      <c r="B76" t="s">
        <v>35</v>
      </c>
      <c r="C76" t="s">
        <v>1321</v>
      </c>
      <c r="D76" s="252" t="s">
        <v>1656</v>
      </c>
      <c r="E76" t="s">
        <v>1648</v>
      </c>
      <c r="F76" s="258">
        <v>10896.0</v>
      </c>
      <c r="G76" s="258">
        <f t="shared" ref="G76:G79" si="14">round(F76*3%,0)</f>
        <v>327</v>
      </c>
      <c r="H76" s="258">
        <v>1596.0</v>
      </c>
      <c r="I76" s="320" t="s">
        <v>1577</v>
      </c>
      <c r="K76" s="320" t="s">
        <v>1463</v>
      </c>
      <c r="L76" s="320" t="s">
        <v>1640</v>
      </c>
      <c r="M76" s="258">
        <v>0.0</v>
      </c>
      <c r="N76" s="320">
        <f t="shared" ref="N76:N78" si="15">round(F76-G76-H76-M76,0)</f>
        <v>8973</v>
      </c>
    </row>
    <row r="77" ht="15.75" customHeight="1">
      <c r="A77">
        <v>11.0</v>
      </c>
      <c r="B77" t="s">
        <v>35</v>
      </c>
      <c r="C77" t="s">
        <v>1078</v>
      </c>
      <c r="D77" s="252" t="s">
        <v>1657</v>
      </c>
      <c r="E77" t="s">
        <v>1648</v>
      </c>
      <c r="F77" s="258">
        <v>10170.0</v>
      </c>
      <c r="G77" s="258">
        <f t="shared" si="14"/>
        <v>305</v>
      </c>
      <c r="H77" s="258">
        <v>904.0</v>
      </c>
      <c r="I77" s="320" t="s">
        <v>38</v>
      </c>
      <c r="K77" s="320" t="s">
        <v>1463</v>
      </c>
      <c r="L77" s="320" t="s">
        <v>1642</v>
      </c>
      <c r="M77" s="258">
        <v>0.0</v>
      </c>
      <c r="N77" s="320">
        <f t="shared" si="15"/>
        <v>8961</v>
      </c>
    </row>
    <row r="78" ht="15.75" customHeight="1">
      <c r="A78">
        <v>18.0</v>
      </c>
      <c r="B78" t="s">
        <v>70</v>
      </c>
      <c r="C78" t="s">
        <v>1658</v>
      </c>
      <c r="D78" s="252" t="s">
        <v>1659</v>
      </c>
      <c r="E78" t="s">
        <v>1648</v>
      </c>
      <c r="F78" s="258">
        <v>11112.0</v>
      </c>
      <c r="G78" s="258">
        <f t="shared" si="14"/>
        <v>333</v>
      </c>
      <c r="H78" s="258">
        <v>1620.0</v>
      </c>
      <c r="I78" s="320" t="s">
        <v>1577</v>
      </c>
      <c r="K78" s="320" t="s">
        <v>1463</v>
      </c>
      <c r="L78" s="320" t="s">
        <v>1640</v>
      </c>
      <c r="M78" s="258">
        <v>0.0</v>
      </c>
      <c r="N78" s="320">
        <f t="shared" si="15"/>
        <v>9159</v>
      </c>
    </row>
    <row r="79" ht="15.75" customHeight="1">
      <c r="A79">
        <v>24.0</v>
      </c>
      <c r="B79" t="s">
        <v>569</v>
      </c>
      <c r="C79" t="s">
        <v>1660</v>
      </c>
      <c r="D79" s="252" t="s">
        <v>1661</v>
      </c>
      <c r="E79" t="s">
        <v>1662</v>
      </c>
      <c r="F79" s="258">
        <v>3000.0</v>
      </c>
      <c r="G79" s="258">
        <f t="shared" si="14"/>
        <v>90</v>
      </c>
      <c r="H79" s="258">
        <v>900.0</v>
      </c>
      <c r="I79" s="320" t="s">
        <v>1663</v>
      </c>
      <c r="K79" s="258">
        <f>round((F79-G79-H79)*20%,0)</f>
        <v>402</v>
      </c>
      <c r="L79" s="258" t="s">
        <v>1463</v>
      </c>
      <c r="M79" s="258">
        <v>0.0</v>
      </c>
      <c r="N79" s="258">
        <f>round(F79-G79-H79-K79-M79,0)</f>
        <v>1608</v>
      </c>
    </row>
    <row r="80" ht="15.75" customHeight="1">
      <c r="A80" s="199" t="s">
        <v>52</v>
      </c>
      <c r="B80" s="199"/>
      <c r="C80" s="199"/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277"/>
      <c r="P80" s="277"/>
      <c r="Q80" s="277"/>
      <c r="R80" s="277"/>
      <c r="S80" s="277"/>
      <c r="T80" s="277"/>
      <c r="U80" s="277"/>
      <c r="V80" s="277"/>
      <c r="W80" s="277"/>
      <c r="X80" s="277"/>
    </row>
    <row r="81" ht="15.75" customHeight="1">
      <c r="A81">
        <v>8.0</v>
      </c>
      <c r="B81" t="s">
        <v>854</v>
      </c>
      <c r="C81" t="s">
        <v>1565</v>
      </c>
      <c r="D81" s="252" t="s">
        <v>1664</v>
      </c>
      <c r="E81" t="s">
        <v>1665</v>
      </c>
      <c r="F81" s="258">
        <v>9180.0</v>
      </c>
      <c r="G81" s="258">
        <f t="shared" ref="G81:G82" si="16">round(F81*3%,0)</f>
        <v>275</v>
      </c>
      <c r="H81" s="258">
        <v>918.0</v>
      </c>
      <c r="I81" s="320" t="s">
        <v>38</v>
      </c>
      <c r="K81" s="320" t="s">
        <v>1463</v>
      </c>
      <c r="L81" s="320" t="s">
        <v>1666</v>
      </c>
      <c r="M81" s="258">
        <v>0.0</v>
      </c>
      <c r="N81" s="320">
        <f>round(F81-G81-H81-M81,0)</f>
        <v>7987</v>
      </c>
    </row>
    <row r="82" ht="15.75" customHeight="1">
      <c r="A82">
        <v>8.0</v>
      </c>
      <c r="B82" t="s">
        <v>854</v>
      </c>
      <c r="C82" t="s">
        <v>1667</v>
      </c>
      <c r="D82" s="252" t="s">
        <v>1668</v>
      </c>
      <c r="E82" t="s">
        <v>1669</v>
      </c>
      <c r="F82" s="258">
        <v>6484.0</v>
      </c>
      <c r="G82" s="258">
        <f t="shared" si="16"/>
        <v>195</v>
      </c>
      <c r="H82" s="258">
        <v>920.0</v>
      </c>
      <c r="I82" s="320" t="s">
        <v>38</v>
      </c>
      <c r="K82" s="258">
        <f t="shared" ref="K82:K87" si="17">round((F82-G82-H82)*20%,0)</f>
        <v>1074</v>
      </c>
      <c r="L82" s="258" t="s">
        <v>1463</v>
      </c>
      <c r="M82" s="258">
        <v>0.0</v>
      </c>
      <c r="N82" s="258">
        <f t="shared" ref="N82:N87" si="18">round(F82-G82-H82-K82-M82,0)</f>
        <v>4295</v>
      </c>
    </row>
    <row r="83" ht="15.75" customHeight="1">
      <c r="A83">
        <v>10.0</v>
      </c>
      <c r="B83" t="s">
        <v>569</v>
      </c>
      <c r="C83" t="s">
        <v>1466</v>
      </c>
      <c r="D83" s="258" t="s">
        <v>1463</v>
      </c>
      <c r="E83" t="s">
        <v>1670</v>
      </c>
      <c r="F83" s="258">
        <v>4500.0</v>
      </c>
      <c r="G83" s="258">
        <v>0.0</v>
      </c>
      <c r="H83" s="258">
        <v>500.0</v>
      </c>
      <c r="I83" s="320" t="s">
        <v>38</v>
      </c>
      <c r="K83" s="258">
        <f t="shared" si="17"/>
        <v>800</v>
      </c>
      <c r="L83" s="258" t="s">
        <v>1463</v>
      </c>
      <c r="M83" s="258">
        <v>0.0</v>
      </c>
      <c r="N83" s="258">
        <f t="shared" si="18"/>
        <v>3200</v>
      </c>
    </row>
    <row r="84" ht="15.75" customHeight="1">
      <c r="A84">
        <v>13.0</v>
      </c>
      <c r="B84" t="s">
        <v>854</v>
      </c>
      <c r="C84" t="s">
        <v>1616</v>
      </c>
      <c r="D84" s="252" t="s">
        <v>1671</v>
      </c>
      <c r="F84" s="258">
        <v>7820.0</v>
      </c>
      <c r="G84" s="258">
        <f t="shared" ref="G84:G87" si="19">round(F84*3%,0)</f>
        <v>235</v>
      </c>
      <c r="H84" s="258">
        <v>920.0</v>
      </c>
      <c r="I84" s="320" t="s">
        <v>38</v>
      </c>
      <c r="K84" s="258">
        <f t="shared" si="17"/>
        <v>1333</v>
      </c>
      <c r="L84" s="258" t="s">
        <v>1463</v>
      </c>
      <c r="M84" s="258">
        <v>0.0</v>
      </c>
      <c r="N84" s="258">
        <f t="shared" si="18"/>
        <v>5332</v>
      </c>
    </row>
    <row r="85" ht="15.75" customHeight="1">
      <c r="A85">
        <v>13.0</v>
      </c>
      <c r="B85" t="s">
        <v>854</v>
      </c>
      <c r="C85" t="s">
        <v>1672</v>
      </c>
      <c r="D85" s="252" t="s">
        <v>1673</v>
      </c>
      <c r="E85" t="s">
        <v>1674</v>
      </c>
      <c r="F85" s="258">
        <v>6717.0</v>
      </c>
      <c r="G85" s="258">
        <f t="shared" si="19"/>
        <v>202</v>
      </c>
      <c r="H85" s="258">
        <v>920.0</v>
      </c>
      <c r="I85" s="320" t="s">
        <v>38</v>
      </c>
      <c r="K85" s="258">
        <f t="shared" si="17"/>
        <v>1119</v>
      </c>
      <c r="L85" s="258" t="s">
        <v>1463</v>
      </c>
      <c r="M85" s="258">
        <v>0.0</v>
      </c>
      <c r="N85" s="258">
        <f t="shared" si="18"/>
        <v>4476</v>
      </c>
    </row>
    <row r="86" ht="15.75" customHeight="1">
      <c r="A86">
        <v>15.0</v>
      </c>
      <c r="B86" t="s">
        <v>854</v>
      </c>
      <c r="C86" t="s">
        <v>1578</v>
      </c>
      <c r="D86" s="252" t="s">
        <v>1675</v>
      </c>
      <c r="E86" t="s">
        <v>1676</v>
      </c>
      <c r="F86" s="258">
        <v>8487.0</v>
      </c>
      <c r="G86" s="258">
        <f t="shared" si="19"/>
        <v>255</v>
      </c>
      <c r="H86" s="258">
        <v>1603.0</v>
      </c>
      <c r="I86" s="320" t="s">
        <v>1577</v>
      </c>
      <c r="K86" s="258">
        <f t="shared" si="17"/>
        <v>1326</v>
      </c>
      <c r="L86" s="258" t="s">
        <v>1463</v>
      </c>
      <c r="M86" s="258">
        <v>0.0</v>
      </c>
      <c r="N86" s="258">
        <f t="shared" si="18"/>
        <v>5303</v>
      </c>
    </row>
    <row r="87" ht="15.75" customHeight="1">
      <c r="A87">
        <v>31.0</v>
      </c>
      <c r="B87" t="s">
        <v>854</v>
      </c>
      <c r="C87" t="s">
        <v>1677</v>
      </c>
      <c r="D87" s="252" t="s">
        <v>1678</v>
      </c>
      <c r="E87" t="s">
        <v>105</v>
      </c>
      <c r="F87" s="320">
        <v>15180.0</v>
      </c>
      <c r="G87" s="320">
        <f t="shared" si="19"/>
        <v>455</v>
      </c>
      <c r="H87" s="320">
        <v>2300.0</v>
      </c>
      <c r="I87" s="320" t="s">
        <v>1577</v>
      </c>
      <c r="K87" s="320">
        <f t="shared" si="17"/>
        <v>2485</v>
      </c>
      <c r="L87" s="258" t="s">
        <v>1463</v>
      </c>
      <c r="M87" s="320">
        <v>0.0</v>
      </c>
      <c r="N87" s="320">
        <f t="shared" si="18"/>
        <v>9940</v>
      </c>
    </row>
    <row r="88" ht="15.75" customHeight="1">
      <c r="A88">
        <v>31.0</v>
      </c>
      <c r="B88" t="s">
        <v>854</v>
      </c>
      <c r="C88" t="s">
        <v>1318</v>
      </c>
      <c r="D88" s="252" t="s">
        <v>1678</v>
      </c>
      <c r="E88" t="s">
        <v>105</v>
      </c>
      <c r="L88" s="258" t="s">
        <v>1463</v>
      </c>
    </row>
    <row r="89" ht="15.75" customHeight="1"/>
    <row r="90" ht="15.75" customHeight="1"/>
    <row r="91" ht="15.75" customHeight="1">
      <c r="A91" t="s">
        <v>1679</v>
      </c>
      <c r="D91">
        <f>sum(F:F)</f>
        <v>554766</v>
      </c>
    </row>
    <row r="92" ht="15.75" customHeight="1">
      <c r="A92" t="s">
        <v>1680</v>
      </c>
      <c r="D92">
        <f>sum(G:G)</f>
        <v>5601</v>
      </c>
    </row>
    <row r="93" ht="15.75" customHeight="1">
      <c r="A93" t="s">
        <v>0</v>
      </c>
      <c r="D93">
        <f>sum(H:H)</f>
        <v>79821</v>
      </c>
    </row>
    <row r="94" ht="15.75" customHeight="1">
      <c r="A94" t="s">
        <v>1681</v>
      </c>
      <c r="D94">
        <f>sum(K65:K1072)</f>
        <v>8539</v>
      </c>
      <c r="E94" s="343" t="s">
        <v>1682</v>
      </c>
      <c r="N94">
        <f>SUM(N4:N88)/4.5</f>
        <v>101084.4444</v>
      </c>
    </row>
    <row r="95" ht="15.75" customHeight="1">
      <c r="A95" t="s">
        <v>12</v>
      </c>
      <c r="D95">
        <f>sum(M:M)</f>
        <v>5925</v>
      </c>
    </row>
    <row r="96" ht="15.75" customHeight="1"/>
    <row r="97" ht="15.75" customHeight="1"/>
    <row r="98" ht="15.75" customHeight="1">
      <c r="A98" t="s">
        <v>17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7">
    <mergeCell ref="I44:J44"/>
    <mergeCell ref="I45:J45"/>
    <mergeCell ref="I46:J46"/>
    <mergeCell ref="I47:J47"/>
    <mergeCell ref="I48:J48"/>
    <mergeCell ref="I49:J49"/>
    <mergeCell ref="I51:J51"/>
    <mergeCell ref="I52:J52"/>
    <mergeCell ref="I53:J53"/>
    <mergeCell ref="I54:J54"/>
    <mergeCell ref="I55:J55"/>
    <mergeCell ref="I56:J56"/>
    <mergeCell ref="I57:J57"/>
    <mergeCell ref="I59:J59"/>
    <mergeCell ref="I60:J60"/>
    <mergeCell ref="I61:J61"/>
    <mergeCell ref="I62:J62"/>
    <mergeCell ref="I63:J63"/>
    <mergeCell ref="I64:J64"/>
    <mergeCell ref="I65:J65"/>
    <mergeCell ref="I66:J66"/>
    <mergeCell ref="I68:J68"/>
    <mergeCell ref="I69:J69"/>
    <mergeCell ref="I70:J70"/>
    <mergeCell ref="I71:J71"/>
    <mergeCell ref="I72:J72"/>
    <mergeCell ref="I73:J73"/>
    <mergeCell ref="I74:J74"/>
    <mergeCell ref="I76:J76"/>
    <mergeCell ref="I77:J77"/>
    <mergeCell ref="I78:J78"/>
    <mergeCell ref="I79:J79"/>
    <mergeCell ref="I81:J81"/>
    <mergeCell ref="I82:J82"/>
    <mergeCell ref="I83:J83"/>
    <mergeCell ref="K87:K88"/>
    <mergeCell ref="M87:M88"/>
    <mergeCell ref="N87:N88"/>
    <mergeCell ref="A91:C91"/>
    <mergeCell ref="A92:C92"/>
    <mergeCell ref="A93:C93"/>
    <mergeCell ref="A94:C94"/>
    <mergeCell ref="A95:C95"/>
    <mergeCell ref="A96:D97"/>
    <mergeCell ref="A98:C98"/>
    <mergeCell ref="I84:J84"/>
    <mergeCell ref="I85:J85"/>
    <mergeCell ref="I86:J86"/>
    <mergeCell ref="F87:F88"/>
    <mergeCell ref="G87:G88"/>
    <mergeCell ref="H87:H88"/>
    <mergeCell ref="I87:J88"/>
    <mergeCell ref="H1:J1"/>
    <mergeCell ref="K1:L1"/>
    <mergeCell ref="M1:N1"/>
    <mergeCell ref="A1:A2"/>
    <mergeCell ref="B1:B2"/>
    <mergeCell ref="C1:C2"/>
    <mergeCell ref="D1:D2"/>
    <mergeCell ref="E1:E2"/>
    <mergeCell ref="F1:F2"/>
    <mergeCell ref="G1:G2"/>
    <mergeCell ref="I2:J2"/>
    <mergeCell ref="I4:J4"/>
    <mergeCell ref="I5:J5"/>
    <mergeCell ref="I6:J6"/>
    <mergeCell ref="I7:J7"/>
    <mergeCell ref="I9:J9"/>
    <mergeCell ref="I10:J10"/>
    <mergeCell ref="I11:J11"/>
    <mergeCell ref="I12:J12"/>
    <mergeCell ref="I13:J13"/>
    <mergeCell ref="I15:J15"/>
    <mergeCell ref="I16:J16"/>
    <mergeCell ref="I18:J18"/>
    <mergeCell ref="I19:J19"/>
    <mergeCell ref="I20:J20"/>
    <mergeCell ref="I21:J21"/>
    <mergeCell ref="I23:J23"/>
    <mergeCell ref="I24:J24"/>
    <mergeCell ref="I25:J25"/>
    <mergeCell ref="I26:J26"/>
    <mergeCell ref="I27:J27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40:J40"/>
    <mergeCell ref="I41:J41"/>
    <mergeCell ref="I42:J42"/>
    <mergeCell ref="I43:J43"/>
  </mergeCells>
  <hyperlinks>
    <hyperlink r:id="rId1" ref="E68"/>
  </hyperlin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0.25"/>
    <col customWidth="1" min="4" max="5" width="12.63"/>
    <col customWidth="1" min="6" max="6" width="45.63"/>
    <col customWidth="1" min="7" max="10" width="12.63"/>
  </cols>
  <sheetData>
    <row r="1" ht="15.75" customHeight="1">
      <c r="A1" s="259" t="s">
        <v>863</v>
      </c>
      <c r="B1" s="138"/>
      <c r="C1" s="57"/>
      <c r="D1" s="344" t="s">
        <v>0</v>
      </c>
      <c r="E1" s="138"/>
      <c r="F1" s="57"/>
      <c r="G1" s="125"/>
      <c r="H1" s="125"/>
      <c r="I1" s="125"/>
    </row>
    <row r="2" ht="15.75" customHeight="1">
      <c r="A2" s="60"/>
      <c r="B2" s="141"/>
      <c r="C2" s="142"/>
      <c r="D2" s="141"/>
      <c r="E2" s="141"/>
      <c r="F2" s="142"/>
      <c r="G2" s="125"/>
      <c r="H2" s="125"/>
      <c r="I2" s="125"/>
    </row>
    <row r="3" ht="15.75" customHeight="1">
      <c r="A3" s="345" t="s">
        <v>154</v>
      </c>
      <c r="B3" s="345" t="s">
        <v>1</v>
      </c>
      <c r="C3" s="345" t="s">
        <v>5</v>
      </c>
      <c r="D3" s="345" t="s">
        <v>154</v>
      </c>
      <c r="E3" s="345" t="s">
        <v>1</v>
      </c>
      <c r="F3" s="345" t="s">
        <v>5</v>
      </c>
      <c r="G3" s="125"/>
      <c r="H3" s="125"/>
      <c r="I3" s="125"/>
    </row>
    <row r="4" ht="15.75" customHeight="1">
      <c r="A4" s="261">
        <v>1105.0</v>
      </c>
      <c r="B4" s="123" t="s">
        <v>1683</v>
      </c>
      <c r="C4" s="123" t="s">
        <v>1684</v>
      </c>
      <c r="D4" s="261">
        <v>2005.0</v>
      </c>
      <c r="E4" s="123" t="s">
        <v>1685</v>
      </c>
      <c r="F4" s="123" t="s">
        <v>1686</v>
      </c>
      <c r="G4" s="125"/>
      <c r="I4" s="125" t="s">
        <v>867</v>
      </c>
      <c r="J4" s="126">
        <f>sum(D:D)</f>
        <v>2355</v>
      </c>
    </row>
    <row r="5" ht="15.75" customHeight="1">
      <c r="A5" s="261">
        <v>600.0</v>
      </c>
      <c r="B5" s="123" t="s">
        <v>1683</v>
      </c>
      <c r="C5" s="123" t="s">
        <v>1687</v>
      </c>
      <c r="D5" s="261">
        <v>350.0</v>
      </c>
      <c r="E5" s="123" t="s">
        <v>1688</v>
      </c>
      <c r="F5" s="123" t="s">
        <v>1689</v>
      </c>
      <c r="G5" s="125"/>
      <c r="I5" s="125" t="s">
        <v>871</v>
      </c>
      <c r="J5" s="126">
        <f>sum(A:A)</f>
        <v>2005</v>
      </c>
    </row>
    <row r="6" ht="15.75" customHeight="1">
      <c r="A6" s="261">
        <v>300.0</v>
      </c>
      <c r="B6" s="123" t="s">
        <v>1690</v>
      </c>
      <c r="C6" s="123" t="s">
        <v>1691</v>
      </c>
      <c r="D6" s="261"/>
      <c r="E6" s="125"/>
      <c r="F6" s="125"/>
      <c r="G6" s="125"/>
      <c r="I6" s="125"/>
      <c r="J6" s="125"/>
    </row>
    <row r="7" ht="15.75" customHeight="1">
      <c r="A7" s="261"/>
      <c r="B7" s="123"/>
      <c r="C7" s="123"/>
      <c r="D7" s="265"/>
      <c r="E7" s="125"/>
      <c r="F7" s="125"/>
      <c r="G7" s="125"/>
      <c r="I7" s="125" t="s">
        <v>877</v>
      </c>
      <c r="J7" s="126">
        <f>J5-J4</f>
        <v>-350</v>
      </c>
    </row>
    <row r="8" ht="15.75" customHeight="1">
      <c r="A8" s="261"/>
      <c r="B8" s="123"/>
      <c r="C8" s="123"/>
      <c r="D8" s="125"/>
      <c r="E8" s="125"/>
      <c r="F8" s="125"/>
      <c r="G8" s="125"/>
      <c r="I8" s="125"/>
      <c r="J8" s="126"/>
    </row>
    <row r="9" ht="15.75" customHeight="1">
      <c r="A9" s="261"/>
      <c r="B9" s="123"/>
      <c r="C9" s="123"/>
      <c r="D9" s="265"/>
      <c r="E9" s="125"/>
      <c r="F9" s="125"/>
      <c r="G9" s="125"/>
      <c r="I9" s="125"/>
      <c r="J9" s="125"/>
    </row>
    <row r="10" ht="15.75" customHeight="1">
      <c r="A10" s="261"/>
      <c r="B10" s="123"/>
      <c r="C10" s="123"/>
      <c r="D10" s="265"/>
      <c r="E10" s="125"/>
      <c r="F10" s="125"/>
      <c r="G10" s="125"/>
    </row>
    <row r="11" ht="15.75" customHeight="1">
      <c r="A11" s="125"/>
      <c r="B11" s="125"/>
      <c r="C11" s="125"/>
      <c r="D11" s="125"/>
      <c r="E11" s="125"/>
      <c r="F11" s="125"/>
      <c r="G11" s="125"/>
      <c r="I11" s="125"/>
      <c r="J11" s="126"/>
    </row>
    <row r="12" ht="15.75" customHeight="1">
      <c r="A12" s="265"/>
      <c r="B12" s="125"/>
      <c r="C12" s="125"/>
      <c r="D12" s="265"/>
      <c r="E12" s="125"/>
      <c r="F12" s="125"/>
      <c r="G12" s="125"/>
      <c r="H12" s="125"/>
      <c r="I12" s="125"/>
    </row>
    <row r="13" ht="15.75" customHeight="1">
      <c r="A13" s="125"/>
      <c r="B13" s="125"/>
      <c r="C13" s="125"/>
      <c r="D13" s="265"/>
      <c r="E13" s="125"/>
      <c r="F13" s="125"/>
      <c r="G13" s="125"/>
      <c r="H13" s="125"/>
      <c r="I13" s="125"/>
    </row>
    <row r="14" ht="15.75" customHeight="1">
      <c r="A14" s="125"/>
      <c r="B14" s="125"/>
      <c r="C14" s="125"/>
      <c r="D14" s="265"/>
      <c r="E14" s="125"/>
      <c r="F14" s="125"/>
      <c r="G14" s="125"/>
      <c r="H14" s="125"/>
      <c r="I14" s="125"/>
    </row>
    <row r="15" ht="15.75" customHeight="1">
      <c r="A15" s="125"/>
      <c r="B15" s="125"/>
      <c r="C15" s="125"/>
      <c r="D15" s="265"/>
      <c r="E15" s="125"/>
      <c r="F15" s="125"/>
      <c r="G15" s="125"/>
      <c r="H15" s="125"/>
      <c r="I15" s="125"/>
    </row>
    <row r="16" ht="15.75" customHeight="1">
      <c r="A16" s="125"/>
      <c r="B16" s="125"/>
      <c r="C16" s="125"/>
      <c r="D16" s="125"/>
      <c r="E16" s="125"/>
      <c r="F16" s="125"/>
      <c r="G16" s="125"/>
      <c r="H16" s="125"/>
      <c r="I16" s="125"/>
    </row>
    <row r="17" ht="15.75" customHeight="1">
      <c r="A17" s="125"/>
      <c r="B17" s="125"/>
      <c r="C17" s="125"/>
      <c r="D17" s="265"/>
      <c r="E17" s="125"/>
      <c r="F17" s="125"/>
      <c r="G17" s="125"/>
      <c r="H17" s="125"/>
      <c r="I17" s="125"/>
    </row>
    <row r="18" ht="15.75" customHeight="1">
      <c r="A18" s="125"/>
      <c r="B18" s="125"/>
      <c r="C18" s="125"/>
      <c r="D18" s="265"/>
      <c r="E18" s="125"/>
      <c r="F18" s="125"/>
      <c r="G18" s="125"/>
      <c r="H18" s="125"/>
      <c r="I18" s="125"/>
    </row>
    <row r="19" ht="15.75" customHeight="1">
      <c r="A19" s="125"/>
      <c r="B19" s="125"/>
      <c r="C19" s="125"/>
      <c r="D19" s="265"/>
      <c r="E19" s="125"/>
      <c r="F19" s="125"/>
      <c r="G19" s="125"/>
      <c r="H19" s="125"/>
      <c r="I19" s="125"/>
    </row>
    <row r="20" ht="15.75" customHeight="1">
      <c r="A20" s="125"/>
      <c r="B20" s="125"/>
      <c r="C20" s="125"/>
      <c r="D20" s="265"/>
      <c r="E20" s="125"/>
      <c r="F20" s="125"/>
      <c r="G20" s="125"/>
      <c r="H20" s="125"/>
      <c r="I20" s="125"/>
    </row>
    <row r="21" ht="15.75" customHeight="1">
      <c r="A21" s="125"/>
      <c r="B21" s="125"/>
      <c r="C21" s="125"/>
      <c r="D21" s="265"/>
      <c r="E21" s="125"/>
      <c r="F21" s="125"/>
      <c r="G21" s="125"/>
      <c r="H21" s="125"/>
      <c r="I21" s="125"/>
    </row>
    <row r="22" ht="15.75" customHeight="1">
      <c r="A22" s="265"/>
      <c r="B22" s="125"/>
      <c r="C22" s="125"/>
      <c r="D22" s="265"/>
      <c r="E22" s="125"/>
      <c r="F22" s="125"/>
      <c r="G22" s="125"/>
      <c r="H22" s="125"/>
      <c r="I22" s="125"/>
    </row>
    <row r="23" ht="15.75" customHeight="1">
      <c r="A23" s="125"/>
      <c r="B23" s="125"/>
      <c r="C23" s="125"/>
      <c r="D23" s="265"/>
      <c r="E23" s="125"/>
      <c r="F23" s="125"/>
      <c r="G23" s="125"/>
      <c r="H23" s="125"/>
      <c r="I23" s="125"/>
    </row>
    <row r="24" ht="15.75" customHeight="1">
      <c r="A24" s="125"/>
      <c r="B24" s="125"/>
      <c r="C24" s="125"/>
      <c r="D24" s="265"/>
      <c r="E24" s="125"/>
      <c r="F24" s="125"/>
      <c r="G24" s="125"/>
      <c r="H24" s="125"/>
      <c r="I24" s="125"/>
    </row>
    <row r="25" ht="15.75" customHeight="1">
      <c r="A25" s="125"/>
      <c r="B25" s="125"/>
      <c r="C25" s="125"/>
      <c r="D25" s="125"/>
      <c r="E25" s="125"/>
      <c r="F25" s="125"/>
      <c r="G25" s="125"/>
      <c r="H25" s="125"/>
      <c r="I25" s="125"/>
    </row>
    <row r="26" ht="15.75" customHeight="1">
      <c r="A26" s="125"/>
      <c r="B26" s="125"/>
      <c r="C26" s="125"/>
      <c r="D26" s="265"/>
      <c r="E26" s="125"/>
      <c r="F26" s="125"/>
      <c r="G26" s="125"/>
      <c r="H26" s="125"/>
      <c r="I26" s="125"/>
    </row>
    <row r="27" ht="15.75" customHeight="1">
      <c r="A27" s="265"/>
      <c r="B27" s="125"/>
      <c r="C27" s="125"/>
      <c r="D27" s="125"/>
      <c r="E27" s="125"/>
      <c r="F27" s="125"/>
      <c r="G27" s="125"/>
      <c r="H27" s="125"/>
      <c r="I27" s="125"/>
    </row>
    <row r="28" ht="15.75" customHeight="1">
      <c r="A28" s="265"/>
      <c r="B28" s="125"/>
      <c r="C28" s="125"/>
      <c r="D28" s="265"/>
      <c r="E28" s="125"/>
      <c r="F28" s="125"/>
      <c r="G28" s="125"/>
      <c r="H28" s="125"/>
      <c r="I28" s="125"/>
    </row>
    <row r="29" ht="15.75" customHeight="1">
      <c r="A29" s="125"/>
      <c r="B29" s="125"/>
      <c r="C29" s="125"/>
      <c r="D29" s="125"/>
      <c r="E29" s="125"/>
      <c r="F29" s="125"/>
      <c r="G29" s="125"/>
      <c r="H29" s="125"/>
      <c r="I29" s="125"/>
    </row>
    <row r="30" ht="15.75" customHeight="1">
      <c r="A30" s="125"/>
      <c r="B30" s="125"/>
      <c r="C30" s="125"/>
      <c r="D30" s="265"/>
      <c r="E30" s="125"/>
      <c r="F30" s="125"/>
      <c r="G30" s="125"/>
      <c r="H30" s="125"/>
      <c r="I30" s="125"/>
    </row>
    <row r="31" ht="15.75" customHeight="1">
      <c r="A31" s="125"/>
      <c r="B31" s="125"/>
      <c r="C31" s="125"/>
      <c r="D31" s="125"/>
      <c r="E31" s="123"/>
      <c r="F31" s="123"/>
      <c r="G31" s="125"/>
      <c r="H31" s="125"/>
      <c r="I31" s="125"/>
    </row>
    <row r="32" ht="15.75" customHeight="1">
      <c r="A32" s="265"/>
      <c r="B32" s="125"/>
      <c r="C32" s="125"/>
      <c r="D32" s="125"/>
      <c r="E32" s="125"/>
      <c r="F32" s="125"/>
      <c r="G32" s="125"/>
      <c r="H32" s="125"/>
      <c r="I32" s="125"/>
    </row>
    <row r="33" ht="15.75" customHeight="1">
      <c r="A33" s="265"/>
      <c r="B33" s="125"/>
      <c r="C33" s="125"/>
      <c r="D33" s="125"/>
      <c r="E33" s="125"/>
      <c r="F33" s="125"/>
      <c r="G33" s="125"/>
      <c r="H33" s="125"/>
      <c r="I33" s="125"/>
    </row>
    <row r="34" ht="15.75" customHeight="1">
      <c r="A34" s="125"/>
      <c r="B34" s="125"/>
      <c r="C34" s="125"/>
      <c r="D34" s="125"/>
      <c r="E34" s="125"/>
      <c r="F34" s="125"/>
      <c r="G34" s="125"/>
      <c r="H34" s="125"/>
      <c r="I34" s="125"/>
    </row>
    <row r="35" ht="15.75" customHeight="1">
      <c r="A35" s="125"/>
      <c r="B35" s="125"/>
      <c r="C35" s="125"/>
      <c r="D35" s="125"/>
      <c r="E35" s="125"/>
      <c r="F35" s="125"/>
      <c r="G35" s="125"/>
      <c r="H35" s="125"/>
      <c r="I35" s="125"/>
    </row>
    <row r="36" ht="15.75" customHeight="1">
      <c r="A36" s="125"/>
      <c r="B36" s="125"/>
      <c r="C36" s="125"/>
      <c r="D36" s="125"/>
      <c r="E36" s="125"/>
      <c r="F36" s="125"/>
      <c r="G36" s="125"/>
      <c r="H36" s="125"/>
      <c r="I36" s="125"/>
    </row>
    <row r="37" ht="15.75" customHeight="1">
      <c r="A37" s="125"/>
      <c r="B37" s="125"/>
      <c r="C37" s="125"/>
      <c r="D37" s="125"/>
      <c r="E37" s="125"/>
      <c r="F37" s="125"/>
      <c r="G37" s="125"/>
      <c r="H37" s="125"/>
      <c r="I37" s="125"/>
    </row>
    <row r="38" ht="15.75" customHeight="1">
      <c r="A38" s="261"/>
      <c r="B38" s="123"/>
      <c r="C38" s="123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2"/>
    <mergeCell ref="D1:F2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5.5"/>
    <col customWidth="1" min="5" max="12" width="12.63"/>
  </cols>
  <sheetData>
    <row r="1" ht="15.75" customHeight="1">
      <c r="A1" s="346" t="s">
        <v>1692</v>
      </c>
      <c r="B1" s="138"/>
      <c r="C1" s="138"/>
      <c r="D1" s="57"/>
      <c r="E1" s="347" t="s">
        <v>0</v>
      </c>
      <c r="F1" s="138"/>
      <c r="G1" s="138"/>
      <c r="H1" s="57"/>
      <c r="I1" s="125"/>
      <c r="J1" s="125"/>
      <c r="K1" s="125"/>
    </row>
    <row r="2" ht="15.75" customHeight="1">
      <c r="A2" s="60"/>
      <c r="B2" s="141"/>
      <c r="C2" s="141"/>
      <c r="D2" s="142"/>
      <c r="E2" s="141"/>
      <c r="F2" s="141"/>
      <c r="G2" s="141"/>
      <c r="H2" s="142"/>
      <c r="I2" s="125"/>
      <c r="J2" s="125"/>
      <c r="K2" s="125"/>
    </row>
    <row r="3" ht="15.75" customHeight="1">
      <c r="A3" s="348" t="s">
        <v>204</v>
      </c>
      <c r="B3" s="345" t="s">
        <v>154</v>
      </c>
      <c r="C3" s="345" t="s">
        <v>1</v>
      </c>
      <c r="D3" s="345" t="s">
        <v>5</v>
      </c>
      <c r="E3" s="345" t="s">
        <v>204</v>
      </c>
      <c r="F3" s="345" t="s">
        <v>154</v>
      </c>
      <c r="G3" s="345" t="s">
        <v>1</v>
      </c>
      <c r="H3" s="345" t="s">
        <v>5</v>
      </c>
      <c r="I3" s="125"/>
      <c r="J3" s="125"/>
      <c r="K3" s="125"/>
    </row>
    <row r="4" ht="15.75" customHeight="1">
      <c r="A4" s="125"/>
      <c r="B4" s="265">
        <v>33.0</v>
      </c>
      <c r="C4" s="125" t="s">
        <v>1693</v>
      </c>
      <c r="D4" s="125" t="s">
        <v>1694</v>
      </c>
      <c r="E4" s="125"/>
      <c r="F4" s="265">
        <v>150.0</v>
      </c>
      <c r="G4" s="125" t="s">
        <v>1695</v>
      </c>
      <c r="H4" s="125" t="s">
        <v>1696</v>
      </c>
      <c r="I4" s="125"/>
      <c r="K4" s="125" t="s">
        <v>867</v>
      </c>
      <c r="L4" s="126">
        <f>sum(F:F)</f>
        <v>11705</v>
      </c>
    </row>
    <row r="5" ht="15.75" customHeight="1">
      <c r="A5" s="125"/>
      <c r="B5" s="265">
        <v>100.0</v>
      </c>
      <c r="C5" s="125" t="s">
        <v>1697</v>
      </c>
      <c r="D5" s="125" t="s">
        <v>1698</v>
      </c>
      <c r="E5" s="265">
        <v>150.0</v>
      </c>
      <c r="F5" s="125"/>
      <c r="G5" s="125" t="s">
        <v>1699</v>
      </c>
      <c r="H5" s="125" t="s">
        <v>1700</v>
      </c>
      <c r="I5" s="125"/>
      <c r="K5" s="125" t="s">
        <v>884</v>
      </c>
      <c r="L5" s="126">
        <f>sum(E:E)</f>
        <v>2225</v>
      </c>
    </row>
    <row r="6" ht="15.75" customHeight="1">
      <c r="A6" s="125"/>
      <c r="B6" s="265">
        <v>200.0</v>
      </c>
      <c r="C6" s="125" t="s">
        <v>1701</v>
      </c>
      <c r="D6" s="125" t="s">
        <v>1702</v>
      </c>
      <c r="E6" s="125"/>
      <c r="F6" s="265">
        <v>600.0</v>
      </c>
      <c r="G6" s="125" t="s">
        <v>1699</v>
      </c>
      <c r="H6" s="125" t="s">
        <v>1703</v>
      </c>
      <c r="I6" s="125"/>
      <c r="K6" s="125"/>
      <c r="L6" s="125"/>
    </row>
    <row r="7" ht="15.75" customHeight="1">
      <c r="A7" s="265">
        <v>100.0</v>
      </c>
      <c r="B7" s="125"/>
      <c r="C7" s="125" t="s">
        <v>1701</v>
      </c>
      <c r="D7" s="125" t="s">
        <v>1704</v>
      </c>
      <c r="E7" s="125"/>
      <c r="F7" s="265">
        <v>300.0</v>
      </c>
      <c r="G7" s="125" t="s">
        <v>1705</v>
      </c>
      <c r="H7" s="125" t="s">
        <v>1706</v>
      </c>
      <c r="I7" s="125"/>
      <c r="K7" s="125" t="s">
        <v>871</v>
      </c>
      <c r="L7" s="126">
        <f>sum(B:B)</f>
        <v>12810</v>
      </c>
    </row>
    <row r="8" ht="15.75" customHeight="1">
      <c r="A8" s="265">
        <v>50.0</v>
      </c>
      <c r="B8" s="125"/>
      <c r="C8" s="125" t="s">
        <v>1699</v>
      </c>
      <c r="D8" s="125" t="s">
        <v>1707</v>
      </c>
      <c r="E8" s="265">
        <v>100.0</v>
      </c>
      <c r="F8" s="125"/>
      <c r="G8" s="125" t="s">
        <v>1708</v>
      </c>
      <c r="H8" s="125" t="s">
        <v>1709</v>
      </c>
      <c r="I8" s="125"/>
      <c r="K8" s="125" t="s">
        <v>887</v>
      </c>
      <c r="L8" s="126">
        <f>sum(A:A)</f>
        <v>2225</v>
      </c>
    </row>
    <row r="9" ht="15.75" customHeight="1">
      <c r="A9" s="125"/>
      <c r="B9" s="265">
        <v>675.0</v>
      </c>
      <c r="C9" s="125" t="s">
        <v>1699</v>
      </c>
      <c r="D9" s="125" t="s">
        <v>1700</v>
      </c>
      <c r="E9" s="125"/>
      <c r="F9" s="265">
        <v>150.0</v>
      </c>
      <c r="G9" s="125" t="s">
        <v>1710</v>
      </c>
      <c r="H9" s="125" t="s">
        <v>1711</v>
      </c>
      <c r="I9" s="125"/>
      <c r="K9" s="125"/>
      <c r="L9" s="125"/>
    </row>
    <row r="10" ht="15.75" customHeight="1">
      <c r="A10" s="265">
        <v>50.0</v>
      </c>
      <c r="B10" s="125"/>
      <c r="C10" s="125" t="s">
        <v>1712</v>
      </c>
      <c r="D10" s="125" t="s">
        <v>1713</v>
      </c>
      <c r="E10" s="125"/>
      <c r="F10" s="265">
        <v>400.0</v>
      </c>
      <c r="G10" s="125" t="s">
        <v>1714</v>
      </c>
      <c r="H10" s="125" t="s">
        <v>1715</v>
      </c>
      <c r="I10" s="125"/>
      <c r="K10" s="125" t="s">
        <v>877</v>
      </c>
      <c r="L10" s="126">
        <f t="shared" ref="L10:L11" si="1">L7-L4</f>
        <v>1105</v>
      </c>
    </row>
    <row r="11" ht="15.75" customHeight="1">
      <c r="A11" s="265">
        <v>50.0</v>
      </c>
      <c r="B11" s="125"/>
      <c r="C11" s="125" t="s">
        <v>1716</v>
      </c>
      <c r="D11" s="125" t="s">
        <v>1717</v>
      </c>
      <c r="E11" s="265">
        <v>100.0</v>
      </c>
      <c r="F11" s="125"/>
      <c r="G11" s="125" t="s">
        <v>1718</v>
      </c>
      <c r="H11" s="125" t="s">
        <v>1709</v>
      </c>
      <c r="I11" s="125"/>
      <c r="K11" s="125" t="s">
        <v>1719</v>
      </c>
      <c r="L11" s="126">
        <f t="shared" si="1"/>
        <v>0</v>
      </c>
    </row>
    <row r="12" ht="15.75" customHeight="1">
      <c r="A12" s="125"/>
      <c r="B12" s="265">
        <v>450.0</v>
      </c>
      <c r="C12" s="125" t="s">
        <v>1708</v>
      </c>
      <c r="D12" s="125" t="s">
        <v>1709</v>
      </c>
      <c r="E12" s="125"/>
      <c r="F12" s="265">
        <v>200.0</v>
      </c>
      <c r="G12" s="125" t="s">
        <v>1718</v>
      </c>
      <c r="H12" s="125" t="s">
        <v>1720</v>
      </c>
      <c r="I12" s="125"/>
      <c r="J12" s="125"/>
      <c r="K12" s="125"/>
    </row>
    <row r="13" ht="15.75" customHeight="1">
      <c r="A13" s="265">
        <v>50.0</v>
      </c>
      <c r="B13" s="125"/>
      <c r="C13" s="125" t="s">
        <v>1721</v>
      </c>
      <c r="D13" s="125" t="s">
        <v>1722</v>
      </c>
      <c r="E13" s="125"/>
      <c r="F13" s="265">
        <v>200.0</v>
      </c>
      <c r="G13" s="125" t="s">
        <v>1723</v>
      </c>
      <c r="H13" s="125" t="s">
        <v>1724</v>
      </c>
      <c r="I13" s="125"/>
      <c r="J13" s="125"/>
      <c r="K13" s="125"/>
    </row>
    <row r="14" ht="15.75" customHeight="1">
      <c r="A14" s="265">
        <v>50.0</v>
      </c>
      <c r="B14" s="125"/>
      <c r="C14" s="125" t="s">
        <v>1725</v>
      </c>
      <c r="D14" s="125" t="s">
        <v>1726</v>
      </c>
      <c r="E14" s="125"/>
      <c r="F14" s="265">
        <v>350.0</v>
      </c>
      <c r="G14" s="125" t="s">
        <v>1727</v>
      </c>
      <c r="H14" s="125" t="s">
        <v>1709</v>
      </c>
      <c r="I14" s="125"/>
      <c r="J14" s="125"/>
      <c r="K14" s="125"/>
    </row>
    <row r="15" ht="15.75" customHeight="1">
      <c r="A15" s="265">
        <v>50.0</v>
      </c>
      <c r="B15" s="125"/>
      <c r="C15" s="125" t="s">
        <v>1728</v>
      </c>
      <c r="D15" s="125" t="s">
        <v>1729</v>
      </c>
      <c r="E15" s="125"/>
      <c r="F15" s="265">
        <v>250.0</v>
      </c>
      <c r="G15" s="125" t="s">
        <v>1727</v>
      </c>
      <c r="H15" s="125" t="s">
        <v>1730</v>
      </c>
      <c r="I15" s="125"/>
      <c r="J15" s="125"/>
      <c r="K15" s="125"/>
    </row>
    <row r="16" ht="15.75" customHeight="1">
      <c r="A16" s="265">
        <v>50.0</v>
      </c>
      <c r="B16" s="125"/>
      <c r="C16" s="125" t="s">
        <v>1728</v>
      </c>
      <c r="D16" s="125" t="s">
        <v>1731</v>
      </c>
      <c r="E16" s="265">
        <v>200.0</v>
      </c>
      <c r="F16" s="125"/>
      <c r="G16" s="125" t="s">
        <v>1727</v>
      </c>
      <c r="H16" s="125" t="s">
        <v>1732</v>
      </c>
      <c r="I16" s="125"/>
      <c r="J16" s="125"/>
      <c r="K16" s="125"/>
    </row>
    <row r="17" ht="15.75" customHeight="1">
      <c r="A17" s="265">
        <v>50.0</v>
      </c>
      <c r="B17" s="125"/>
      <c r="C17" s="125" t="s">
        <v>1733</v>
      </c>
      <c r="D17" s="125" t="s">
        <v>1734</v>
      </c>
      <c r="E17" s="125"/>
      <c r="F17" s="265">
        <v>655.0</v>
      </c>
      <c r="G17" s="125" t="s">
        <v>1727</v>
      </c>
      <c r="H17" s="125" t="s">
        <v>1735</v>
      </c>
      <c r="I17" s="125"/>
      <c r="J17" s="125"/>
      <c r="K17" s="125"/>
    </row>
    <row r="18" ht="15.75" customHeight="1">
      <c r="A18" s="265">
        <v>50.0</v>
      </c>
      <c r="B18" s="125"/>
      <c r="C18" s="125" t="s">
        <v>1736</v>
      </c>
      <c r="D18" s="125" t="s">
        <v>1737</v>
      </c>
      <c r="E18" s="125"/>
      <c r="F18" s="265">
        <v>100.0</v>
      </c>
      <c r="G18" s="125" t="s">
        <v>1727</v>
      </c>
      <c r="H18" s="125" t="s">
        <v>1738</v>
      </c>
      <c r="I18" s="125"/>
      <c r="J18" s="125"/>
      <c r="K18" s="125"/>
    </row>
    <row r="19" ht="15.75" customHeight="1">
      <c r="A19" s="265">
        <v>100.0</v>
      </c>
      <c r="B19" s="125"/>
      <c r="C19" s="125" t="s">
        <v>1739</v>
      </c>
      <c r="D19" s="125" t="s">
        <v>1740</v>
      </c>
      <c r="E19" s="125"/>
      <c r="F19" s="265">
        <v>450.0</v>
      </c>
      <c r="G19" s="125" t="s">
        <v>1727</v>
      </c>
      <c r="H19" s="125" t="s">
        <v>1741</v>
      </c>
      <c r="I19" s="125"/>
      <c r="J19" s="125"/>
      <c r="K19" s="125"/>
    </row>
    <row r="20" ht="15.75" customHeight="1">
      <c r="A20" s="265">
        <v>50.0</v>
      </c>
      <c r="B20" s="125"/>
      <c r="C20" s="125" t="s">
        <v>1742</v>
      </c>
      <c r="D20" s="125" t="s">
        <v>1743</v>
      </c>
      <c r="E20" s="125"/>
      <c r="F20" s="265">
        <v>50.0</v>
      </c>
      <c r="G20" s="125" t="s">
        <v>1727</v>
      </c>
      <c r="H20" s="125" t="s">
        <v>1744</v>
      </c>
      <c r="I20" s="125"/>
      <c r="J20" s="125"/>
      <c r="K20" s="125"/>
    </row>
    <row r="21" ht="15.75" customHeight="1">
      <c r="A21" s="265">
        <v>50.0</v>
      </c>
      <c r="B21" s="125"/>
      <c r="C21" s="125" t="s">
        <v>1745</v>
      </c>
      <c r="D21" s="125" t="s">
        <v>1746</v>
      </c>
      <c r="E21" s="125"/>
      <c r="F21" s="265">
        <v>100.0</v>
      </c>
      <c r="G21" s="125" t="s">
        <v>1727</v>
      </c>
      <c r="H21" s="125" t="s">
        <v>1747</v>
      </c>
      <c r="I21" s="125"/>
      <c r="J21" s="125"/>
      <c r="K21" s="125"/>
    </row>
    <row r="22" ht="15.75" customHeight="1">
      <c r="A22" s="125"/>
      <c r="B22" s="265">
        <v>450.0</v>
      </c>
      <c r="C22" s="125" t="s">
        <v>1718</v>
      </c>
      <c r="D22" s="125" t="s">
        <v>1709</v>
      </c>
      <c r="E22" s="125"/>
      <c r="F22" s="265">
        <v>1000.0</v>
      </c>
      <c r="G22" s="125" t="s">
        <v>1727</v>
      </c>
      <c r="H22" s="125" t="s">
        <v>1748</v>
      </c>
      <c r="I22" s="125"/>
      <c r="J22" s="125"/>
      <c r="K22" s="125"/>
    </row>
    <row r="23" ht="15.75" customHeight="1">
      <c r="A23" s="265">
        <v>50.0</v>
      </c>
      <c r="B23" s="125"/>
      <c r="C23" s="125" t="s">
        <v>1749</v>
      </c>
      <c r="D23" s="125" t="s">
        <v>1750</v>
      </c>
      <c r="E23" s="125"/>
      <c r="F23" s="265">
        <v>200.0</v>
      </c>
      <c r="G23" s="125" t="s">
        <v>1727</v>
      </c>
      <c r="H23" s="125" t="s">
        <v>1751</v>
      </c>
      <c r="I23" s="125"/>
      <c r="J23" s="125"/>
      <c r="K23" s="125"/>
    </row>
    <row r="24" ht="15.75" customHeight="1">
      <c r="A24" s="265">
        <v>50.0</v>
      </c>
      <c r="B24" s="125"/>
      <c r="C24" s="125" t="s">
        <v>1752</v>
      </c>
      <c r="D24" s="125" t="s">
        <v>1753</v>
      </c>
      <c r="E24" s="125"/>
      <c r="F24" s="265">
        <v>50.0</v>
      </c>
      <c r="G24" s="125" t="s">
        <v>1727</v>
      </c>
      <c r="H24" s="125" t="s">
        <v>1754</v>
      </c>
      <c r="I24" s="125"/>
      <c r="J24" s="125"/>
      <c r="K24" s="125"/>
    </row>
    <row r="25" ht="15.75" customHeight="1">
      <c r="A25" s="265">
        <v>50.0</v>
      </c>
      <c r="B25" s="125"/>
      <c r="C25" s="125" t="s">
        <v>1755</v>
      </c>
      <c r="D25" s="125" t="s">
        <v>1756</v>
      </c>
      <c r="E25" s="265">
        <v>50.0</v>
      </c>
      <c r="F25" s="125"/>
      <c r="G25" s="125" t="s">
        <v>1727</v>
      </c>
      <c r="H25" s="125" t="s">
        <v>1757</v>
      </c>
      <c r="I25" s="125"/>
      <c r="J25" s="125"/>
      <c r="K25" s="125"/>
    </row>
    <row r="26" ht="15.75" customHeight="1">
      <c r="A26" s="265">
        <v>100.0</v>
      </c>
      <c r="B26" s="125"/>
      <c r="C26" s="125" t="s">
        <v>1758</v>
      </c>
      <c r="D26" s="125" t="s">
        <v>1759</v>
      </c>
      <c r="E26" s="125"/>
      <c r="F26" s="265">
        <v>200.0</v>
      </c>
      <c r="G26" s="125" t="s">
        <v>1727</v>
      </c>
      <c r="H26" s="125" t="s">
        <v>1760</v>
      </c>
      <c r="I26" s="125"/>
      <c r="J26" s="125"/>
      <c r="K26" s="125"/>
    </row>
    <row r="27" ht="15.75" customHeight="1">
      <c r="A27" s="125"/>
      <c r="B27" s="265">
        <v>2000.0</v>
      </c>
      <c r="C27" s="125" t="s">
        <v>1727</v>
      </c>
      <c r="D27" s="125" t="s">
        <v>1761</v>
      </c>
      <c r="E27" s="265">
        <v>500.0</v>
      </c>
      <c r="F27" s="125"/>
      <c r="G27" s="125" t="s">
        <v>1762</v>
      </c>
      <c r="H27" s="125" t="s">
        <v>1709</v>
      </c>
      <c r="I27" s="125"/>
      <c r="J27" s="125"/>
      <c r="K27" s="125"/>
    </row>
    <row r="28" ht="15.75" customHeight="1">
      <c r="A28" s="125"/>
      <c r="B28" s="265">
        <v>1575.0</v>
      </c>
      <c r="C28" s="125" t="s">
        <v>1727</v>
      </c>
      <c r="D28" s="125" t="s">
        <v>1709</v>
      </c>
      <c r="E28" s="125"/>
      <c r="F28" s="265">
        <v>1900.0</v>
      </c>
      <c r="G28" s="125" t="s">
        <v>1762</v>
      </c>
      <c r="H28" s="125" t="s">
        <v>1763</v>
      </c>
      <c r="I28" s="125"/>
      <c r="J28" s="125"/>
      <c r="K28" s="125"/>
    </row>
    <row r="29" ht="15.75" customHeight="1">
      <c r="A29" s="265">
        <v>50.0</v>
      </c>
      <c r="B29" s="125"/>
      <c r="C29" s="125" t="s">
        <v>1764</v>
      </c>
      <c r="D29" s="125" t="s">
        <v>1765</v>
      </c>
      <c r="E29" s="265">
        <v>975.0</v>
      </c>
      <c r="F29" s="125"/>
      <c r="G29" s="125" t="s">
        <v>1766</v>
      </c>
      <c r="H29" s="125" t="s">
        <v>1709</v>
      </c>
      <c r="I29" s="125"/>
      <c r="J29" s="125"/>
      <c r="K29" s="125"/>
    </row>
    <row r="30" ht="15.75" customHeight="1">
      <c r="A30" s="265">
        <v>100.0</v>
      </c>
      <c r="B30" s="125"/>
      <c r="C30" s="125" t="s">
        <v>1764</v>
      </c>
      <c r="D30" s="125" t="s">
        <v>1767</v>
      </c>
      <c r="E30" s="125"/>
      <c r="F30" s="265">
        <v>4400.0</v>
      </c>
      <c r="G30" s="125" t="s">
        <v>1766</v>
      </c>
      <c r="H30" s="125" t="s">
        <v>1768</v>
      </c>
      <c r="I30" s="125"/>
      <c r="J30" s="125"/>
      <c r="K30" s="125"/>
    </row>
    <row r="31" ht="15.75" customHeight="1">
      <c r="A31" s="265">
        <v>825.0</v>
      </c>
      <c r="B31" s="125"/>
      <c r="C31" s="125" t="s">
        <v>1762</v>
      </c>
      <c r="D31" s="125" t="s">
        <v>1769</v>
      </c>
      <c r="E31" s="261">
        <v>150.0</v>
      </c>
      <c r="F31" s="125"/>
      <c r="G31" s="123" t="s">
        <v>1770</v>
      </c>
      <c r="H31" s="123" t="s">
        <v>1771</v>
      </c>
      <c r="I31" s="125"/>
      <c r="J31" s="125"/>
      <c r="K31" s="125"/>
    </row>
    <row r="32" ht="15.75" customHeight="1">
      <c r="A32" s="125"/>
      <c r="B32" s="265">
        <v>2250.0</v>
      </c>
      <c r="C32" s="125" t="s">
        <v>1762</v>
      </c>
      <c r="D32" s="125" t="s">
        <v>1709</v>
      </c>
      <c r="E32" s="125"/>
      <c r="F32" s="125"/>
      <c r="G32" s="125"/>
      <c r="H32" s="125"/>
      <c r="I32" s="125"/>
      <c r="J32" s="125"/>
      <c r="K32" s="125"/>
    </row>
    <row r="33" ht="15.75" customHeight="1">
      <c r="A33" s="125"/>
      <c r="B33" s="265">
        <v>4387.0</v>
      </c>
      <c r="C33" s="125" t="s">
        <v>1766</v>
      </c>
      <c r="D33" s="125" t="s">
        <v>1709</v>
      </c>
      <c r="E33" s="125"/>
      <c r="F33" s="125"/>
      <c r="G33" s="125"/>
      <c r="H33" s="125"/>
      <c r="I33" s="125"/>
      <c r="J33" s="125"/>
      <c r="K33" s="125"/>
    </row>
    <row r="34" ht="15.75" customHeight="1">
      <c r="A34" s="265">
        <v>100.0</v>
      </c>
      <c r="B34" s="125"/>
      <c r="C34" s="125" t="s">
        <v>1772</v>
      </c>
      <c r="D34" s="125" t="s">
        <v>1773</v>
      </c>
      <c r="E34" s="125"/>
      <c r="F34" s="125"/>
      <c r="G34" s="125"/>
      <c r="H34" s="125"/>
      <c r="I34" s="125"/>
      <c r="J34" s="125"/>
      <c r="K34" s="125"/>
    </row>
    <row r="35" ht="15.75" customHeight="1">
      <c r="A35" s="265">
        <v>50.0</v>
      </c>
      <c r="B35" s="125"/>
      <c r="C35" s="125" t="s">
        <v>1774</v>
      </c>
      <c r="D35" s="125" t="s">
        <v>1775</v>
      </c>
      <c r="E35" s="125"/>
      <c r="F35" s="125"/>
      <c r="G35" s="125"/>
      <c r="H35" s="125"/>
      <c r="I35" s="125"/>
      <c r="J35" s="125"/>
      <c r="K35" s="125"/>
    </row>
    <row r="36" ht="15.75" customHeight="1">
      <c r="A36" s="265">
        <v>50.0</v>
      </c>
      <c r="B36" s="125"/>
      <c r="C36" s="125" t="s">
        <v>1776</v>
      </c>
      <c r="D36" s="125" t="s">
        <v>1777</v>
      </c>
      <c r="E36" s="125"/>
      <c r="F36" s="125"/>
      <c r="G36" s="125"/>
      <c r="H36" s="125"/>
      <c r="I36" s="125"/>
      <c r="J36" s="125"/>
      <c r="K36" s="125"/>
    </row>
    <row r="37" ht="15.75" customHeight="1">
      <c r="A37" s="265">
        <v>50.0</v>
      </c>
      <c r="B37" s="125"/>
      <c r="C37" s="125" t="s">
        <v>1770</v>
      </c>
      <c r="D37" s="125" t="s">
        <v>1778</v>
      </c>
      <c r="E37" s="125"/>
      <c r="F37" s="125"/>
      <c r="G37" s="125"/>
      <c r="H37" s="125"/>
      <c r="I37" s="125"/>
      <c r="J37" s="125"/>
      <c r="K37" s="125"/>
    </row>
    <row r="38" ht="15.75" customHeight="1">
      <c r="B38" s="261">
        <v>690.0</v>
      </c>
      <c r="C38" s="123" t="s">
        <v>1770</v>
      </c>
      <c r="D38" s="123" t="s">
        <v>1771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2"/>
    <mergeCell ref="E1:H2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75"/>
    <col customWidth="1" min="4" max="4" width="26.63"/>
  </cols>
  <sheetData>
    <row r="1">
      <c r="A1" s="349" t="s">
        <v>111</v>
      </c>
      <c r="B1" s="170"/>
      <c r="C1" s="184"/>
      <c r="D1" s="350" t="s">
        <v>112</v>
      </c>
      <c r="E1" s="170"/>
      <c r="F1" s="184"/>
    </row>
    <row r="2">
      <c r="A2" s="349" t="s">
        <v>5</v>
      </c>
      <c r="B2" s="351" t="s">
        <v>23</v>
      </c>
      <c r="C2" s="50" t="s">
        <v>1779</v>
      </c>
      <c r="D2" s="352" t="s">
        <v>1780</v>
      </c>
      <c r="E2" s="353" t="s">
        <v>23</v>
      </c>
      <c r="F2" s="185" t="s">
        <v>1779</v>
      </c>
    </row>
    <row r="3">
      <c r="A3" s="354" t="s">
        <v>1781</v>
      </c>
      <c r="B3" s="355">
        <v>2500.0</v>
      </c>
      <c r="C3" s="242" t="s">
        <v>1152</v>
      </c>
      <c r="D3" s="356" t="s">
        <v>1782</v>
      </c>
      <c r="E3" s="357">
        <v>2500.0</v>
      </c>
      <c r="F3" s="242" t="s">
        <v>1152</v>
      </c>
    </row>
    <row r="4">
      <c r="A4" s="358" t="s">
        <v>1783</v>
      </c>
      <c r="B4" s="210">
        <v>200.0</v>
      </c>
      <c r="C4" s="257" t="s">
        <v>1152</v>
      </c>
      <c r="D4" s="132" t="s">
        <v>1784</v>
      </c>
      <c r="E4" s="112">
        <v>400.0</v>
      </c>
      <c r="F4" s="257" t="s">
        <v>1152</v>
      </c>
    </row>
    <row r="5">
      <c r="A5" s="358" t="s">
        <v>1785</v>
      </c>
      <c r="B5" s="210">
        <v>200.0</v>
      </c>
      <c r="C5" s="257" t="s">
        <v>1152</v>
      </c>
      <c r="D5" s="359"/>
      <c r="F5" s="59"/>
    </row>
    <row r="6">
      <c r="A6" s="358" t="s">
        <v>1786</v>
      </c>
      <c r="B6" s="210">
        <v>230.0</v>
      </c>
      <c r="C6" s="257" t="s">
        <v>1152</v>
      </c>
      <c r="D6" s="359"/>
      <c r="F6" s="59"/>
    </row>
    <row r="7">
      <c r="A7" s="358" t="s">
        <v>1787</v>
      </c>
      <c r="B7" s="210">
        <v>100.0</v>
      </c>
      <c r="C7" s="257" t="s">
        <v>1152</v>
      </c>
      <c r="D7" s="359"/>
      <c r="F7" s="59"/>
    </row>
    <row r="8">
      <c r="A8" s="358" t="s">
        <v>1788</v>
      </c>
      <c r="B8" s="210">
        <v>450.0</v>
      </c>
      <c r="C8" s="257" t="s">
        <v>1152</v>
      </c>
      <c r="D8" s="359"/>
      <c r="F8" s="59"/>
    </row>
    <row r="9">
      <c r="A9" s="132" t="s">
        <v>1789</v>
      </c>
      <c r="B9" s="112">
        <v>50.0</v>
      </c>
      <c r="C9" s="257" t="s">
        <v>1152</v>
      </c>
      <c r="D9" s="359"/>
      <c r="F9" s="59"/>
    </row>
    <row r="10">
      <c r="A10" s="58"/>
      <c r="C10" s="59"/>
      <c r="F10" s="59"/>
    </row>
    <row r="11">
      <c r="A11" s="58"/>
      <c r="C11" s="59"/>
      <c r="F11" s="59"/>
    </row>
    <row r="12">
      <c r="A12" s="58"/>
      <c r="C12" s="59"/>
      <c r="F12" s="59"/>
    </row>
    <row r="13">
      <c r="A13" s="58"/>
      <c r="C13" s="59"/>
      <c r="F13" s="59"/>
    </row>
    <row r="14">
      <c r="A14" s="58"/>
      <c r="C14" s="59"/>
      <c r="F14" s="59"/>
    </row>
    <row r="15">
      <c r="A15" s="60"/>
      <c r="B15" s="141"/>
      <c r="C15" s="142"/>
      <c r="D15" s="141"/>
      <c r="E15" s="141"/>
      <c r="F15" s="142"/>
    </row>
    <row r="16">
      <c r="A16" s="50" t="s">
        <v>771</v>
      </c>
      <c r="B16">
        <f>sum(B3:B15)-sumif(C3:C15,"Achitat",B3:B15)</f>
        <v>0</v>
      </c>
      <c r="D16" s="50" t="s">
        <v>771</v>
      </c>
      <c r="E16">
        <f>sum(E3:E15)-sumif(F3:F15,"Achitat",E3:E15)</f>
        <v>0</v>
      </c>
    </row>
    <row r="18">
      <c r="A18" s="360" t="s">
        <v>1790</v>
      </c>
    </row>
    <row r="19">
      <c r="A19" s="361" t="s">
        <v>1791</v>
      </c>
      <c r="B19" s="362"/>
    </row>
  </sheetData>
  <mergeCells count="2">
    <mergeCell ref="A1:C1"/>
    <mergeCell ref="D1:F1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25" t="s">
        <v>1</v>
      </c>
      <c r="B1" s="125" t="s">
        <v>1792</v>
      </c>
      <c r="C1" s="125"/>
      <c r="D1" s="125"/>
      <c r="E1" s="125"/>
    </row>
    <row r="2" ht="15.75" customHeight="1">
      <c r="A2" s="125" t="s">
        <v>1776</v>
      </c>
      <c r="B2" s="126">
        <v>2400.0</v>
      </c>
      <c r="C2" s="125"/>
      <c r="D2" s="125"/>
      <c r="E2" s="125"/>
    </row>
    <row r="3" ht="15.75" customHeight="1">
      <c r="A3" s="125" t="s">
        <v>1770</v>
      </c>
      <c r="B3" s="126">
        <v>2250.0</v>
      </c>
      <c r="C3" s="125"/>
      <c r="D3" s="125"/>
      <c r="E3" s="125"/>
    </row>
    <row r="4" ht="15.75" customHeight="1">
      <c r="A4" s="125" t="s">
        <v>1793</v>
      </c>
      <c r="B4" s="126">
        <v>2400.0</v>
      </c>
      <c r="C4" s="125"/>
      <c r="D4" s="125" t="s">
        <v>1794</v>
      </c>
      <c r="E4" s="363">
        <f>sum(B2:B100)</f>
        <v>42700</v>
      </c>
    </row>
    <row r="5" ht="15.75" customHeight="1">
      <c r="A5" s="125" t="s">
        <v>1795</v>
      </c>
      <c r="B5" s="126">
        <v>2250.0</v>
      </c>
      <c r="C5" s="125"/>
      <c r="D5" s="125" t="s">
        <v>1796</v>
      </c>
      <c r="E5" s="364">
        <f>5%*E4</f>
        <v>2135</v>
      </c>
    </row>
    <row r="6" ht="15.75" customHeight="1">
      <c r="A6" s="125" t="s">
        <v>1797</v>
      </c>
      <c r="B6" s="126">
        <v>2400.0</v>
      </c>
      <c r="C6" s="125"/>
      <c r="D6" s="125"/>
      <c r="E6" s="125"/>
    </row>
    <row r="7" ht="15.75" customHeight="1">
      <c r="A7" s="125" t="s">
        <v>1798</v>
      </c>
      <c r="B7" s="126">
        <v>2250.0</v>
      </c>
      <c r="C7" s="125"/>
      <c r="D7" s="125"/>
      <c r="E7" s="125"/>
    </row>
    <row r="8" ht="15.75" customHeight="1">
      <c r="A8" s="125" t="s">
        <v>1799</v>
      </c>
      <c r="B8" s="126">
        <v>2400.0</v>
      </c>
      <c r="C8" s="125"/>
      <c r="D8" s="125"/>
      <c r="E8" s="125"/>
    </row>
    <row r="9" ht="15.75" customHeight="1">
      <c r="A9" s="125" t="s">
        <v>1800</v>
      </c>
      <c r="B9" s="126">
        <v>2250.0</v>
      </c>
      <c r="C9" s="125"/>
      <c r="D9" s="125"/>
      <c r="E9" s="125"/>
    </row>
    <row r="10" ht="15.75" customHeight="1">
      <c r="A10" s="125" t="s">
        <v>1801</v>
      </c>
      <c r="B10" s="126">
        <v>2400.0</v>
      </c>
      <c r="C10" s="125"/>
      <c r="D10" s="125"/>
      <c r="E10" s="125"/>
    </row>
    <row r="11" ht="15.75" customHeight="1">
      <c r="A11" s="125" t="s">
        <v>1802</v>
      </c>
      <c r="B11" s="126">
        <v>2000.0</v>
      </c>
      <c r="C11" s="125"/>
      <c r="D11" s="125"/>
      <c r="E11" s="125"/>
    </row>
    <row r="12" ht="15.75" customHeight="1">
      <c r="A12" s="125" t="s">
        <v>1803</v>
      </c>
      <c r="B12" s="126">
        <v>2800.0</v>
      </c>
      <c r="C12" s="125"/>
      <c r="D12" s="125"/>
      <c r="E12" s="125"/>
    </row>
    <row r="13" ht="15.75" customHeight="1">
      <c r="A13" s="125" t="s">
        <v>1804</v>
      </c>
      <c r="B13" s="126">
        <v>2500.0</v>
      </c>
      <c r="C13" s="125"/>
      <c r="D13" s="125"/>
      <c r="E13" s="125"/>
    </row>
    <row r="14" ht="15.75" customHeight="1">
      <c r="A14" s="125" t="s">
        <v>1805</v>
      </c>
      <c r="B14" s="126">
        <v>3000.0</v>
      </c>
      <c r="C14" s="125"/>
      <c r="D14" s="125"/>
      <c r="E14" s="125"/>
    </row>
    <row r="15" ht="15.75" customHeight="1">
      <c r="A15" s="125" t="s">
        <v>1806</v>
      </c>
      <c r="B15" s="126">
        <v>2800.0</v>
      </c>
      <c r="C15" s="125"/>
      <c r="D15" s="125"/>
      <c r="E15" s="125"/>
    </row>
    <row r="16" ht="15.75" customHeight="1">
      <c r="A16" s="125" t="s">
        <v>1807</v>
      </c>
      <c r="B16" s="126">
        <v>2800.0</v>
      </c>
      <c r="C16" s="125"/>
      <c r="D16" s="125"/>
      <c r="E16" s="125"/>
    </row>
    <row r="17" ht="15.75" customHeight="1">
      <c r="A17" s="125" t="s">
        <v>1808</v>
      </c>
      <c r="B17" s="126">
        <v>2800.0</v>
      </c>
      <c r="C17" s="125"/>
      <c r="D17" s="125"/>
      <c r="E17" s="125"/>
    </row>
    <row r="18" ht="15.75" customHeight="1">
      <c r="A18" s="125" t="s">
        <v>1809</v>
      </c>
      <c r="B18" s="126">
        <v>3000.0</v>
      </c>
      <c r="C18" s="125"/>
      <c r="D18" s="125"/>
      <c r="E18" s="125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